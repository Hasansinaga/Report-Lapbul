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C:\Users\Public\Documents\DKN\Idrus\LAPBUL NEW\Materi\"/>
    </mc:Choice>
  </mc:AlternateContent>
  <xr:revisionPtr revIDLastSave="0" documentId="13_ncr:1_{A3111FDB-C994-4436-8FDE-F63B58FD398A}" xr6:coauthVersionLast="47" xr6:coauthVersionMax="47" xr10:uidLastSave="{00000000-0000-0000-0000-000000000000}"/>
  <bookViews>
    <workbookView xWindow="-110" yWindow="-110" windowWidth="19420" windowHeight="10300" tabRatio="982" firstSheet="24" activeTab="24" xr2:uid="{00000000-000D-0000-FFFF-FFFF00000000}"/>
  </bookViews>
  <sheets>
    <sheet name="DATA" sheetId="1" r:id="rId1"/>
    <sheet name="Header" sheetId="2" r:id="rId2"/>
    <sheet name="0000" sheetId="3" r:id="rId3"/>
    <sheet name="0001" sheetId="4" r:id="rId4"/>
    <sheet name="0002" sheetId="5" r:id="rId5"/>
    <sheet name="0003" sheetId="6" r:id="rId6"/>
    <sheet name="0004" sheetId="7" r:id="rId7"/>
    <sheet name="0005" sheetId="8" r:id="rId8"/>
    <sheet name="0006" sheetId="9" r:id="rId9"/>
    <sheet name="0007" sheetId="10" r:id="rId10"/>
    <sheet name="0008" sheetId="11" r:id="rId11"/>
    <sheet name="0009" sheetId="12" r:id="rId12"/>
    <sheet name="0010" sheetId="13" r:id="rId13"/>
    <sheet name="0011" sheetId="14" r:id="rId14"/>
    <sheet name="0012" sheetId="15" r:id="rId15"/>
    <sheet name="0013" sheetId="16" r:id="rId16"/>
    <sheet name="0014" sheetId="17" state="hidden" r:id="rId17"/>
    <sheet name="0015" sheetId="19" r:id="rId18"/>
    <sheet name="0016" sheetId="20" r:id="rId19"/>
    <sheet name="0017" sheetId="21" r:id="rId20"/>
    <sheet name="0018" sheetId="22" r:id="rId21"/>
    <sheet name="0019" sheetId="23" r:id="rId22"/>
    <sheet name="0020" sheetId="24" r:id="rId23"/>
    <sheet name="0021" sheetId="18" r:id="rId24"/>
    <sheet name="0100" sheetId="25" r:id="rId25"/>
    <sheet name="0101" sheetId="26" r:id="rId26"/>
    <sheet name="0200" sheetId="27" r:id="rId27"/>
    <sheet name="0300" sheetId="28" r:id="rId28"/>
    <sheet name="0400" sheetId="30" r:id="rId29"/>
    <sheet name="0500" sheetId="31" r:id="rId30"/>
    <sheet name="0600" sheetId="32" r:id="rId31"/>
    <sheet name="0601" sheetId="33" r:id="rId32"/>
    <sheet name="0602" sheetId="34" r:id="rId33"/>
    <sheet name="0800" sheetId="36" r:id="rId34"/>
    <sheet name="0700" sheetId="35" r:id="rId35"/>
    <sheet name="0900" sheetId="37" r:id="rId36"/>
    <sheet name="0901" sheetId="38" r:id="rId37"/>
    <sheet name="1000" sheetId="39" r:id="rId38"/>
    <sheet name="1100" sheetId="40" r:id="rId39"/>
    <sheet name="1200" sheetId="41" r:id="rId40"/>
    <sheet name="1300" sheetId="42" r:id="rId41"/>
    <sheet name="1400" sheetId="43" r:id="rId42"/>
    <sheet name="1401" sheetId="29" r:id="rId43"/>
    <sheet name="1500" sheetId="44" r:id="rId44"/>
    <sheet name="1600" sheetId="45" r:id="rId45"/>
    <sheet name="1700" sheetId="46" r:id="rId46"/>
    <sheet name="1800" sheetId="47" r:id="rId47"/>
    <sheet name="1900" sheetId="48" r:id="rId48"/>
  </sheets>
  <definedNames>
    <definedName name="_xlnm._FilterDatabase" localSheetId="2" hidden="1">'0000'!$A$1:$D$52</definedName>
    <definedName name="_xlnm._FilterDatabase" localSheetId="1" hidden="1">Header!$A$10:$E$56</definedName>
    <definedName name="jenisIdentitas">DATA!$C$721:$C$724</definedName>
    <definedName name="laba_rugi">'0200'!$A$2:$D$121</definedName>
    <definedName name="lap_posisi_keuangan">'0100'!$A$2:$F$61</definedName>
    <definedName name="MandiriPjti">DATA!$A$770:$A$771</definedName>
    <definedName name="rekening_administratif">'0101'!$A$2:$F$24</definedName>
    <definedName name="rincian_aset_lainnya">'0900'!$A$2:$E$14</definedName>
    <definedName name="sandiBank">DATA!$K$4:$K$2004</definedName>
    <definedName name="sandiJenisKredit">DATA!$C$598:$C$603</definedName>
    <definedName name="tujuanPenyertaan">DATA!$C$683:$C$686</definedName>
    <definedName name="yaTidak">DATA!$A$10:$A$11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53" roundtripDataChecksum="2+6vy/dz/zEVySoVMXvIvUfBWnoZiNtv37mZkOj41LM="/>
    </ext>
  </extLst>
</workbook>
</file>

<file path=xl/calcChain.xml><?xml version="1.0" encoding="utf-8"?>
<calcChain xmlns="http://schemas.openxmlformats.org/spreadsheetml/2006/main">
  <c r="I64" i="25" l="1"/>
  <c r="G64" i="25"/>
  <c r="C742" i="1"/>
  <c r="C741" i="1"/>
  <c r="C740" i="1"/>
  <c r="I4" i="46"/>
  <c r="C655" i="1"/>
  <c r="F90" i="25"/>
  <c r="F153" i="25"/>
  <c r="F32" i="25"/>
  <c r="F3" i="25"/>
  <c r="F4" i="25"/>
  <c r="F5" i="25"/>
  <c r="F6" i="25"/>
  <c r="F7" i="25"/>
  <c r="F8" i="25"/>
  <c r="F9" i="25"/>
  <c r="F10" i="25"/>
  <c r="F11" i="25"/>
  <c r="F12" i="25"/>
  <c r="F13" i="25"/>
  <c r="F14" i="25"/>
  <c r="F16" i="25"/>
  <c r="F17" i="25"/>
  <c r="F18" i="25"/>
  <c r="F19" i="25"/>
  <c r="F20" i="25"/>
  <c r="F21" i="25"/>
  <c r="F22" i="25"/>
  <c r="F23" i="25"/>
  <c r="F24" i="25"/>
  <c r="F25" i="25"/>
  <c r="F26" i="25"/>
  <c r="F29" i="25"/>
  <c r="F31" i="25"/>
  <c r="F33" i="25"/>
  <c r="F34" i="25"/>
  <c r="F35" i="25"/>
  <c r="F36" i="25"/>
  <c r="F37" i="25"/>
  <c r="F38" i="25"/>
  <c r="F39" i="25"/>
  <c r="F40" i="25"/>
  <c r="F41" i="25"/>
  <c r="F42" i="25"/>
  <c r="F46" i="25"/>
  <c r="F47" i="25"/>
  <c r="F49" i="25"/>
  <c r="F50" i="25"/>
  <c r="F51" i="25"/>
  <c r="F52" i="25"/>
  <c r="F54" i="25"/>
  <c r="F55" i="25"/>
  <c r="F56" i="25"/>
  <c r="F57" i="25"/>
  <c r="F59" i="25"/>
  <c r="F60" i="25"/>
  <c r="F62" i="25"/>
  <c r="F106" i="25"/>
  <c r="F169" i="25"/>
  <c r="A1" i="14"/>
  <c r="A1" i="15"/>
  <c r="A1" i="48"/>
  <c r="A1" i="47"/>
  <c r="A1" i="46"/>
  <c r="A1" i="45"/>
  <c r="A1" i="44"/>
  <c r="A1" i="29"/>
  <c r="A1" i="43"/>
  <c r="A1" i="42"/>
  <c r="A1" i="41"/>
  <c r="A1" i="40"/>
  <c r="A1" i="39"/>
  <c r="A1" i="38"/>
  <c r="A1" i="37"/>
  <c r="A1" i="36"/>
  <c r="A1" i="35"/>
  <c r="A1" i="34"/>
  <c r="A1" i="33"/>
  <c r="A1" i="32"/>
  <c r="A1" i="31"/>
  <c r="A1" i="30"/>
  <c r="A1" i="28"/>
  <c r="A1" i="27"/>
  <c r="A1" i="26"/>
  <c r="A1" i="25"/>
  <c r="A1" i="18"/>
  <c r="A1" i="24"/>
  <c r="A1" i="23"/>
  <c r="A1" i="22"/>
  <c r="A1" i="21"/>
  <c r="A1" i="20"/>
  <c r="A1" i="19"/>
  <c r="A1" i="16"/>
  <c r="A1" i="13"/>
  <c r="A1" i="12"/>
  <c r="A1" i="11"/>
  <c r="A1" i="10"/>
  <c r="A1" i="9"/>
  <c r="A1" i="8"/>
  <c r="A1" i="7"/>
  <c r="A1" i="6"/>
  <c r="A1" i="5"/>
  <c r="A1" i="4"/>
  <c r="A1" i="3"/>
  <c r="F27" i="25" l="1"/>
  <c r="F43" i="25"/>
  <c r="G3" i="27"/>
  <c r="D33" i="22" l="1"/>
  <c r="C33" i="22"/>
  <c r="G36" i="27" l="1"/>
  <c r="G89" i="27"/>
  <c r="C47" i="22"/>
  <c r="C49" i="22" s="1"/>
  <c r="C46" i="22"/>
  <c r="C40" i="22"/>
  <c r="I5" i="36"/>
  <c r="I6" i="36"/>
  <c r="D12" i="21"/>
  <c r="D20" i="21" s="1"/>
  <c r="E12" i="21"/>
  <c r="E20" i="21" s="1"/>
  <c r="F12" i="21"/>
  <c r="F20" i="21" s="1"/>
  <c r="G12" i="21"/>
  <c r="G20" i="21" s="1"/>
  <c r="H12" i="21"/>
  <c r="I12" i="21"/>
  <c r="J12" i="21"/>
  <c r="K12" i="21"/>
  <c r="K20" i="21" s="1"/>
  <c r="C12" i="21"/>
  <c r="C20" i="21" s="1"/>
  <c r="L5" i="21"/>
  <c r="L6" i="21"/>
  <c r="L7" i="21"/>
  <c r="L8" i="21"/>
  <c r="L9" i="21"/>
  <c r="L10" i="21"/>
  <c r="L11" i="21"/>
  <c r="L13" i="21"/>
  <c r="L14" i="21"/>
  <c r="L15" i="21"/>
  <c r="L16" i="21"/>
  <c r="L17" i="21"/>
  <c r="L18" i="21"/>
  <c r="L19" i="21"/>
  <c r="L4" i="21"/>
  <c r="H20" i="21"/>
  <c r="I20" i="21"/>
  <c r="J20" i="21"/>
  <c r="D40" i="22"/>
  <c r="L20" i="21" l="1"/>
  <c r="L12" i="21"/>
  <c r="I4" i="36"/>
  <c r="I3" i="36"/>
  <c r="G245" i="27" l="1"/>
  <c r="G367" i="27" s="1"/>
  <c r="G244" i="27"/>
  <c r="G366" i="27" s="1"/>
  <c r="G243" i="27"/>
  <c r="G365" i="27" s="1"/>
  <c r="G242" i="27"/>
  <c r="G364" i="27" s="1"/>
  <c r="G241" i="27"/>
  <c r="G363" i="27" s="1"/>
  <c r="G239" i="27"/>
  <c r="G361" i="27" s="1"/>
  <c r="G238" i="27"/>
  <c r="G360" i="27" s="1"/>
  <c r="G237" i="27"/>
  <c r="G359" i="27" s="1"/>
  <c r="G233" i="27"/>
  <c r="G232" i="27"/>
  <c r="G231" i="27"/>
  <c r="G228" i="27"/>
  <c r="G350" i="27" s="1"/>
  <c r="G227" i="27"/>
  <c r="G349" i="27" s="1"/>
  <c r="G226" i="27"/>
  <c r="G348" i="27" s="1"/>
  <c r="G225" i="27"/>
  <c r="G347" i="27" s="1"/>
  <c r="G224" i="27"/>
  <c r="G346" i="27" s="1"/>
  <c r="G222" i="27"/>
  <c r="G219" i="27"/>
  <c r="G341" i="27" s="1"/>
  <c r="G218" i="27"/>
  <c r="G340" i="27" s="1"/>
  <c r="G217" i="27"/>
  <c r="G339" i="27" s="1"/>
  <c r="G216" i="27"/>
  <c r="G338" i="27" s="1"/>
  <c r="G215" i="27"/>
  <c r="G337" i="27" s="1"/>
  <c r="G179" i="27"/>
  <c r="G301" i="27" s="1"/>
  <c r="G178" i="27"/>
  <c r="G300" i="27" s="1"/>
  <c r="G176" i="27"/>
  <c r="G298" i="27" s="1"/>
  <c r="G175" i="27"/>
  <c r="G297" i="27" s="1"/>
  <c r="G173" i="27"/>
  <c r="G295" i="27" s="1"/>
  <c r="G172" i="27"/>
  <c r="G294" i="27" s="1"/>
  <c r="G171" i="27"/>
  <c r="G293" i="27" s="1"/>
  <c r="G168" i="27"/>
  <c r="G290" i="27" s="1"/>
  <c r="G167" i="27"/>
  <c r="G289" i="27" s="1"/>
  <c r="G166" i="27"/>
  <c r="G288" i="27" s="1"/>
  <c r="G165" i="27"/>
  <c r="G163" i="27"/>
  <c r="G285" i="27" s="1"/>
  <c r="G162" i="27"/>
  <c r="G284" i="27" s="1"/>
  <c r="G161" i="27"/>
  <c r="G283" i="27" s="1"/>
  <c r="G157" i="27"/>
  <c r="G279" i="27" s="1"/>
  <c r="G156" i="27"/>
  <c r="G155" i="27"/>
  <c r="G277" i="27" s="1"/>
  <c r="G154" i="27"/>
  <c r="G276" i="27" s="1"/>
  <c r="G153" i="27"/>
  <c r="G275" i="27" s="1"/>
  <c r="G152" i="27"/>
  <c r="G274" i="27" s="1"/>
  <c r="G151" i="27"/>
  <c r="G273" i="27" s="1"/>
  <c r="G150" i="27"/>
  <c r="G272" i="27" s="1"/>
  <c r="G149" i="27"/>
  <c r="G271" i="27" s="1"/>
  <c r="G148" i="27"/>
  <c r="G270" i="27" s="1"/>
  <c r="G147" i="27"/>
  <c r="G269" i="27" s="1"/>
  <c r="G145" i="27"/>
  <c r="G267" i="27" s="1"/>
  <c r="G144" i="27"/>
  <c r="G266" i="27" s="1"/>
  <c r="G143" i="27"/>
  <c r="G265" i="27" s="1"/>
  <c r="G141" i="27"/>
  <c r="G263" i="27" s="1"/>
  <c r="G139" i="27"/>
  <c r="G261" i="27" s="1"/>
  <c r="G138" i="27"/>
  <c r="G260" i="27" s="1"/>
  <c r="G136" i="27"/>
  <c r="G258" i="27" s="1"/>
  <c r="G135" i="27"/>
  <c r="G257" i="27" s="1"/>
  <c r="G133" i="27"/>
  <c r="G255" i="27" s="1"/>
  <c r="G132" i="27"/>
  <c r="G254" i="27" s="1"/>
  <c r="G131" i="27"/>
  <c r="G253" i="27" s="1"/>
  <c r="G130" i="27"/>
  <c r="G252" i="27" s="1"/>
  <c r="G128" i="27"/>
  <c r="G250" i="27" s="1"/>
  <c r="G213" i="27"/>
  <c r="G209" i="27"/>
  <c r="G331" i="27" s="1"/>
  <c r="G208" i="27"/>
  <c r="G330" i="27" s="1"/>
  <c r="G207" i="27"/>
  <c r="G329" i="27" s="1"/>
  <c r="G206" i="27"/>
  <c r="G328" i="27" s="1"/>
  <c r="G205" i="27"/>
  <c r="G327" i="27" s="1"/>
  <c r="G204" i="27"/>
  <c r="G326" i="27" s="1"/>
  <c r="G202" i="27"/>
  <c r="G324" i="27" s="1"/>
  <c r="G201" i="27"/>
  <c r="G323" i="27" s="1"/>
  <c r="G200" i="27"/>
  <c r="G322" i="27" s="1"/>
  <c r="G198" i="27"/>
  <c r="G320" i="27" s="1"/>
  <c r="G197" i="27"/>
  <c r="G319" i="27" s="1"/>
  <c r="G196" i="27"/>
  <c r="G318" i="27" s="1"/>
  <c r="G195" i="27"/>
  <c r="G317" i="27" s="1"/>
  <c r="G194" i="27"/>
  <c r="G316" i="27" s="1"/>
  <c r="G193" i="27"/>
  <c r="G315" i="27" s="1"/>
  <c r="G192" i="27"/>
  <c r="G314" i="27" s="1"/>
  <c r="G191" i="27"/>
  <c r="G313" i="27" s="1"/>
  <c r="G189" i="27"/>
  <c r="G311" i="27" s="1"/>
  <c r="G188" i="27"/>
  <c r="G310" i="27" s="1"/>
  <c r="G187" i="27"/>
  <c r="G309" i="27" s="1"/>
  <c r="G186" i="27"/>
  <c r="G308" i="27" s="1"/>
  <c r="G183" i="27"/>
  <c r="G305" i="27" s="1"/>
  <c r="G182" i="27"/>
  <c r="G304" i="27" s="1"/>
  <c r="G181" i="27"/>
  <c r="G303" i="27" s="1"/>
  <c r="G180" i="27"/>
  <c r="G302" i="27" s="1"/>
  <c r="M7" i="30"/>
  <c r="M6" i="30"/>
  <c r="M5" i="30"/>
  <c r="M4" i="30"/>
  <c r="L7" i="30"/>
  <c r="L6" i="30"/>
  <c r="L5" i="30"/>
  <c r="L4" i="30"/>
  <c r="G1050" i="1"/>
  <c r="G1049" i="1"/>
  <c r="G1048" i="1"/>
  <c r="G1047" i="1"/>
  <c r="G220" i="27" l="1"/>
  <c r="G211" i="27"/>
  <c r="G287" i="27"/>
  <c r="G280" i="27" s="1"/>
  <c r="G158" i="27"/>
  <c r="G278" i="27"/>
  <c r="G247" i="27" s="1"/>
  <c r="G125" i="27"/>
  <c r="G344" i="27"/>
  <c r="G342" i="27" s="1"/>
  <c r="G335" i="27"/>
  <c r="G333" i="27" s="1"/>
  <c r="G351" i="27" s="1"/>
  <c r="AP8" i="32"/>
  <c r="AP7" i="32"/>
  <c r="AP6" i="32"/>
  <c r="AP5" i="32"/>
  <c r="P7" i="40"/>
  <c r="P6" i="40"/>
  <c r="P5" i="40"/>
  <c r="P4" i="40"/>
  <c r="O7" i="41"/>
  <c r="O6" i="41"/>
  <c r="O5" i="41"/>
  <c r="O4" i="41"/>
  <c r="I3" i="46"/>
  <c r="G98" i="27"/>
  <c r="B62" i="26"/>
  <c r="B57" i="26"/>
  <c r="B56" i="26"/>
  <c r="B52" i="26"/>
  <c r="B39" i="26"/>
  <c r="B34" i="26"/>
  <c r="B33" i="26"/>
  <c r="B29" i="26"/>
  <c r="F24" i="26"/>
  <c r="F23" i="26"/>
  <c r="F22" i="26"/>
  <c r="F21" i="26"/>
  <c r="F20" i="26"/>
  <c r="F19" i="26"/>
  <c r="F18" i="26"/>
  <c r="F17" i="26"/>
  <c r="B16" i="26"/>
  <c r="F13" i="26"/>
  <c r="B11" i="26"/>
  <c r="B10" i="26"/>
  <c r="F9" i="26"/>
  <c r="F8" i="26"/>
  <c r="F7" i="26"/>
  <c r="B6" i="26"/>
  <c r="F5" i="26"/>
  <c r="F4" i="26"/>
  <c r="G229" i="27" l="1"/>
  <c r="G210" i="27"/>
  <c r="G230" i="27" s="1"/>
  <c r="G234" i="27" s="1"/>
  <c r="F126" i="25" s="1"/>
  <c r="G332" i="27"/>
  <c r="G352" i="27" s="1"/>
  <c r="G356" i="27" s="1"/>
  <c r="F189" i="25" s="1"/>
  <c r="F190" i="25" s="1"/>
  <c r="G107" i="27"/>
  <c r="G88" i="27"/>
  <c r="D46" i="22"/>
  <c r="E9" i="19"/>
  <c r="E8" i="19" s="1"/>
  <c r="D9" i="19"/>
  <c r="D8" i="19" s="1"/>
  <c r="E4" i="19"/>
  <c r="E3" i="19" s="1"/>
  <c r="D4" i="19"/>
  <c r="E13" i="19" l="1"/>
  <c r="D3" i="19"/>
  <c r="D13" i="19" s="1"/>
  <c r="F127" i="25"/>
  <c r="F63" i="25"/>
  <c r="F64" i="25" s="1"/>
  <c r="G108" i="27"/>
  <c r="D47" i="22"/>
  <c r="D49" i="22" s="1"/>
  <c r="AA254" i="1"/>
  <c r="AA253" i="1"/>
  <c r="AA252" i="1"/>
  <c r="AA251" i="1"/>
  <c r="AA250" i="1"/>
  <c r="AA249" i="1"/>
  <c r="AA248" i="1"/>
  <c r="AA247" i="1"/>
  <c r="AA246" i="1"/>
  <c r="AA245" i="1"/>
  <c r="AA244" i="1"/>
  <c r="AA243" i="1"/>
  <c r="AA242" i="1"/>
  <c r="AA241" i="1"/>
  <c r="AA240" i="1"/>
  <c r="AA239" i="1"/>
  <c r="AA238" i="1"/>
  <c r="AA237" i="1"/>
  <c r="AA236" i="1"/>
  <c r="AA235" i="1"/>
  <c r="AA234" i="1"/>
  <c r="AA233" i="1"/>
  <c r="AA232" i="1"/>
  <c r="AA231" i="1"/>
  <c r="AA230" i="1"/>
  <c r="AA229" i="1"/>
  <c r="AA228" i="1"/>
  <c r="AA227" i="1"/>
  <c r="AA226" i="1"/>
  <c r="AA225" i="1"/>
  <c r="AA224" i="1"/>
  <c r="AA223" i="1"/>
  <c r="AA222" i="1"/>
  <c r="AA221" i="1"/>
  <c r="AA220" i="1"/>
  <c r="AA219" i="1"/>
  <c r="AA218" i="1"/>
  <c r="AA217" i="1"/>
  <c r="AA216" i="1"/>
  <c r="AA215" i="1"/>
  <c r="AA214" i="1"/>
  <c r="AA213" i="1"/>
  <c r="AA212" i="1"/>
  <c r="AA211" i="1"/>
  <c r="AA210" i="1"/>
  <c r="AA209" i="1"/>
  <c r="AA208" i="1"/>
  <c r="AA207" i="1"/>
  <c r="AA206" i="1"/>
  <c r="AA205" i="1"/>
  <c r="AA204" i="1"/>
  <c r="AA203" i="1"/>
  <c r="AA202" i="1"/>
  <c r="AA201" i="1"/>
  <c r="AA200" i="1"/>
  <c r="AA199" i="1"/>
  <c r="AA198" i="1"/>
  <c r="AA197" i="1"/>
  <c r="AA196" i="1"/>
  <c r="AA195"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AA53" i="1"/>
  <c r="AA52" i="1"/>
  <c r="AA51" i="1"/>
  <c r="AA50" i="1"/>
  <c r="AA49" i="1"/>
  <c r="AA48" i="1"/>
  <c r="AA47" i="1"/>
  <c r="AA46" i="1"/>
  <c r="AA45" i="1"/>
  <c r="AA44" i="1"/>
  <c r="AA43" i="1"/>
  <c r="AA42" i="1"/>
  <c r="AA41" i="1"/>
  <c r="AA40" i="1"/>
  <c r="AA39" i="1"/>
  <c r="AA38" i="1"/>
  <c r="AA37" i="1"/>
  <c r="AA36" i="1"/>
  <c r="AA35" i="1"/>
  <c r="AA34" i="1"/>
  <c r="AA33" i="1"/>
  <c r="AA32" i="1"/>
  <c r="AA31" i="1"/>
  <c r="AA30" i="1"/>
  <c r="AA29" i="1"/>
  <c r="AA28" i="1"/>
  <c r="AA27" i="1"/>
  <c r="AA26" i="1"/>
  <c r="AA25" i="1"/>
  <c r="AA24" i="1"/>
  <c r="AA23" i="1"/>
  <c r="AA22" i="1"/>
  <c r="AA21" i="1"/>
  <c r="AA20" i="1"/>
  <c r="AA19" i="1"/>
  <c r="AA18" i="1"/>
  <c r="AA17" i="1"/>
  <c r="AA16" i="1"/>
  <c r="AA15" i="1"/>
  <c r="AA14" i="1"/>
  <c r="AA13" i="1"/>
  <c r="AA12" i="1"/>
  <c r="AA11" i="1"/>
  <c r="AA10" i="1"/>
  <c r="AA9" i="1"/>
  <c r="AA8" i="1"/>
  <c r="AA7" i="1"/>
  <c r="AA6" i="1"/>
  <c r="AA5" i="1"/>
  <c r="AA4" i="1"/>
  <c r="G112" i="27" l="1"/>
  <c r="F13" i="28"/>
  <c r="F14" i="28"/>
  <c r="F15" i="28"/>
  <c r="F16" i="28"/>
  <c r="F17" i="28"/>
  <c r="F18" i="28"/>
  <c r="E12" i="17" l="1"/>
  <c r="E7" i="17"/>
  <c r="D7" i="17"/>
  <c r="K2004" i="1"/>
  <c r="K2003" i="1"/>
  <c r="K2002" i="1"/>
  <c r="K2001" i="1"/>
  <c r="K2000" i="1"/>
  <c r="K1999" i="1"/>
  <c r="K1998" i="1"/>
  <c r="K1997" i="1"/>
  <c r="K1996" i="1"/>
  <c r="K1995" i="1"/>
  <c r="K1994" i="1"/>
  <c r="K1993" i="1"/>
  <c r="K1992" i="1"/>
  <c r="K1991" i="1"/>
  <c r="K1990" i="1"/>
  <c r="K1989" i="1"/>
  <c r="K1988" i="1"/>
  <c r="K1987" i="1"/>
  <c r="K1986" i="1"/>
  <c r="K1985" i="1"/>
  <c r="K1984" i="1"/>
  <c r="K1983" i="1"/>
  <c r="K1982" i="1"/>
  <c r="K1981" i="1"/>
  <c r="K1980" i="1"/>
  <c r="K1979" i="1"/>
  <c r="K1978" i="1"/>
  <c r="K1977" i="1"/>
  <c r="K1976" i="1"/>
  <c r="K1975" i="1"/>
  <c r="K1974" i="1"/>
  <c r="K1973" i="1"/>
  <c r="K1972" i="1"/>
  <c r="K1971" i="1"/>
  <c r="K1970" i="1"/>
  <c r="K1969" i="1"/>
  <c r="K1968" i="1"/>
  <c r="K1967" i="1"/>
  <c r="K1966" i="1"/>
  <c r="K1965" i="1"/>
  <c r="K1964" i="1"/>
  <c r="K1963" i="1"/>
  <c r="K1962" i="1"/>
  <c r="K1961" i="1"/>
  <c r="K1960" i="1"/>
  <c r="K1959" i="1"/>
  <c r="K1958" i="1"/>
  <c r="K1957" i="1"/>
  <c r="K1956" i="1"/>
  <c r="K1955" i="1"/>
  <c r="K1954" i="1"/>
  <c r="K1953" i="1"/>
  <c r="K1952" i="1"/>
  <c r="K1951" i="1"/>
  <c r="K1950" i="1"/>
  <c r="K1949" i="1"/>
  <c r="K1948" i="1"/>
  <c r="K1947" i="1"/>
  <c r="K1946" i="1"/>
  <c r="K1945" i="1"/>
  <c r="K1944" i="1"/>
  <c r="K1943" i="1"/>
  <c r="K1942" i="1"/>
  <c r="K1941" i="1"/>
  <c r="K1940" i="1"/>
  <c r="K1939" i="1"/>
  <c r="K1938" i="1"/>
  <c r="K1937" i="1"/>
  <c r="K1936" i="1"/>
  <c r="K1935" i="1"/>
  <c r="K1934" i="1"/>
  <c r="K1933" i="1"/>
  <c r="K1932" i="1"/>
  <c r="K1931" i="1"/>
  <c r="K1930" i="1"/>
  <c r="K1929" i="1"/>
  <c r="K1928" i="1"/>
  <c r="K1927" i="1"/>
  <c r="K1926" i="1"/>
  <c r="K1925" i="1"/>
  <c r="K1924" i="1"/>
  <c r="K1923" i="1"/>
  <c r="K1922" i="1"/>
  <c r="K1921" i="1"/>
  <c r="K1920" i="1"/>
  <c r="K1919" i="1"/>
  <c r="K1918" i="1"/>
  <c r="K1917" i="1"/>
  <c r="K1916" i="1"/>
  <c r="K1915" i="1"/>
  <c r="K1914" i="1"/>
  <c r="K1913" i="1"/>
  <c r="K1912" i="1"/>
  <c r="K1911" i="1"/>
  <c r="K1910" i="1"/>
  <c r="K1909" i="1"/>
  <c r="K1908" i="1"/>
  <c r="K1907" i="1"/>
  <c r="K1906" i="1"/>
  <c r="K1905" i="1"/>
  <c r="K1904" i="1"/>
  <c r="K1903" i="1"/>
  <c r="K1902" i="1"/>
  <c r="K1901" i="1"/>
  <c r="K1900" i="1"/>
  <c r="K1899" i="1"/>
  <c r="K1898" i="1"/>
  <c r="K1897" i="1"/>
  <c r="K1896" i="1"/>
  <c r="K1895" i="1"/>
  <c r="K1894" i="1"/>
  <c r="K1893" i="1"/>
  <c r="K1892" i="1"/>
  <c r="K1891" i="1"/>
  <c r="K1890" i="1"/>
  <c r="K1889" i="1"/>
  <c r="K1888" i="1"/>
  <c r="K1887" i="1"/>
  <c r="K1886" i="1"/>
  <c r="K1885" i="1"/>
  <c r="K1884" i="1"/>
  <c r="K1883" i="1"/>
  <c r="K1882" i="1"/>
  <c r="K1881" i="1"/>
  <c r="K1880" i="1"/>
  <c r="K1879" i="1"/>
  <c r="K1878" i="1"/>
  <c r="K1877" i="1"/>
  <c r="K1876" i="1"/>
  <c r="K1875" i="1"/>
  <c r="K1874" i="1"/>
  <c r="K1873" i="1"/>
  <c r="K1872" i="1"/>
  <c r="K1871" i="1"/>
  <c r="K1870" i="1"/>
  <c r="K1869" i="1"/>
  <c r="K1868" i="1"/>
  <c r="K1867" i="1"/>
  <c r="K1866" i="1"/>
  <c r="K1865" i="1"/>
  <c r="K1864" i="1"/>
  <c r="K1863" i="1"/>
  <c r="K1862" i="1"/>
  <c r="K1861" i="1"/>
  <c r="K1860" i="1"/>
  <c r="K1859" i="1"/>
  <c r="K1858" i="1"/>
  <c r="K1857" i="1"/>
  <c r="K1856" i="1"/>
  <c r="K1855" i="1"/>
  <c r="K1854" i="1"/>
  <c r="K1853" i="1"/>
  <c r="K1852" i="1"/>
  <c r="K1851" i="1"/>
  <c r="K1850" i="1"/>
  <c r="K1849" i="1"/>
  <c r="K1848" i="1"/>
  <c r="K1847" i="1"/>
  <c r="K1846" i="1"/>
  <c r="K1845" i="1"/>
  <c r="K1844" i="1"/>
  <c r="K1843" i="1"/>
  <c r="K1842" i="1"/>
  <c r="K1841" i="1"/>
  <c r="K1840" i="1"/>
  <c r="K1839" i="1"/>
  <c r="K1838" i="1"/>
  <c r="K1837" i="1"/>
  <c r="K1836" i="1"/>
  <c r="K1835" i="1"/>
  <c r="K1834" i="1"/>
  <c r="K1833" i="1"/>
  <c r="K1832" i="1"/>
  <c r="K1831" i="1"/>
  <c r="K1830" i="1"/>
  <c r="K1829" i="1"/>
  <c r="K1828" i="1"/>
  <c r="K1827" i="1"/>
  <c r="K1826" i="1"/>
  <c r="K1825" i="1"/>
  <c r="K1824" i="1"/>
  <c r="K1823" i="1"/>
  <c r="K1822" i="1"/>
  <c r="K1821" i="1"/>
  <c r="K1820" i="1"/>
  <c r="K1819" i="1"/>
  <c r="K1818" i="1"/>
  <c r="K1817" i="1"/>
  <c r="K1816" i="1"/>
  <c r="K1815" i="1"/>
  <c r="K1814" i="1"/>
  <c r="K1813" i="1"/>
  <c r="K1812" i="1"/>
  <c r="K1811" i="1"/>
  <c r="K1810" i="1"/>
  <c r="K1809" i="1"/>
  <c r="K1808" i="1"/>
  <c r="K1807" i="1"/>
  <c r="K1806" i="1"/>
  <c r="K1805" i="1"/>
  <c r="K1804" i="1"/>
  <c r="K1803" i="1"/>
  <c r="K1802" i="1"/>
  <c r="K1801" i="1"/>
  <c r="K1800" i="1"/>
  <c r="K1799" i="1"/>
  <c r="K1798" i="1"/>
  <c r="K1797" i="1"/>
  <c r="K1796" i="1"/>
  <c r="K1795" i="1"/>
  <c r="K1794" i="1"/>
  <c r="K1793" i="1"/>
  <c r="K1792" i="1"/>
  <c r="K1791" i="1"/>
  <c r="K1790" i="1"/>
  <c r="K1789" i="1"/>
  <c r="K1788" i="1"/>
  <c r="K1787" i="1"/>
  <c r="K1786" i="1"/>
  <c r="K1785" i="1"/>
  <c r="K1784" i="1"/>
  <c r="K1783" i="1"/>
  <c r="K1782" i="1"/>
  <c r="K1781" i="1"/>
  <c r="K1780" i="1"/>
  <c r="K1779" i="1"/>
  <c r="K1778" i="1"/>
  <c r="K1777" i="1"/>
  <c r="K1776" i="1"/>
  <c r="K1775" i="1"/>
  <c r="K1774" i="1"/>
  <c r="K1773" i="1"/>
  <c r="K1772" i="1"/>
  <c r="K1771" i="1"/>
  <c r="K1770" i="1"/>
  <c r="K1769" i="1"/>
  <c r="K1768" i="1"/>
  <c r="K1767" i="1"/>
  <c r="K1766" i="1"/>
  <c r="K1765" i="1"/>
  <c r="K1764" i="1"/>
  <c r="K1763" i="1"/>
  <c r="K1762" i="1"/>
  <c r="K1761" i="1"/>
  <c r="K1760" i="1"/>
  <c r="K1759" i="1"/>
  <c r="K1758" i="1"/>
  <c r="K1757" i="1"/>
  <c r="K1756" i="1"/>
  <c r="K1755" i="1"/>
  <c r="K1754" i="1"/>
  <c r="K1753" i="1"/>
  <c r="K1752" i="1"/>
  <c r="K1751" i="1"/>
  <c r="K1750" i="1"/>
  <c r="K1749" i="1"/>
  <c r="K1748" i="1"/>
  <c r="K1747" i="1"/>
  <c r="K1746" i="1"/>
  <c r="K1745" i="1"/>
  <c r="K1744" i="1"/>
  <c r="K1743" i="1"/>
  <c r="K1742" i="1"/>
  <c r="K1741" i="1"/>
  <c r="K1740" i="1"/>
  <c r="K1739" i="1"/>
  <c r="K1738" i="1"/>
  <c r="K1737" i="1"/>
  <c r="K1736" i="1"/>
  <c r="K1735" i="1"/>
  <c r="K1734" i="1"/>
  <c r="K1733" i="1"/>
  <c r="K1732" i="1"/>
  <c r="K1731" i="1"/>
  <c r="K1730" i="1"/>
  <c r="K1729" i="1"/>
  <c r="K1728" i="1"/>
  <c r="K1727" i="1"/>
  <c r="K1726" i="1"/>
  <c r="K1725" i="1"/>
  <c r="K1724" i="1"/>
  <c r="K1723" i="1"/>
  <c r="K1722" i="1"/>
  <c r="K1721" i="1"/>
  <c r="K1720" i="1"/>
  <c r="K1719" i="1"/>
  <c r="K1718" i="1"/>
  <c r="K1717" i="1"/>
  <c r="K1716" i="1"/>
  <c r="K1715" i="1"/>
  <c r="K1714" i="1"/>
  <c r="K1713" i="1"/>
  <c r="K1712" i="1"/>
  <c r="K1711" i="1"/>
  <c r="K1710" i="1"/>
  <c r="K1709" i="1"/>
  <c r="K1708" i="1"/>
  <c r="K1707" i="1"/>
  <c r="K1706" i="1"/>
  <c r="K1705" i="1"/>
  <c r="K1704" i="1"/>
  <c r="K1703" i="1"/>
  <c r="K1702" i="1"/>
  <c r="K1701" i="1"/>
  <c r="K1700" i="1"/>
  <c r="K1699" i="1"/>
  <c r="K1698" i="1"/>
  <c r="K1697" i="1"/>
  <c r="K1696" i="1"/>
  <c r="K1695" i="1"/>
  <c r="K1694" i="1"/>
  <c r="K1693" i="1"/>
  <c r="K1692" i="1"/>
  <c r="K1691" i="1"/>
  <c r="K1690" i="1"/>
  <c r="K1689" i="1"/>
  <c r="K1688" i="1"/>
  <c r="K1687" i="1"/>
  <c r="K1686" i="1"/>
  <c r="K1685" i="1"/>
  <c r="K1684" i="1"/>
  <c r="K1683" i="1"/>
  <c r="K1682" i="1"/>
  <c r="K1681" i="1"/>
  <c r="K1680" i="1"/>
  <c r="K1679" i="1"/>
  <c r="K1678" i="1"/>
  <c r="K1677" i="1"/>
  <c r="K1676" i="1"/>
  <c r="K1675" i="1"/>
  <c r="K1674" i="1"/>
  <c r="K1673" i="1"/>
  <c r="K1672" i="1"/>
  <c r="K1671" i="1"/>
  <c r="K1670" i="1"/>
  <c r="K1669" i="1"/>
  <c r="K1668" i="1"/>
  <c r="K1667" i="1"/>
  <c r="K1666" i="1"/>
  <c r="K1665" i="1"/>
  <c r="K1664" i="1"/>
  <c r="K1663" i="1"/>
  <c r="K1662" i="1"/>
  <c r="K1661" i="1"/>
  <c r="K1660" i="1"/>
  <c r="K1659" i="1"/>
  <c r="K1658" i="1"/>
  <c r="K1657" i="1"/>
  <c r="K1656" i="1"/>
  <c r="K1655" i="1"/>
  <c r="K1654" i="1"/>
  <c r="K1653" i="1"/>
  <c r="K1652" i="1"/>
  <c r="K1651" i="1"/>
  <c r="K1650" i="1"/>
  <c r="K1649" i="1"/>
  <c r="K1648" i="1"/>
  <c r="K1647" i="1"/>
  <c r="K1646" i="1"/>
  <c r="K1645" i="1"/>
  <c r="K1644" i="1"/>
  <c r="K1643" i="1"/>
  <c r="K1642" i="1"/>
  <c r="K1641" i="1"/>
  <c r="K1640" i="1"/>
  <c r="K1639" i="1"/>
  <c r="K1638" i="1"/>
  <c r="K1637" i="1"/>
  <c r="K1636" i="1"/>
  <c r="K1635" i="1"/>
  <c r="K1634" i="1"/>
  <c r="K1633" i="1"/>
  <c r="K1632" i="1"/>
  <c r="K1631" i="1"/>
  <c r="K1630" i="1"/>
  <c r="K1629" i="1"/>
  <c r="K1628" i="1"/>
  <c r="K1627" i="1"/>
  <c r="K1626" i="1"/>
  <c r="K1625" i="1"/>
  <c r="K1624" i="1"/>
  <c r="K1623" i="1"/>
  <c r="K1622" i="1"/>
  <c r="K1621" i="1"/>
  <c r="K1620" i="1"/>
  <c r="K1619" i="1"/>
  <c r="K1618" i="1"/>
  <c r="K1617" i="1"/>
  <c r="K1616" i="1"/>
  <c r="K1615" i="1"/>
  <c r="K1614" i="1"/>
  <c r="K1613" i="1"/>
  <c r="K1612" i="1"/>
  <c r="K1611" i="1"/>
  <c r="K1610" i="1"/>
  <c r="K1609" i="1"/>
  <c r="K1608" i="1"/>
  <c r="K1607" i="1"/>
  <c r="K1606" i="1"/>
  <c r="K1605" i="1"/>
  <c r="K1604" i="1"/>
  <c r="K1603" i="1"/>
  <c r="K1602" i="1"/>
  <c r="K1601" i="1"/>
  <c r="K1600" i="1"/>
  <c r="K1599" i="1"/>
  <c r="K1598" i="1"/>
  <c r="K1597" i="1"/>
  <c r="K1596" i="1"/>
  <c r="K1595" i="1"/>
  <c r="K1594" i="1"/>
  <c r="K1593" i="1"/>
  <c r="K1592" i="1"/>
  <c r="K1591" i="1"/>
  <c r="K1590" i="1"/>
  <c r="K1589" i="1"/>
  <c r="K1588" i="1"/>
  <c r="K1587" i="1"/>
  <c r="K1586" i="1"/>
  <c r="K1585" i="1"/>
  <c r="K1584" i="1"/>
  <c r="K1583" i="1"/>
  <c r="K1582" i="1"/>
  <c r="K1581" i="1"/>
  <c r="K1580" i="1"/>
  <c r="K1579" i="1"/>
  <c r="K1578" i="1"/>
  <c r="K1577" i="1"/>
  <c r="K1576" i="1"/>
  <c r="K1575" i="1"/>
  <c r="K1574" i="1"/>
  <c r="K1573" i="1"/>
  <c r="K1572" i="1"/>
  <c r="K1571" i="1"/>
  <c r="K1570" i="1"/>
  <c r="K1569" i="1"/>
  <c r="K1568" i="1"/>
  <c r="K1567" i="1"/>
  <c r="K1566" i="1"/>
  <c r="K1565" i="1"/>
  <c r="K1564" i="1"/>
  <c r="K1563" i="1"/>
  <c r="K1562" i="1"/>
  <c r="K1561" i="1"/>
  <c r="K1560" i="1"/>
  <c r="K1559" i="1"/>
  <c r="K1558" i="1"/>
  <c r="K1557" i="1"/>
  <c r="K1556" i="1"/>
  <c r="K1555" i="1"/>
  <c r="K1554" i="1"/>
  <c r="K1553" i="1"/>
  <c r="K1552" i="1"/>
  <c r="K1551" i="1"/>
  <c r="K1550" i="1"/>
  <c r="K1549" i="1"/>
  <c r="K1548" i="1"/>
  <c r="K1547" i="1"/>
  <c r="K1546" i="1"/>
  <c r="K1545" i="1"/>
  <c r="K1544" i="1"/>
  <c r="K1543" i="1"/>
  <c r="K1542" i="1"/>
  <c r="K1541" i="1"/>
  <c r="K1540" i="1"/>
  <c r="K1539" i="1"/>
  <c r="K1538" i="1"/>
  <c r="K1537" i="1"/>
  <c r="K1536" i="1"/>
  <c r="K1535" i="1"/>
  <c r="K1534" i="1"/>
  <c r="K1533" i="1"/>
  <c r="K1532" i="1"/>
  <c r="K1531" i="1"/>
  <c r="K1530" i="1"/>
  <c r="K1529" i="1"/>
  <c r="K1528" i="1"/>
  <c r="K1527" i="1"/>
  <c r="K1526" i="1"/>
  <c r="K1525" i="1"/>
  <c r="K1524" i="1"/>
  <c r="K1523" i="1"/>
  <c r="K1522" i="1"/>
  <c r="K1521" i="1"/>
  <c r="K1520" i="1"/>
  <c r="K1519" i="1"/>
  <c r="K1518" i="1"/>
  <c r="K1517" i="1"/>
  <c r="K1516" i="1"/>
  <c r="K1515" i="1"/>
  <c r="K1514" i="1"/>
  <c r="K1513" i="1"/>
  <c r="K1512" i="1"/>
  <c r="K1511" i="1"/>
  <c r="K1510" i="1"/>
  <c r="K1509" i="1"/>
  <c r="K1508" i="1"/>
  <c r="K1507" i="1"/>
  <c r="K1506" i="1"/>
  <c r="K1505" i="1"/>
  <c r="K1504" i="1"/>
  <c r="K1503" i="1"/>
  <c r="K1502" i="1"/>
  <c r="K1501" i="1"/>
  <c r="K1500" i="1"/>
  <c r="K1499" i="1"/>
  <c r="K1498" i="1"/>
  <c r="K1497" i="1"/>
  <c r="K1496" i="1"/>
  <c r="K1495" i="1"/>
  <c r="K1494" i="1"/>
  <c r="K1493" i="1"/>
  <c r="K1492" i="1"/>
  <c r="K1491" i="1"/>
  <c r="K1490" i="1"/>
  <c r="K1489" i="1"/>
  <c r="K1488" i="1"/>
  <c r="K1487" i="1"/>
  <c r="K1486" i="1"/>
  <c r="K1485" i="1"/>
  <c r="K1484" i="1"/>
  <c r="K1483" i="1"/>
  <c r="K1482" i="1"/>
  <c r="K1481" i="1"/>
  <c r="K1480" i="1"/>
  <c r="K1479" i="1"/>
  <c r="K1478" i="1"/>
  <c r="K1477" i="1"/>
  <c r="K1476" i="1"/>
  <c r="K1475" i="1"/>
  <c r="K1474" i="1"/>
  <c r="K1473" i="1"/>
  <c r="K1472" i="1"/>
  <c r="K1471" i="1"/>
  <c r="K1470" i="1"/>
  <c r="K1469" i="1"/>
  <c r="K1468" i="1"/>
  <c r="K1467" i="1"/>
  <c r="K1466" i="1"/>
  <c r="K1465" i="1"/>
  <c r="K1464" i="1"/>
  <c r="K1463" i="1"/>
  <c r="K1462" i="1"/>
  <c r="K1461" i="1"/>
  <c r="K1460" i="1"/>
  <c r="K1459" i="1"/>
  <c r="K1458" i="1"/>
  <c r="K1457" i="1"/>
  <c r="K1456" i="1"/>
  <c r="K1455" i="1"/>
  <c r="K1454" i="1"/>
  <c r="K1453" i="1"/>
  <c r="K1452" i="1"/>
  <c r="K1451" i="1"/>
  <c r="K1450" i="1"/>
  <c r="K1449" i="1"/>
  <c r="K1448" i="1"/>
  <c r="K1447" i="1"/>
  <c r="K1446" i="1"/>
  <c r="K1445" i="1"/>
  <c r="K1444" i="1"/>
  <c r="K1443" i="1"/>
  <c r="K1442" i="1"/>
  <c r="K1441" i="1"/>
  <c r="K1440" i="1"/>
  <c r="K1439" i="1"/>
  <c r="K1438" i="1"/>
  <c r="K1437" i="1"/>
  <c r="K1436" i="1"/>
  <c r="K1435" i="1"/>
  <c r="K1434" i="1"/>
  <c r="K1433" i="1"/>
  <c r="K1432" i="1"/>
  <c r="K1431" i="1"/>
  <c r="K1430" i="1"/>
  <c r="K1429" i="1"/>
  <c r="K1428" i="1"/>
  <c r="K1427" i="1"/>
  <c r="K1426" i="1"/>
  <c r="K1425" i="1"/>
  <c r="K1424" i="1"/>
  <c r="K1423" i="1"/>
  <c r="K1422" i="1"/>
  <c r="K1421" i="1"/>
  <c r="K1420" i="1"/>
  <c r="K1419" i="1"/>
  <c r="K1418" i="1"/>
  <c r="K1417" i="1"/>
  <c r="K1416" i="1"/>
  <c r="K1415" i="1"/>
  <c r="K1414" i="1"/>
  <c r="K1413" i="1"/>
  <c r="K1412" i="1"/>
  <c r="K1411" i="1"/>
  <c r="K1410" i="1"/>
  <c r="K1409" i="1"/>
  <c r="K1408" i="1"/>
  <c r="K1407" i="1"/>
  <c r="K1406" i="1"/>
  <c r="K1405" i="1"/>
  <c r="K1404" i="1"/>
  <c r="K1403" i="1"/>
  <c r="K1402" i="1"/>
  <c r="K1401" i="1"/>
  <c r="K1400" i="1"/>
  <c r="K1399" i="1"/>
  <c r="K1398" i="1"/>
  <c r="K1397" i="1"/>
  <c r="K1396" i="1"/>
  <c r="K1395" i="1"/>
  <c r="K1394" i="1"/>
  <c r="K1393" i="1"/>
  <c r="K1392" i="1"/>
  <c r="K1391" i="1"/>
  <c r="K1390" i="1"/>
  <c r="K1389" i="1"/>
  <c r="K1388" i="1"/>
  <c r="K1387" i="1"/>
  <c r="K1386" i="1"/>
  <c r="K1385" i="1"/>
  <c r="K1384" i="1"/>
  <c r="K1383" i="1"/>
  <c r="K1382" i="1"/>
  <c r="K1381" i="1"/>
  <c r="K1380" i="1"/>
  <c r="K1379" i="1"/>
  <c r="K1378" i="1"/>
  <c r="K1377" i="1"/>
  <c r="K1376" i="1"/>
  <c r="K1375" i="1"/>
  <c r="K1374" i="1"/>
  <c r="K1373" i="1"/>
  <c r="K1372" i="1"/>
  <c r="K1371" i="1"/>
  <c r="K1370" i="1"/>
  <c r="K1369" i="1"/>
  <c r="K1368" i="1"/>
  <c r="K1367" i="1"/>
  <c r="K1366" i="1"/>
  <c r="K1365" i="1"/>
  <c r="K1364" i="1"/>
  <c r="K1363" i="1"/>
  <c r="K1362" i="1"/>
  <c r="K1361" i="1"/>
  <c r="K1360" i="1"/>
  <c r="K1359" i="1"/>
  <c r="K1358" i="1"/>
  <c r="K1357" i="1"/>
  <c r="K1356" i="1"/>
  <c r="K1355" i="1"/>
  <c r="K1354" i="1"/>
  <c r="K1353" i="1"/>
  <c r="K1352" i="1"/>
  <c r="K1351" i="1"/>
  <c r="K1350" i="1"/>
  <c r="K1349" i="1"/>
  <c r="K1348" i="1"/>
  <c r="K1347" i="1"/>
  <c r="K1346" i="1"/>
  <c r="K1345" i="1"/>
  <c r="K1344" i="1"/>
  <c r="K1343" i="1"/>
  <c r="K1342" i="1"/>
  <c r="K1341" i="1"/>
  <c r="K1340" i="1"/>
  <c r="K1339" i="1"/>
  <c r="K1338" i="1"/>
  <c r="K1337" i="1"/>
  <c r="K1336" i="1"/>
  <c r="K1335" i="1"/>
  <c r="K1334" i="1"/>
  <c r="K1333" i="1"/>
  <c r="K1332" i="1"/>
  <c r="K1331" i="1"/>
  <c r="K1330" i="1"/>
  <c r="K1329" i="1"/>
  <c r="K1328" i="1"/>
  <c r="K1327" i="1"/>
  <c r="K1326" i="1"/>
  <c r="K1325" i="1"/>
  <c r="K1324" i="1"/>
  <c r="K1323" i="1"/>
  <c r="K1322" i="1"/>
  <c r="K1321" i="1"/>
  <c r="K1320" i="1"/>
  <c r="K1319" i="1"/>
  <c r="K1318" i="1"/>
  <c r="K1317" i="1"/>
  <c r="K1316" i="1"/>
  <c r="K1315" i="1"/>
  <c r="K1314" i="1"/>
  <c r="K1313" i="1"/>
  <c r="K1312" i="1"/>
  <c r="K1311" i="1"/>
  <c r="K1310" i="1"/>
  <c r="K1309" i="1"/>
  <c r="K1308" i="1"/>
  <c r="K1307" i="1"/>
  <c r="K1306" i="1"/>
  <c r="K1305" i="1"/>
  <c r="K1304" i="1"/>
  <c r="K1303" i="1"/>
  <c r="K1302" i="1"/>
  <c r="K1301" i="1"/>
  <c r="K1300" i="1"/>
  <c r="K1299" i="1"/>
  <c r="K1298" i="1"/>
  <c r="K1297" i="1"/>
  <c r="K1296" i="1"/>
  <c r="K1295" i="1"/>
  <c r="K1294" i="1"/>
  <c r="K1293" i="1"/>
  <c r="K1292" i="1"/>
  <c r="K1291" i="1"/>
  <c r="K1290" i="1"/>
  <c r="K1289" i="1"/>
  <c r="K1288" i="1"/>
  <c r="K1287" i="1"/>
  <c r="K1286" i="1"/>
  <c r="K1285" i="1"/>
  <c r="K1284" i="1"/>
  <c r="K1283" i="1"/>
  <c r="K1282" i="1"/>
  <c r="K1281" i="1"/>
  <c r="K1280" i="1"/>
  <c r="K1279" i="1"/>
  <c r="K1278" i="1"/>
  <c r="K1277" i="1"/>
  <c r="K1276" i="1"/>
  <c r="K1275" i="1"/>
  <c r="K1274" i="1"/>
  <c r="K1273" i="1"/>
  <c r="K1272" i="1"/>
  <c r="K1271" i="1"/>
  <c r="K1270" i="1"/>
  <c r="K1269" i="1"/>
  <c r="K1268" i="1"/>
  <c r="K1267" i="1"/>
  <c r="K1266" i="1"/>
  <c r="K1265" i="1"/>
  <c r="K1264" i="1"/>
  <c r="K1263" i="1"/>
  <c r="K1262" i="1"/>
  <c r="K1261" i="1"/>
  <c r="K1260" i="1"/>
  <c r="K1259" i="1"/>
  <c r="K1258" i="1"/>
  <c r="K1257" i="1"/>
  <c r="K1256" i="1"/>
  <c r="K1255" i="1"/>
  <c r="K1254" i="1"/>
  <c r="K1253" i="1"/>
  <c r="K1252" i="1"/>
  <c r="K1251" i="1"/>
  <c r="K1250" i="1"/>
  <c r="K1249" i="1"/>
  <c r="K1248" i="1"/>
  <c r="K1247" i="1"/>
  <c r="K1246" i="1"/>
  <c r="K1245" i="1"/>
  <c r="K1244" i="1"/>
  <c r="K1243" i="1"/>
  <c r="K1242" i="1"/>
  <c r="K1241" i="1"/>
  <c r="K1240" i="1"/>
  <c r="K1239" i="1"/>
  <c r="K1238" i="1"/>
  <c r="K1237" i="1"/>
  <c r="K1236" i="1"/>
  <c r="K1235" i="1"/>
  <c r="K1234" i="1"/>
  <c r="K1233" i="1"/>
  <c r="K1232" i="1"/>
  <c r="K1231" i="1"/>
  <c r="K1230" i="1"/>
  <c r="K1229" i="1"/>
  <c r="K1228" i="1"/>
  <c r="K1227" i="1"/>
  <c r="K1226" i="1"/>
  <c r="K1225" i="1"/>
  <c r="K1224" i="1"/>
  <c r="K1223" i="1"/>
  <c r="K1222" i="1"/>
  <c r="K1221" i="1"/>
  <c r="K1220" i="1"/>
  <c r="K1219" i="1"/>
  <c r="K1218" i="1"/>
  <c r="K1217" i="1"/>
  <c r="K1216" i="1"/>
  <c r="K1215" i="1"/>
  <c r="K1214" i="1"/>
  <c r="K1213" i="1"/>
  <c r="K1212" i="1"/>
  <c r="K1211" i="1"/>
  <c r="K1210" i="1"/>
  <c r="K1209" i="1"/>
  <c r="K1208" i="1"/>
  <c r="K1207" i="1"/>
  <c r="K1206" i="1"/>
  <c r="K1205" i="1"/>
  <c r="K1204" i="1"/>
  <c r="K1203" i="1"/>
  <c r="K1202" i="1"/>
  <c r="K1201" i="1"/>
  <c r="K1200" i="1"/>
  <c r="K1199" i="1"/>
  <c r="K1198" i="1"/>
  <c r="K1197" i="1"/>
  <c r="K1196" i="1"/>
  <c r="K1195" i="1"/>
  <c r="K1194" i="1"/>
  <c r="K1193" i="1"/>
  <c r="K1192" i="1"/>
  <c r="K1191" i="1"/>
  <c r="K1190" i="1"/>
  <c r="K1189" i="1"/>
  <c r="K1188" i="1"/>
  <c r="K1187" i="1"/>
  <c r="K1186" i="1"/>
  <c r="K1185" i="1"/>
  <c r="K1184" i="1"/>
  <c r="K1183" i="1"/>
  <c r="K1182" i="1"/>
  <c r="K1181" i="1"/>
  <c r="K1180" i="1"/>
  <c r="K1179" i="1"/>
  <c r="K1178" i="1"/>
  <c r="K1177" i="1"/>
  <c r="K1176" i="1"/>
  <c r="K1175" i="1"/>
  <c r="K1174" i="1"/>
  <c r="K1173" i="1"/>
  <c r="K1172" i="1"/>
  <c r="K1171" i="1"/>
  <c r="K1170" i="1"/>
  <c r="K1169" i="1"/>
  <c r="K1168" i="1"/>
  <c r="K1167" i="1"/>
  <c r="K1166" i="1"/>
  <c r="K1165" i="1"/>
  <c r="K1164" i="1"/>
  <c r="K1163" i="1"/>
  <c r="K1162" i="1"/>
  <c r="K1161" i="1"/>
  <c r="K1160" i="1"/>
  <c r="K1159" i="1"/>
  <c r="K1158" i="1"/>
  <c r="K1157" i="1"/>
  <c r="K1156" i="1"/>
  <c r="K1155" i="1"/>
  <c r="K1154" i="1"/>
  <c r="K1153" i="1"/>
  <c r="K1152" i="1"/>
  <c r="K1151" i="1"/>
  <c r="K1150" i="1"/>
  <c r="K1149" i="1"/>
  <c r="K1148" i="1"/>
  <c r="K1147" i="1"/>
  <c r="K1146" i="1"/>
  <c r="K1145" i="1"/>
  <c r="K1144" i="1"/>
  <c r="K1143" i="1"/>
  <c r="K1142" i="1"/>
  <c r="K1141" i="1"/>
  <c r="K1140" i="1"/>
  <c r="K1139" i="1"/>
  <c r="K1138" i="1"/>
  <c r="K1137" i="1"/>
  <c r="K1136" i="1"/>
  <c r="K1135" i="1"/>
  <c r="K1134" i="1"/>
  <c r="K1133" i="1"/>
  <c r="K1132" i="1"/>
  <c r="K1131" i="1"/>
  <c r="K1130" i="1"/>
  <c r="K1129" i="1"/>
  <c r="K1128" i="1"/>
  <c r="K1127" i="1"/>
  <c r="K1126" i="1"/>
  <c r="K1125" i="1"/>
  <c r="K1124" i="1"/>
  <c r="K1123" i="1"/>
  <c r="K1122" i="1"/>
  <c r="K1121" i="1"/>
  <c r="K1120" i="1"/>
  <c r="K1119" i="1"/>
  <c r="K1118" i="1"/>
  <c r="K1117" i="1"/>
  <c r="K1116" i="1"/>
  <c r="K1115" i="1"/>
  <c r="K1114" i="1"/>
  <c r="K1113" i="1"/>
  <c r="K1112" i="1"/>
  <c r="K1111" i="1"/>
  <c r="K1110" i="1"/>
  <c r="K1109" i="1"/>
  <c r="K1108" i="1"/>
  <c r="K1107" i="1"/>
  <c r="K1106" i="1"/>
  <c r="K1105" i="1"/>
  <c r="K1104" i="1"/>
  <c r="K1103" i="1"/>
  <c r="K1102" i="1"/>
  <c r="K1101" i="1"/>
  <c r="K1100" i="1"/>
  <c r="K1099" i="1"/>
  <c r="K1098" i="1"/>
  <c r="K1097" i="1"/>
  <c r="K1096" i="1"/>
  <c r="K1095" i="1"/>
  <c r="K1094" i="1"/>
  <c r="K1093" i="1"/>
  <c r="K1092" i="1"/>
  <c r="K1091" i="1"/>
  <c r="K1090" i="1"/>
  <c r="K1089" i="1"/>
  <c r="K1088" i="1"/>
  <c r="K1087" i="1"/>
  <c r="K1086" i="1"/>
  <c r="K1085" i="1"/>
  <c r="K1084" i="1"/>
  <c r="K1083" i="1"/>
  <c r="K1082" i="1"/>
  <c r="K1081" i="1"/>
  <c r="K1080" i="1"/>
  <c r="K1079" i="1"/>
  <c r="K1078" i="1"/>
  <c r="K1077" i="1"/>
  <c r="K1076" i="1"/>
  <c r="K1075" i="1"/>
  <c r="K1074" i="1"/>
  <c r="K1073" i="1"/>
  <c r="K1072" i="1"/>
  <c r="K1071" i="1"/>
  <c r="K1070" i="1"/>
  <c r="K1069" i="1"/>
  <c r="K1068" i="1"/>
  <c r="K1067" i="1"/>
  <c r="K1066" i="1"/>
  <c r="K1065" i="1"/>
  <c r="K1064" i="1"/>
  <c r="K1063" i="1"/>
  <c r="K1062" i="1"/>
  <c r="K1061" i="1"/>
  <c r="K1060" i="1"/>
  <c r="K1059" i="1"/>
  <c r="K1058" i="1"/>
  <c r="K1057" i="1"/>
  <c r="K1056" i="1"/>
  <c r="K1055" i="1"/>
  <c r="K1054" i="1"/>
  <c r="K1053" i="1"/>
  <c r="K1052" i="1"/>
  <c r="K1051" i="1"/>
  <c r="K1050" i="1"/>
  <c r="K1049" i="1"/>
  <c r="K1048" i="1"/>
  <c r="K1047" i="1"/>
  <c r="K1046" i="1"/>
  <c r="G1046" i="1"/>
  <c r="K1045" i="1"/>
  <c r="G1045" i="1"/>
  <c r="K1044" i="1"/>
  <c r="G1044" i="1"/>
  <c r="K1043" i="1"/>
  <c r="G1043" i="1"/>
  <c r="K1042" i="1"/>
  <c r="G1042" i="1"/>
  <c r="K1041" i="1"/>
  <c r="G1041" i="1"/>
  <c r="K1040" i="1"/>
  <c r="G1040" i="1"/>
  <c r="K1039" i="1"/>
  <c r="G1039" i="1"/>
  <c r="K1038" i="1"/>
  <c r="G1038" i="1"/>
  <c r="K1037" i="1"/>
  <c r="G1037" i="1"/>
  <c r="K1036" i="1"/>
  <c r="G1036" i="1"/>
  <c r="K1035" i="1"/>
  <c r="G1035" i="1"/>
  <c r="K1034" i="1"/>
  <c r="G1034" i="1"/>
  <c r="K1033" i="1"/>
  <c r="G1033" i="1"/>
  <c r="K1032" i="1"/>
  <c r="G1032" i="1"/>
  <c r="K1031" i="1"/>
  <c r="G1031" i="1"/>
  <c r="K1030" i="1"/>
  <c r="G1030" i="1"/>
  <c r="K1029" i="1"/>
  <c r="G1029" i="1"/>
  <c r="K1028" i="1"/>
  <c r="G1028" i="1"/>
  <c r="K1027" i="1"/>
  <c r="G1027" i="1"/>
  <c r="K1026" i="1"/>
  <c r="G1026" i="1"/>
  <c r="K1025" i="1"/>
  <c r="G1025" i="1"/>
  <c r="K1024" i="1"/>
  <c r="G1024" i="1"/>
  <c r="K1023" i="1"/>
  <c r="G1023" i="1"/>
  <c r="K1022" i="1"/>
  <c r="G1022" i="1"/>
  <c r="K1021" i="1"/>
  <c r="G1021" i="1"/>
  <c r="K1020" i="1"/>
  <c r="G1020" i="1"/>
  <c r="K1019" i="1"/>
  <c r="G1019" i="1"/>
  <c r="K1018" i="1"/>
  <c r="G1018" i="1"/>
  <c r="K1017" i="1"/>
  <c r="G1017" i="1"/>
  <c r="K1016" i="1"/>
  <c r="G1016" i="1"/>
  <c r="K1015" i="1"/>
  <c r="G1015" i="1"/>
  <c r="K1014" i="1"/>
  <c r="G1014" i="1"/>
  <c r="K1013" i="1"/>
  <c r="G1013" i="1"/>
  <c r="K1012" i="1"/>
  <c r="G1012" i="1"/>
  <c r="K1011" i="1"/>
  <c r="G1011" i="1"/>
  <c r="K1010" i="1"/>
  <c r="G1010" i="1"/>
  <c r="K1009" i="1"/>
  <c r="G1009" i="1"/>
  <c r="K1008" i="1"/>
  <c r="G1008" i="1"/>
  <c r="K1007" i="1"/>
  <c r="G1007" i="1"/>
  <c r="K1006" i="1"/>
  <c r="G1006" i="1"/>
  <c r="K1005" i="1"/>
  <c r="G1005" i="1"/>
  <c r="K1004" i="1"/>
  <c r="G1004" i="1"/>
  <c r="K1003" i="1"/>
  <c r="G1003" i="1"/>
  <c r="K1002" i="1"/>
  <c r="G1002" i="1"/>
  <c r="K1001" i="1"/>
  <c r="G1001" i="1"/>
  <c r="K1000" i="1"/>
  <c r="G1000" i="1"/>
  <c r="K999" i="1"/>
  <c r="G999" i="1"/>
  <c r="K998" i="1"/>
  <c r="G998" i="1"/>
  <c r="K997" i="1"/>
  <c r="G997" i="1"/>
  <c r="K996" i="1"/>
  <c r="G996" i="1"/>
  <c r="K995" i="1"/>
  <c r="G995" i="1"/>
  <c r="K994" i="1"/>
  <c r="G994" i="1"/>
  <c r="K993" i="1"/>
  <c r="G993" i="1"/>
  <c r="K992" i="1"/>
  <c r="G992" i="1"/>
  <c r="K991" i="1"/>
  <c r="G991" i="1"/>
  <c r="K990" i="1"/>
  <c r="G990" i="1"/>
  <c r="K989" i="1"/>
  <c r="G989" i="1"/>
  <c r="K988" i="1"/>
  <c r="G988" i="1"/>
  <c r="K987" i="1"/>
  <c r="G987" i="1"/>
  <c r="K986" i="1"/>
  <c r="G986" i="1"/>
  <c r="K985" i="1"/>
  <c r="G985" i="1"/>
  <c r="K984" i="1"/>
  <c r="G984" i="1"/>
  <c r="K983" i="1"/>
  <c r="G983" i="1"/>
  <c r="K982" i="1"/>
  <c r="G982" i="1"/>
  <c r="K981" i="1"/>
  <c r="G981" i="1"/>
  <c r="K980" i="1"/>
  <c r="G980" i="1"/>
  <c r="K979" i="1"/>
  <c r="G979" i="1"/>
  <c r="K978" i="1"/>
  <c r="G978" i="1"/>
  <c r="K977" i="1"/>
  <c r="G977" i="1"/>
  <c r="K976" i="1"/>
  <c r="G976" i="1"/>
  <c r="K975" i="1"/>
  <c r="G975" i="1"/>
  <c r="K974" i="1"/>
  <c r="G974" i="1"/>
  <c r="K973" i="1"/>
  <c r="G973" i="1"/>
  <c r="K972" i="1"/>
  <c r="G972" i="1"/>
  <c r="K971" i="1"/>
  <c r="G971" i="1"/>
  <c r="K970" i="1"/>
  <c r="G970" i="1"/>
  <c r="K969" i="1"/>
  <c r="G969" i="1"/>
  <c r="K968" i="1"/>
  <c r="G968" i="1"/>
  <c r="K967" i="1"/>
  <c r="G967" i="1"/>
  <c r="K966" i="1"/>
  <c r="G966" i="1"/>
  <c r="K965" i="1"/>
  <c r="G965" i="1"/>
  <c r="K964" i="1"/>
  <c r="G964" i="1"/>
  <c r="K963" i="1"/>
  <c r="G963" i="1"/>
  <c r="K962" i="1"/>
  <c r="G962" i="1"/>
  <c r="K961" i="1"/>
  <c r="G961" i="1"/>
  <c r="K960" i="1"/>
  <c r="G960" i="1"/>
  <c r="K959" i="1"/>
  <c r="G959" i="1"/>
  <c r="K958" i="1"/>
  <c r="G958" i="1"/>
  <c r="K957" i="1"/>
  <c r="G957" i="1"/>
  <c r="K956" i="1"/>
  <c r="G956" i="1"/>
  <c r="K955" i="1"/>
  <c r="G955" i="1"/>
  <c r="K954" i="1"/>
  <c r="G954" i="1"/>
  <c r="K953" i="1"/>
  <c r="G953" i="1"/>
  <c r="K952" i="1"/>
  <c r="G952" i="1"/>
  <c r="K951" i="1"/>
  <c r="G951" i="1"/>
  <c r="K950" i="1"/>
  <c r="G950" i="1"/>
  <c r="K949" i="1"/>
  <c r="G949" i="1"/>
  <c r="K948" i="1"/>
  <c r="G948" i="1"/>
  <c r="K947" i="1"/>
  <c r="G947" i="1"/>
  <c r="K946" i="1"/>
  <c r="G946" i="1"/>
  <c r="K945" i="1"/>
  <c r="G945" i="1"/>
  <c r="K944" i="1"/>
  <c r="G944" i="1"/>
  <c r="K943" i="1"/>
  <c r="G943" i="1"/>
  <c r="K942" i="1"/>
  <c r="G942" i="1"/>
  <c r="K941" i="1"/>
  <c r="G941" i="1"/>
  <c r="K940" i="1"/>
  <c r="G940" i="1"/>
  <c r="K939" i="1"/>
  <c r="G939" i="1"/>
  <c r="K938" i="1"/>
  <c r="G938" i="1"/>
  <c r="K937" i="1"/>
  <c r="G937" i="1"/>
  <c r="K936" i="1"/>
  <c r="G936" i="1"/>
  <c r="K935" i="1"/>
  <c r="G935" i="1"/>
  <c r="K934" i="1"/>
  <c r="G934" i="1"/>
  <c r="K933" i="1"/>
  <c r="G933" i="1"/>
  <c r="K932" i="1"/>
  <c r="G932" i="1"/>
  <c r="K931" i="1"/>
  <c r="G931" i="1"/>
  <c r="K930" i="1"/>
  <c r="G930" i="1"/>
  <c r="K929" i="1"/>
  <c r="G929" i="1"/>
  <c r="K928" i="1"/>
  <c r="G928" i="1"/>
  <c r="K927" i="1"/>
  <c r="G927" i="1"/>
  <c r="K926" i="1"/>
  <c r="G926" i="1"/>
  <c r="K925" i="1"/>
  <c r="G925" i="1"/>
  <c r="K924" i="1"/>
  <c r="G924" i="1"/>
  <c r="K923" i="1"/>
  <c r="G923" i="1"/>
  <c r="K922" i="1"/>
  <c r="G922" i="1"/>
  <c r="K921" i="1"/>
  <c r="G921" i="1"/>
  <c r="K920" i="1"/>
  <c r="G920" i="1"/>
  <c r="K919" i="1"/>
  <c r="G919" i="1"/>
  <c r="K918" i="1"/>
  <c r="G918" i="1"/>
  <c r="K917" i="1"/>
  <c r="G917" i="1"/>
  <c r="K916" i="1"/>
  <c r="G916" i="1"/>
  <c r="K915" i="1"/>
  <c r="G915" i="1"/>
  <c r="K914" i="1"/>
  <c r="G914" i="1"/>
  <c r="K913" i="1"/>
  <c r="G913" i="1"/>
  <c r="K912" i="1"/>
  <c r="G912" i="1"/>
  <c r="K911" i="1"/>
  <c r="G911" i="1"/>
  <c r="K910" i="1"/>
  <c r="G910" i="1"/>
  <c r="K909" i="1"/>
  <c r="G909" i="1"/>
  <c r="K908" i="1"/>
  <c r="G908" i="1"/>
  <c r="K907" i="1"/>
  <c r="G907" i="1"/>
  <c r="K906" i="1"/>
  <c r="G906" i="1"/>
  <c r="K905" i="1"/>
  <c r="G905" i="1"/>
  <c r="K904" i="1"/>
  <c r="G904" i="1"/>
  <c r="K903" i="1"/>
  <c r="G903" i="1"/>
  <c r="K902" i="1"/>
  <c r="G902" i="1"/>
  <c r="K901" i="1"/>
  <c r="G901" i="1"/>
  <c r="K900" i="1"/>
  <c r="G900" i="1"/>
  <c r="K899" i="1"/>
  <c r="G899" i="1"/>
  <c r="K898" i="1"/>
  <c r="G898" i="1"/>
  <c r="K897" i="1"/>
  <c r="G897" i="1"/>
  <c r="K896" i="1"/>
  <c r="G896" i="1"/>
  <c r="K895" i="1"/>
  <c r="G895" i="1"/>
  <c r="K894" i="1"/>
  <c r="G894" i="1"/>
  <c r="K893" i="1"/>
  <c r="G893" i="1"/>
  <c r="K892" i="1"/>
  <c r="G892" i="1"/>
  <c r="K891" i="1"/>
  <c r="G891" i="1"/>
  <c r="K890" i="1"/>
  <c r="G890" i="1"/>
  <c r="K889" i="1"/>
  <c r="G889" i="1"/>
  <c r="K888" i="1"/>
  <c r="G888" i="1"/>
  <c r="K887" i="1"/>
  <c r="G887" i="1"/>
  <c r="K886" i="1"/>
  <c r="G886" i="1"/>
  <c r="K885" i="1"/>
  <c r="G885" i="1"/>
  <c r="K884" i="1"/>
  <c r="G884" i="1"/>
  <c r="K883" i="1"/>
  <c r="G883" i="1"/>
  <c r="K882" i="1"/>
  <c r="G882" i="1"/>
  <c r="K881" i="1"/>
  <c r="G881" i="1"/>
  <c r="K880" i="1"/>
  <c r="G880" i="1"/>
  <c r="K879" i="1"/>
  <c r="G879" i="1"/>
  <c r="K878" i="1"/>
  <c r="G878" i="1"/>
  <c r="K877" i="1"/>
  <c r="G877" i="1"/>
  <c r="K876" i="1"/>
  <c r="G876" i="1"/>
  <c r="K875" i="1"/>
  <c r="G875" i="1"/>
  <c r="K874" i="1"/>
  <c r="G874" i="1"/>
  <c r="K873" i="1"/>
  <c r="G873" i="1"/>
  <c r="K872" i="1"/>
  <c r="G872" i="1"/>
  <c r="K871" i="1"/>
  <c r="G871" i="1"/>
  <c r="K870" i="1"/>
  <c r="G870" i="1"/>
  <c r="K869" i="1"/>
  <c r="G869" i="1"/>
  <c r="K868" i="1"/>
  <c r="G868" i="1"/>
  <c r="K867" i="1"/>
  <c r="G867" i="1"/>
  <c r="K866" i="1"/>
  <c r="G866" i="1"/>
  <c r="K865" i="1"/>
  <c r="G865" i="1"/>
  <c r="K864" i="1"/>
  <c r="G864" i="1"/>
  <c r="K863" i="1"/>
  <c r="G863" i="1"/>
  <c r="K862" i="1"/>
  <c r="G862" i="1"/>
  <c r="K861" i="1"/>
  <c r="G861" i="1"/>
  <c r="K860" i="1"/>
  <c r="G860" i="1"/>
  <c r="K859" i="1"/>
  <c r="G859" i="1"/>
  <c r="K858" i="1"/>
  <c r="G858" i="1"/>
  <c r="K857" i="1"/>
  <c r="G857" i="1"/>
  <c r="K856" i="1"/>
  <c r="G856" i="1"/>
  <c r="K855" i="1"/>
  <c r="G855" i="1"/>
  <c r="K854" i="1"/>
  <c r="G854" i="1"/>
  <c r="K853" i="1"/>
  <c r="G853" i="1"/>
  <c r="K852" i="1"/>
  <c r="G852" i="1"/>
  <c r="K851" i="1"/>
  <c r="G851" i="1"/>
  <c r="K850" i="1"/>
  <c r="G850" i="1"/>
  <c r="K849" i="1"/>
  <c r="G849" i="1"/>
  <c r="K848" i="1"/>
  <c r="G848" i="1"/>
  <c r="K847" i="1"/>
  <c r="G847" i="1"/>
  <c r="K846" i="1"/>
  <c r="G846" i="1"/>
  <c r="K845" i="1"/>
  <c r="G845" i="1"/>
  <c r="K844" i="1"/>
  <c r="G844" i="1"/>
  <c r="K843" i="1"/>
  <c r="G843" i="1"/>
  <c r="K842" i="1"/>
  <c r="G842" i="1"/>
  <c r="K841" i="1"/>
  <c r="G841" i="1"/>
  <c r="K840" i="1"/>
  <c r="G840" i="1"/>
  <c r="K839" i="1"/>
  <c r="G839" i="1"/>
  <c r="K838" i="1"/>
  <c r="G838" i="1"/>
  <c r="K837" i="1"/>
  <c r="G837" i="1"/>
  <c r="K836" i="1"/>
  <c r="G836" i="1"/>
  <c r="K835" i="1"/>
  <c r="G835" i="1"/>
  <c r="K834" i="1"/>
  <c r="G834" i="1"/>
  <c r="K833" i="1"/>
  <c r="G833" i="1"/>
  <c r="K832" i="1"/>
  <c r="G832" i="1"/>
  <c r="K831" i="1"/>
  <c r="G831" i="1"/>
  <c r="K830" i="1"/>
  <c r="G830" i="1"/>
  <c r="K829" i="1"/>
  <c r="G829" i="1"/>
  <c r="K828" i="1"/>
  <c r="G828" i="1"/>
  <c r="K827" i="1"/>
  <c r="G827" i="1"/>
  <c r="K826" i="1"/>
  <c r="G826" i="1"/>
  <c r="K825" i="1"/>
  <c r="G825" i="1"/>
  <c r="K824" i="1"/>
  <c r="G824" i="1"/>
  <c r="K823" i="1"/>
  <c r="G823" i="1"/>
  <c r="K822" i="1"/>
  <c r="G822" i="1"/>
  <c r="K821" i="1"/>
  <c r="G821" i="1"/>
  <c r="K820" i="1"/>
  <c r="G820" i="1"/>
  <c r="K819" i="1"/>
  <c r="G819" i="1"/>
  <c r="K818" i="1"/>
  <c r="G818" i="1"/>
  <c r="K817" i="1"/>
  <c r="G817" i="1"/>
  <c r="K816" i="1"/>
  <c r="G816" i="1"/>
  <c r="K815" i="1"/>
  <c r="G815" i="1"/>
  <c r="K814" i="1"/>
  <c r="G814" i="1"/>
  <c r="K813" i="1"/>
  <c r="G813" i="1"/>
  <c r="K812" i="1"/>
  <c r="G812" i="1"/>
  <c r="K811" i="1"/>
  <c r="G811" i="1"/>
  <c r="K810" i="1"/>
  <c r="G810" i="1"/>
  <c r="K809" i="1"/>
  <c r="G809" i="1"/>
  <c r="K808" i="1"/>
  <c r="G808" i="1"/>
  <c r="K807" i="1"/>
  <c r="G807" i="1"/>
  <c r="K806" i="1"/>
  <c r="G806" i="1"/>
  <c r="K805" i="1"/>
  <c r="G805" i="1"/>
  <c r="K804" i="1"/>
  <c r="G804" i="1"/>
  <c r="K803" i="1"/>
  <c r="G803" i="1"/>
  <c r="K802" i="1"/>
  <c r="G802" i="1"/>
  <c r="K801" i="1"/>
  <c r="G801" i="1"/>
  <c r="K800" i="1"/>
  <c r="G800" i="1"/>
  <c r="K799" i="1"/>
  <c r="G799" i="1"/>
  <c r="K798" i="1"/>
  <c r="G798" i="1"/>
  <c r="K797" i="1"/>
  <c r="G797" i="1"/>
  <c r="K796" i="1"/>
  <c r="G796" i="1"/>
  <c r="K795" i="1"/>
  <c r="G795" i="1"/>
  <c r="K794" i="1"/>
  <c r="G794" i="1"/>
  <c r="K793" i="1"/>
  <c r="G793" i="1"/>
  <c r="K792" i="1"/>
  <c r="G792" i="1"/>
  <c r="K791" i="1"/>
  <c r="G791" i="1"/>
  <c r="K790" i="1"/>
  <c r="G790" i="1"/>
  <c r="K789" i="1"/>
  <c r="G789" i="1"/>
  <c r="K788" i="1"/>
  <c r="G788" i="1"/>
  <c r="K787" i="1"/>
  <c r="G787" i="1"/>
  <c r="K786" i="1"/>
  <c r="G786" i="1"/>
  <c r="K785" i="1"/>
  <c r="G785" i="1"/>
  <c r="K784" i="1"/>
  <c r="G784" i="1"/>
  <c r="K783" i="1"/>
  <c r="G783" i="1"/>
  <c r="K782" i="1"/>
  <c r="G782" i="1"/>
  <c r="K781" i="1"/>
  <c r="G781" i="1"/>
  <c r="K780" i="1"/>
  <c r="G780" i="1"/>
  <c r="K779" i="1"/>
  <c r="G779" i="1"/>
  <c r="K778" i="1"/>
  <c r="G778" i="1"/>
  <c r="K777" i="1"/>
  <c r="G777" i="1"/>
  <c r="K776" i="1"/>
  <c r="G776" i="1"/>
  <c r="K775" i="1"/>
  <c r="G775" i="1"/>
  <c r="K774" i="1"/>
  <c r="G774" i="1"/>
  <c r="K773" i="1"/>
  <c r="G773" i="1"/>
  <c r="K772" i="1"/>
  <c r="G772" i="1"/>
  <c r="K771" i="1"/>
  <c r="G771" i="1"/>
  <c r="K770" i="1"/>
  <c r="G770" i="1"/>
  <c r="K769" i="1"/>
  <c r="G769" i="1"/>
  <c r="K768" i="1"/>
  <c r="G768" i="1"/>
  <c r="K767" i="1"/>
  <c r="G767" i="1"/>
  <c r="K766" i="1"/>
  <c r="G766" i="1"/>
  <c r="K765" i="1"/>
  <c r="G765" i="1"/>
  <c r="K764" i="1"/>
  <c r="G764" i="1"/>
  <c r="K763" i="1"/>
  <c r="G763" i="1"/>
  <c r="K762" i="1"/>
  <c r="G762" i="1"/>
  <c r="K761" i="1"/>
  <c r="G761" i="1"/>
  <c r="K760" i="1"/>
  <c r="G760" i="1"/>
  <c r="K759" i="1"/>
  <c r="G759" i="1"/>
  <c r="K758" i="1"/>
  <c r="G758" i="1"/>
  <c r="K757" i="1"/>
  <c r="G757" i="1"/>
  <c r="K756" i="1"/>
  <c r="G756" i="1"/>
  <c r="K755" i="1"/>
  <c r="G755" i="1"/>
  <c r="K754" i="1"/>
  <c r="G754" i="1"/>
  <c r="K753" i="1"/>
  <c r="G753" i="1"/>
  <c r="K752" i="1"/>
  <c r="G752" i="1"/>
  <c r="K751" i="1"/>
  <c r="G751" i="1"/>
  <c r="K750" i="1"/>
  <c r="G750" i="1"/>
  <c r="K749" i="1"/>
  <c r="G749" i="1"/>
  <c r="K748" i="1"/>
  <c r="G748" i="1"/>
  <c r="K747" i="1"/>
  <c r="G747" i="1"/>
  <c r="K746" i="1"/>
  <c r="G746" i="1"/>
  <c r="C749" i="1"/>
  <c r="K745" i="1"/>
  <c r="G745" i="1"/>
  <c r="C748" i="1"/>
  <c r="K744" i="1"/>
  <c r="G744" i="1"/>
  <c r="C747" i="1"/>
  <c r="K743" i="1"/>
  <c r="G743" i="1"/>
  <c r="K742" i="1"/>
  <c r="G742" i="1"/>
  <c r="K741" i="1"/>
  <c r="G741" i="1"/>
  <c r="K740" i="1"/>
  <c r="G740" i="1"/>
  <c r="C743" i="1"/>
  <c r="K739" i="1"/>
  <c r="G739" i="1"/>
  <c r="C739" i="1"/>
  <c r="K738" i="1"/>
  <c r="G738" i="1"/>
  <c r="K737" i="1"/>
  <c r="G737" i="1"/>
  <c r="K736" i="1"/>
  <c r="G736" i="1"/>
  <c r="K735" i="1"/>
  <c r="G735" i="1"/>
  <c r="C735" i="1"/>
  <c r="K734" i="1"/>
  <c r="G734" i="1"/>
  <c r="C734" i="1"/>
  <c r="K733" i="1"/>
  <c r="G733" i="1"/>
  <c r="K732" i="1"/>
  <c r="G732" i="1"/>
  <c r="K731" i="1"/>
  <c r="G731" i="1"/>
  <c r="K730" i="1"/>
  <c r="G730" i="1"/>
  <c r="C730" i="1"/>
  <c r="K729" i="1"/>
  <c r="G729" i="1"/>
  <c r="C729" i="1"/>
  <c r="K728" i="1"/>
  <c r="G728" i="1"/>
  <c r="K727" i="1"/>
  <c r="G727" i="1"/>
  <c r="K726" i="1"/>
  <c r="G726" i="1"/>
  <c r="K725" i="1"/>
  <c r="G725" i="1"/>
  <c r="K724" i="1"/>
  <c r="G724" i="1"/>
  <c r="C724" i="1"/>
  <c r="K723" i="1"/>
  <c r="G723" i="1"/>
  <c r="C723" i="1"/>
  <c r="K722" i="1"/>
  <c r="G722" i="1"/>
  <c r="C722" i="1"/>
  <c r="K721" i="1"/>
  <c r="G721" i="1"/>
  <c r="C721" i="1"/>
  <c r="K720" i="1"/>
  <c r="G720" i="1"/>
  <c r="K719" i="1"/>
  <c r="G719" i="1"/>
  <c r="K718" i="1"/>
  <c r="G718" i="1"/>
  <c r="K717" i="1"/>
  <c r="G717" i="1"/>
  <c r="K716" i="1"/>
  <c r="G716" i="1"/>
  <c r="K715" i="1"/>
  <c r="G715" i="1"/>
  <c r="C715" i="1"/>
  <c r="K714" i="1"/>
  <c r="G714" i="1"/>
  <c r="C714" i="1"/>
  <c r="K713" i="1"/>
  <c r="G713" i="1"/>
  <c r="C713" i="1"/>
  <c r="K712" i="1"/>
  <c r="G712" i="1"/>
  <c r="C712" i="1"/>
  <c r="K711" i="1"/>
  <c r="G711" i="1"/>
  <c r="C711" i="1"/>
  <c r="K710" i="1"/>
  <c r="G710" i="1"/>
  <c r="K709" i="1"/>
  <c r="G709" i="1"/>
  <c r="K708" i="1"/>
  <c r="G708" i="1"/>
  <c r="K707" i="1"/>
  <c r="G707" i="1"/>
  <c r="C707" i="1"/>
  <c r="K706" i="1"/>
  <c r="G706" i="1"/>
  <c r="C706" i="1"/>
  <c r="K705" i="1"/>
  <c r="G705" i="1"/>
  <c r="K704" i="1"/>
  <c r="G704" i="1"/>
  <c r="K703" i="1"/>
  <c r="G703" i="1"/>
  <c r="K702" i="1"/>
  <c r="G702" i="1"/>
  <c r="C702" i="1"/>
  <c r="K701" i="1"/>
  <c r="G701" i="1"/>
  <c r="C701" i="1"/>
  <c r="K700" i="1"/>
  <c r="G700" i="1"/>
  <c r="C700" i="1"/>
  <c r="K699" i="1"/>
  <c r="G699" i="1"/>
  <c r="K698" i="1"/>
  <c r="G698" i="1"/>
  <c r="K697" i="1"/>
  <c r="G697" i="1"/>
  <c r="K696" i="1"/>
  <c r="G696" i="1"/>
  <c r="C696" i="1"/>
  <c r="K695" i="1"/>
  <c r="G695" i="1"/>
  <c r="C695" i="1"/>
  <c r="K694" i="1"/>
  <c r="G694" i="1"/>
  <c r="K693" i="1"/>
  <c r="G693" i="1"/>
  <c r="K692" i="1"/>
  <c r="G692" i="1"/>
  <c r="K691" i="1"/>
  <c r="G691" i="1"/>
  <c r="C691" i="1"/>
  <c r="K690" i="1"/>
  <c r="G690" i="1"/>
  <c r="C690" i="1"/>
  <c r="K689" i="1"/>
  <c r="G689" i="1"/>
  <c r="K688" i="1"/>
  <c r="G688" i="1"/>
  <c r="K687" i="1"/>
  <c r="G687" i="1"/>
  <c r="K686" i="1"/>
  <c r="G686" i="1"/>
  <c r="K685" i="1"/>
  <c r="G685" i="1"/>
  <c r="K684" i="1"/>
  <c r="G684" i="1"/>
  <c r="C684" i="1"/>
  <c r="K683" i="1"/>
  <c r="G683" i="1"/>
  <c r="C683" i="1"/>
  <c r="K682" i="1"/>
  <c r="G682" i="1"/>
  <c r="K681" i="1"/>
  <c r="G681" i="1"/>
  <c r="K680" i="1"/>
  <c r="G680" i="1"/>
  <c r="K679" i="1"/>
  <c r="G679" i="1"/>
  <c r="C679" i="1"/>
  <c r="K678" i="1"/>
  <c r="G678" i="1"/>
  <c r="C678" i="1"/>
  <c r="K677" i="1"/>
  <c r="G677" i="1"/>
  <c r="C677" i="1"/>
  <c r="K676" i="1"/>
  <c r="G676" i="1"/>
  <c r="C676" i="1"/>
  <c r="K675" i="1"/>
  <c r="G675" i="1"/>
  <c r="K674" i="1"/>
  <c r="G674" i="1"/>
  <c r="K673" i="1"/>
  <c r="G673" i="1"/>
  <c r="K672" i="1"/>
  <c r="G672" i="1"/>
  <c r="C672" i="1"/>
  <c r="K671" i="1"/>
  <c r="G671" i="1"/>
  <c r="C671" i="1"/>
  <c r="K670" i="1"/>
  <c r="G670" i="1"/>
  <c r="K669" i="1"/>
  <c r="G669" i="1"/>
  <c r="K668" i="1"/>
  <c r="G668" i="1"/>
  <c r="K667" i="1"/>
  <c r="G667" i="1"/>
  <c r="C667" i="1"/>
  <c r="K666" i="1"/>
  <c r="G666" i="1"/>
  <c r="C666" i="1"/>
  <c r="K665" i="1"/>
  <c r="G665" i="1"/>
  <c r="C665" i="1"/>
  <c r="K664" i="1"/>
  <c r="G664" i="1"/>
  <c r="K663" i="1"/>
  <c r="G663" i="1"/>
  <c r="K662" i="1"/>
  <c r="G662" i="1"/>
  <c r="K661" i="1"/>
  <c r="G661" i="1"/>
  <c r="C661" i="1"/>
  <c r="K660" i="1"/>
  <c r="G660" i="1"/>
  <c r="C660" i="1"/>
  <c r="K659" i="1"/>
  <c r="G659" i="1"/>
  <c r="K658" i="1"/>
  <c r="G658" i="1"/>
  <c r="K657" i="1"/>
  <c r="G657" i="1"/>
  <c r="K656" i="1"/>
  <c r="G656" i="1"/>
  <c r="C656" i="1"/>
  <c r="K654" i="1"/>
  <c r="G654" i="1"/>
  <c r="C654" i="1"/>
  <c r="K653" i="1"/>
  <c r="G653" i="1"/>
  <c r="C653" i="1"/>
  <c r="K652" i="1"/>
  <c r="G652" i="1"/>
  <c r="C652" i="1"/>
  <c r="K651" i="1"/>
  <c r="G651" i="1"/>
  <c r="C651" i="1"/>
  <c r="K650" i="1"/>
  <c r="G650" i="1"/>
  <c r="K649" i="1"/>
  <c r="G649" i="1"/>
  <c r="K648" i="1"/>
  <c r="G648" i="1"/>
  <c r="K647" i="1"/>
  <c r="G647" i="1"/>
  <c r="C647" i="1"/>
  <c r="K646" i="1"/>
  <c r="G646" i="1"/>
  <c r="C646" i="1"/>
  <c r="K645" i="1"/>
  <c r="G645" i="1"/>
  <c r="C645" i="1"/>
  <c r="K644" i="1"/>
  <c r="G644" i="1"/>
  <c r="K643" i="1"/>
  <c r="G643" i="1"/>
  <c r="K642" i="1"/>
  <c r="G642" i="1"/>
  <c r="K641" i="1"/>
  <c r="G641" i="1"/>
  <c r="C641" i="1"/>
  <c r="K640" i="1"/>
  <c r="G640" i="1"/>
  <c r="C640" i="1"/>
  <c r="K639" i="1"/>
  <c r="G639" i="1"/>
  <c r="C639" i="1"/>
  <c r="K638" i="1"/>
  <c r="G638" i="1"/>
  <c r="K637" i="1"/>
  <c r="G637" i="1"/>
  <c r="K636" i="1"/>
  <c r="G636" i="1"/>
  <c r="K635" i="1"/>
  <c r="G635" i="1"/>
  <c r="C635" i="1"/>
  <c r="K634" i="1"/>
  <c r="G634" i="1"/>
  <c r="C634" i="1"/>
  <c r="K633" i="1"/>
  <c r="G633" i="1"/>
  <c r="C633" i="1"/>
  <c r="K632" i="1"/>
  <c r="G632" i="1"/>
  <c r="C632" i="1"/>
  <c r="K631" i="1"/>
  <c r="G631" i="1"/>
  <c r="C631" i="1"/>
  <c r="K630" i="1"/>
  <c r="G630" i="1"/>
  <c r="C630" i="1"/>
  <c r="K629" i="1"/>
  <c r="G629" i="1"/>
  <c r="C629" i="1"/>
  <c r="K628" i="1"/>
  <c r="G628" i="1"/>
  <c r="C628" i="1"/>
  <c r="K627" i="1"/>
  <c r="G627" i="1"/>
  <c r="C627" i="1"/>
  <c r="K626" i="1"/>
  <c r="G626" i="1"/>
  <c r="K625" i="1"/>
  <c r="G625" i="1"/>
  <c r="K624" i="1"/>
  <c r="G624" i="1"/>
  <c r="K623" i="1"/>
  <c r="G623" i="1"/>
  <c r="C623" i="1"/>
  <c r="K622" i="1"/>
  <c r="G622" i="1"/>
  <c r="C622" i="1"/>
  <c r="K621" i="1"/>
  <c r="G621" i="1"/>
  <c r="C621" i="1"/>
  <c r="K620" i="1"/>
  <c r="G620" i="1"/>
  <c r="C620" i="1"/>
  <c r="K619" i="1"/>
  <c r="G619" i="1"/>
  <c r="C619" i="1"/>
  <c r="K618" i="1"/>
  <c r="G618" i="1"/>
  <c r="C618" i="1"/>
  <c r="K617" i="1"/>
  <c r="G617" i="1"/>
  <c r="C617" i="1"/>
  <c r="K616" i="1"/>
  <c r="G616" i="1"/>
  <c r="C616" i="1"/>
  <c r="K615" i="1"/>
  <c r="G615" i="1"/>
  <c r="C615" i="1"/>
  <c r="K614" i="1"/>
  <c r="G614" i="1"/>
  <c r="K613" i="1"/>
  <c r="G613" i="1"/>
  <c r="K612" i="1"/>
  <c r="G612" i="1"/>
  <c r="K611" i="1"/>
  <c r="G611" i="1"/>
  <c r="K610" i="1"/>
  <c r="G610" i="1"/>
  <c r="K609" i="1"/>
  <c r="G609" i="1"/>
  <c r="K608" i="1"/>
  <c r="G608" i="1"/>
  <c r="K607" i="1"/>
  <c r="G607" i="1"/>
  <c r="K606" i="1"/>
  <c r="G606" i="1"/>
  <c r="K605" i="1"/>
  <c r="G605" i="1"/>
  <c r="K604" i="1"/>
  <c r="G604" i="1"/>
  <c r="K603" i="1"/>
  <c r="G603" i="1"/>
  <c r="C603" i="1"/>
  <c r="K602" i="1"/>
  <c r="G602" i="1"/>
  <c r="C602" i="1"/>
  <c r="K601" i="1"/>
  <c r="G601" i="1"/>
  <c r="C601" i="1"/>
  <c r="K600" i="1"/>
  <c r="G600" i="1"/>
  <c r="C600" i="1"/>
  <c r="K599" i="1"/>
  <c r="G599" i="1"/>
  <c r="C599" i="1"/>
  <c r="K598" i="1"/>
  <c r="G598" i="1"/>
  <c r="C598" i="1"/>
  <c r="K597" i="1"/>
  <c r="G597" i="1"/>
  <c r="K596" i="1"/>
  <c r="G596" i="1"/>
  <c r="K595" i="1"/>
  <c r="G595" i="1"/>
  <c r="K594" i="1"/>
  <c r="G594" i="1"/>
  <c r="K593" i="1"/>
  <c r="G593" i="1"/>
  <c r="C593" i="1"/>
  <c r="K592" i="1"/>
  <c r="G592" i="1"/>
  <c r="C592" i="1"/>
  <c r="K591" i="1"/>
  <c r="G591" i="1"/>
  <c r="C591" i="1"/>
  <c r="K590" i="1"/>
  <c r="G590" i="1"/>
  <c r="C590" i="1"/>
  <c r="K589" i="1"/>
  <c r="G589" i="1"/>
  <c r="K588" i="1"/>
  <c r="G588" i="1"/>
  <c r="K587" i="1"/>
  <c r="G587" i="1"/>
  <c r="K586" i="1"/>
  <c r="G586" i="1"/>
  <c r="K585" i="1"/>
  <c r="G585" i="1"/>
  <c r="C585" i="1"/>
  <c r="K584" i="1"/>
  <c r="G584" i="1"/>
  <c r="C584" i="1"/>
  <c r="K583" i="1"/>
  <c r="G583" i="1"/>
  <c r="C583" i="1"/>
  <c r="K582" i="1"/>
  <c r="G582" i="1"/>
  <c r="C582" i="1"/>
  <c r="K581" i="1"/>
  <c r="G581" i="1"/>
  <c r="C581" i="1"/>
  <c r="K580" i="1"/>
  <c r="G580" i="1"/>
  <c r="C580" i="1"/>
  <c r="K579" i="1"/>
  <c r="G579" i="1"/>
  <c r="C579" i="1"/>
  <c r="K578" i="1"/>
  <c r="G578" i="1"/>
  <c r="C578" i="1"/>
  <c r="K577" i="1"/>
  <c r="G577" i="1"/>
  <c r="C577" i="1"/>
  <c r="K576" i="1"/>
  <c r="G576" i="1"/>
  <c r="K575" i="1"/>
  <c r="G575" i="1"/>
  <c r="K574" i="1"/>
  <c r="G574" i="1"/>
  <c r="K573" i="1"/>
  <c r="G573" i="1"/>
  <c r="K572" i="1"/>
  <c r="G572" i="1"/>
  <c r="C572" i="1"/>
  <c r="K571" i="1"/>
  <c r="G571" i="1"/>
  <c r="C571" i="1"/>
  <c r="K570" i="1"/>
  <c r="G570" i="1"/>
  <c r="C570" i="1"/>
  <c r="K569" i="1"/>
  <c r="C569" i="1"/>
  <c r="K568" i="1"/>
  <c r="C568" i="1"/>
  <c r="K567" i="1"/>
  <c r="C567" i="1"/>
  <c r="K566" i="1"/>
  <c r="G566" i="1"/>
  <c r="C566" i="1"/>
  <c r="K565" i="1"/>
  <c r="G565" i="1"/>
  <c r="K564" i="1"/>
  <c r="G564" i="1"/>
  <c r="K563" i="1"/>
  <c r="G563" i="1"/>
  <c r="K562" i="1"/>
  <c r="G562" i="1"/>
  <c r="C562" i="1"/>
  <c r="K561" i="1"/>
  <c r="G561" i="1"/>
  <c r="C561" i="1"/>
  <c r="K560" i="1"/>
  <c r="G560" i="1"/>
  <c r="C560" i="1"/>
  <c r="K559" i="1"/>
  <c r="G559" i="1"/>
  <c r="C559" i="1"/>
  <c r="K558" i="1"/>
  <c r="G558" i="1"/>
  <c r="C558" i="1"/>
  <c r="K557" i="1"/>
  <c r="G557" i="1"/>
  <c r="C557" i="1"/>
  <c r="K556" i="1"/>
  <c r="G556" i="1"/>
  <c r="C556" i="1"/>
  <c r="K555" i="1"/>
  <c r="G555" i="1"/>
  <c r="C555" i="1"/>
  <c r="K554" i="1"/>
  <c r="G554" i="1"/>
  <c r="C554" i="1"/>
  <c r="K553" i="1"/>
  <c r="G553" i="1"/>
  <c r="K552" i="1"/>
  <c r="G552" i="1"/>
  <c r="K551" i="1"/>
  <c r="G551" i="1"/>
  <c r="K550" i="1"/>
  <c r="G550" i="1"/>
  <c r="C550" i="1"/>
  <c r="K549" i="1"/>
  <c r="G549" i="1"/>
  <c r="C549" i="1"/>
  <c r="K548" i="1"/>
  <c r="G548" i="1"/>
  <c r="C548" i="1"/>
  <c r="K547" i="1"/>
  <c r="G547" i="1"/>
  <c r="K546" i="1"/>
  <c r="G546" i="1"/>
  <c r="K545" i="1"/>
  <c r="G545" i="1"/>
  <c r="C545" i="1"/>
  <c r="K544" i="1"/>
  <c r="G544" i="1"/>
  <c r="C544" i="1"/>
  <c r="K543" i="1"/>
  <c r="G543" i="1"/>
  <c r="C543" i="1"/>
  <c r="K542" i="1"/>
  <c r="G542" i="1"/>
  <c r="C542" i="1"/>
  <c r="K541" i="1"/>
  <c r="G541" i="1"/>
  <c r="C541" i="1"/>
  <c r="K540" i="1"/>
  <c r="G540" i="1"/>
  <c r="K539" i="1"/>
  <c r="G539" i="1"/>
  <c r="K538" i="1"/>
  <c r="G538" i="1"/>
  <c r="K537" i="1"/>
  <c r="G537" i="1"/>
  <c r="C537" i="1"/>
  <c r="K536" i="1"/>
  <c r="G536" i="1"/>
  <c r="C536" i="1"/>
  <c r="K535" i="1"/>
  <c r="G535" i="1"/>
  <c r="C535" i="1"/>
  <c r="K534" i="1"/>
  <c r="G534" i="1"/>
  <c r="K533" i="1"/>
  <c r="G533" i="1"/>
  <c r="K532" i="1"/>
  <c r="G532" i="1"/>
  <c r="K531" i="1"/>
  <c r="G531" i="1"/>
  <c r="C531" i="1"/>
  <c r="K530" i="1"/>
  <c r="G530" i="1"/>
  <c r="C530" i="1"/>
  <c r="K529" i="1"/>
  <c r="G529" i="1"/>
  <c r="C529" i="1"/>
  <c r="K528" i="1"/>
  <c r="G528" i="1"/>
  <c r="C528" i="1"/>
  <c r="K527" i="1"/>
  <c r="G527" i="1"/>
  <c r="K526" i="1"/>
  <c r="G526" i="1"/>
  <c r="K525" i="1"/>
  <c r="G525" i="1"/>
  <c r="K524" i="1"/>
  <c r="G524" i="1"/>
  <c r="C524" i="1"/>
  <c r="K523" i="1"/>
  <c r="G523" i="1"/>
  <c r="C523" i="1"/>
  <c r="K522" i="1"/>
  <c r="G522" i="1"/>
  <c r="C522" i="1"/>
  <c r="K521" i="1"/>
  <c r="G521" i="1"/>
  <c r="C521" i="1"/>
  <c r="K520" i="1"/>
  <c r="G520" i="1"/>
  <c r="C520" i="1"/>
  <c r="K519" i="1"/>
  <c r="G519" i="1"/>
  <c r="C519" i="1"/>
  <c r="K518" i="1"/>
  <c r="G518" i="1"/>
  <c r="C518" i="1"/>
  <c r="K517" i="1"/>
  <c r="G517" i="1"/>
  <c r="C517" i="1"/>
  <c r="K516" i="1"/>
  <c r="G516" i="1"/>
  <c r="C516" i="1"/>
  <c r="K515" i="1"/>
  <c r="G515" i="1"/>
  <c r="C515" i="1"/>
  <c r="K514" i="1"/>
  <c r="G514" i="1"/>
  <c r="C514" i="1"/>
  <c r="K513" i="1"/>
  <c r="G513" i="1"/>
  <c r="C513" i="1"/>
  <c r="K512" i="1"/>
  <c r="G512" i="1"/>
  <c r="C512" i="1"/>
  <c r="K511" i="1"/>
  <c r="G511" i="1"/>
  <c r="C511" i="1"/>
  <c r="K510" i="1"/>
  <c r="G510" i="1"/>
  <c r="C510" i="1"/>
  <c r="K509" i="1"/>
  <c r="G509" i="1"/>
  <c r="C509" i="1"/>
  <c r="K508" i="1"/>
  <c r="G508" i="1"/>
  <c r="C508" i="1"/>
  <c r="K507" i="1"/>
  <c r="G507" i="1"/>
  <c r="C507" i="1"/>
  <c r="K506" i="1"/>
  <c r="G506" i="1"/>
  <c r="C506" i="1"/>
  <c r="K505" i="1"/>
  <c r="G505" i="1"/>
  <c r="C505" i="1"/>
  <c r="K504" i="1"/>
  <c r="G504" i="1"/>
  <c r="C504" i="1"/>
  <c r="K503" i="1"/>
  <c r="G503" i="1"/>
  <c r="C503" i="1"/>
  <c r="K502" i="1"/>
  <c r="G502" i="1"/>
  <c r="C502" i="1"/>
  <c r="K501" i="1"/>
  <c r="G501" i="1"/>
  <c r="C501" i="1"/>
  <c r="K500" i="1"/>
  <c r="G500" i="1"/>
  <c r="C500" i="1"/>
  <c r="K499" i="1"/>
  <c r="G499" i="1"/>
  <c r="C499" i="1"/>
  <c r="K498" i="1"/>
  <c r="G498" i="1"/>
  <c r="C498" i="1"/>
  <c r="K497" i="1"/>
  <c r="G497" i="1"/>
  <c r="C497" i="1"/>
  <c r="K496" i="1"/>
  <c r="G496" i="1"/>
  <c r="C496" i="1"/>
  <c r="K495" i="1"/>
  <c r="G495" i="1"/>
  <c r="C495" i="1"/>
  <c r="K494" i="1"/>
  <c r="G494" i="1"/>
  <c r="C494" i="1"/>
  <c r="K493" i="1"/>
  <c r="G493" i="1"/>
  <c r="C493" i="1"/>
  <c r="K492" i="1"/>
  <c r="G492" i="1"/>
  <c r="C492" i="1"/>
  <c r="K491" i="1"/>
  <c r="G491" i="1"/>
  <c r="C491" i="1"/>
  <c r="K490" i="1"/>
  <c r="G490" i="1"/>
  <c r="C490" i="1"/>
  <c r="K489" i="1"/>
  <c r="G489" i="1"/>
  <c r="K488" i="1"/>
  <c r="G488" i="1"/>
  <c r="K487" i="1"/>
  <c r="G487" i="1"/>
  <c r="K486" i="1"/>
  <c r="G486" i="1"/>
  <c r="C486" i="1"/>
  <c r="K485" i="1"/>
  <c r="G485" i="1"/>
  <c r="C485" i="1"/>
  <c r="K484" i="1"/>
  <c r="G484" i="1"/>
  <c r="K483" i="1"/>
  <c r="G483" i="1"/>
  <c r="K482" i="1"/>
  <c r="G482" i="1"/>
  <c r="K481" i="1"/>
  <c r="G481" i="1"/>
  <c r="C481" i="1"/>
  <c r="K480" i="1"/>
  <c r="G480" i="1"/>
  <c r="C480" i="1"/>
  <c r="K479" i="1"/>
  <c r="G479" i="1"/>
  <c r="C479" i="1"/>
  <c r="K478" i="1"/>
  <c r="G478" i="1"/>
  <c r="C478" i="1"/>
  <c r="K477" i="1"/>
  <c r="G477" i="1"/>
  <c r="C477" i="1"/>
  <c r="K476" i="1"/>
  <c r="G476" i="1"/>
  <c r="C476" i="1"/>
  <c r="K475" i="1"/>
  <c r="G475" i="1"/>
  <c r="K474" i="1"/>
  <c r="G474" i="1"/>
  <c r="K473" i="1"/>
  <c r="G473" i="1"/>
  <c r="C473" i="1"/>
  <c r="K472" i="1"/>
  <c r="G472" i="1"/>
  <c r="C472" i="1"/>
  <c r="K471" i="1"/>
  <c r="G471" i="1"/>
  <c r="K470" i="1"/>
  <c r="G470" i="1"/>
  <c r="K469" i="1"/>
  <c r="G469" i="1"/>
  <c r="K468" i="1"/>
  <c r="G468" i="1"/>
  <c r="C468" i="1"/>
  <c r="K467" i="1"/>
  <c r="G467" i="1"/>
  <c r="C467" i="1"/>
  <c r="K466" i="1"/>
  <c r="G466" i="1"/>
  <c r="K465" i="1"/>
  <c r="G465" i="1"/>
  <c r="K464" i="1"/>
  <c r="G464" i="1"/>
  <c r="K463" i="1"/>
  <c r="G463" i="1"/>
  <c r="C463" i="1"/>
  <c r="K462" i="1"/>
  <c r="G462" i="1"/>
  <c r="C462" i="1"/>
  <c r="K461" i="1"/>
  <c r="G461" i="1"/>
  <c r="K460" i="1"/>
  <c r="G460" i="1"/>
  <c r="K459" i="1"/>
  <c r="G459" i="1"/>
  <c r="K458" i="1"/>
  <c r="G458" i="1"/>
  <c r="C458" i="1"/>
  <c r="K457" i="1"/>
  <c r="G457" i="1"/>
  <c r="C457" i="1"/>
  <c r="K456" i="1"/>
  <c r="G456" i="1"/>
  <c r="K455" i="1"/>
  <c r="G455" i="1"/>
  <c r="K454" i="1"/>
  <c r="G454" i="1"/>
  <c r="K453" i="1"/>
  <c r="G453" i="1"/>
  <c r="C453" i="1"/>
  <c r="K452" i="1"/>
  <c r="G452" i="1"/>
  <c r="C452" i="1"/>
  <c r="K451" i="1"/>
  <c r="G451" i="1"/>
  <c r="C451" i="1"/>
  <c r="K450" i="1"/>
  <c r="G450" i="1"/>
  <c r="C450" i="1"/>
  <c r="K449" i="1"/>
  <c r="G449" i="1"/>
  <c r="K448" i="1"/>
  <c r="G448" i="1"/>
  <c r="K447" i="1"/>
  <c r="G447" i="1"/>
  <c r="K446" i="1"/>
  <c r="G446" i="1"/>
  <c r="C446" i="1"/>
  <c r="K445" i="1"/>
  <c r="G445" i="1"/>
  <c r="C445" i="1"/>
  <c r="K444" i="1"/>
  <c r="G444" i="1"/>
  <c r="C444" i="1"/>
  <c r="K443" i="1"/>
  <c r="G443" i="1"/>
  <c r="C443" i="1"/>
  <c r="K442" i="1"/>
  <c r="G442" i="1"/>
  <c r="C442" i="1"/>
  <c r="K441" i="1"/>
  <c r="G441" i="1"/>
  <c r="C441" i="1"/>
  <c r="K440" i="1"/>
  <c r="G440" i="1"/>
  <c r="C440" i="1"/>
  <c r="K439" i="1"/>
  <c r="G439" i="1"/>
  <c r="K438" i="1"/>
  <c r="G438" i="1"/>
  <c r="K437" i="1"/>
  <c r="G437" i="1"/>
  <c r="K436" i="1"/>
  <c r="G436" i="1"/>
  <c r="C436" i="1"/>
  <c r="K435" i="1"/>
  <c r="G435" i="1"/>
  <c r="C435" i="1"/>
  <c r="K434" i="1"/>
  <c r="G434" i="1"/>
  <c r="K433" i="1"/>
  <c r="G433" i="1"/>
  <c r="K432" i="1"/>
  <c r="G432" i="1"/>
  <c r="K431" i="1"/>
  <c r="G431" i="1"/>
  <c r="C431" i="1"/>
  <c r="K430" i="1"/>
  <c r="G430" i="1"/>
  <c r="C430" i="1"/>
  <c r="K429" i="1"/>
  <c r="G429" i="1"/>
  <c r="C429" i="1"/>
  <c r="K428" i="1"/>
  <c r="G428" i="1"/>
  <c r="C428" i="1"/>
  <c r="K427" i="1"/>
  <c r="G427" i="1"/>
  <c r="K426" i="1"/>
  <c r="G426" i="1"/>
  <c r="K425" i="1"/>
  <c r="G425" i="1"/>
  <c r="K424" i="1"/>
  <c r="G424" i="1"/>
  <c r="C424" i="1"/>
  <c r="K423" i="1"/>
  <c r="G423" i="1"/>
  <c r="C423" i="1"/>
  <c r="K422" i="1"/>
  <c r="G422" i="1"/>
  <c r="C422" i="1"/>
  <c r="K421" i="1"/>
  <c r="G421" i="1"/>
  <c r="C421" i="1"/>
  <c r="K420" i="1"/>
  <c r="G420" i="1"/>
  <c r="C420" i="1"/>
  <c r="K419" i="1"/>
  <c r="G419" i="1"/>
  <c r="K418" i="1"/>
  <c r="G418" i="1"/>
  <c r="K417" i="1"/>
  <c r="G417" i="1"/>
  <c r="K416" i="1"/>
  <c r="G416" i="1"/>
  <c r="C416" i="1"/>
  <c r="K415" i="1"/>
  <c r="G415" i="1"/>
  <c r="C415" i="1"/>
  <c r="K414" i="1"/>
  <c r="G414" i="1"/>
  <c r="C414" i="1"/>
  <c r="K413" i="1"/>
  <c r="G413" i="1"/>
  <c r="C413" i="1"/>
  <c r="K412" i="1"/>
  <c r="G412" i="1"/>
  <c r="C412" i="1"/>
  <c r="K411" i="1"/>
  <c r="G411" i="1"/>
  <c r="C411" i="1"/>
  <c r="K410" i="1"/>
  <c r="G410" i="1"/>
  <c r="C410" i="1"/>
  <c r="K409" i="1"/>
  <c r="G409" i="1"/>
  <c r="C409" i="1"/>
  <c r="K408" i="1"/>
  <c r="G408" i="1"/>
  <c r="K407" i="1"/>
  <c r="G407" i="1"/>
  <c r="K406" i="1"/>
  <c r="G406" i="1"/>
  <c r="K405" i="1"/>
  <c r="G405" i="1"/>
  <c r="C405" i="1"/>
  <c r="K404" i="1"/>
  <c r="G404" i="1"/>
  <c r="C404" i="1"/>
  <c r="K403" i="1"/>
  <c r="G403" i="1"/>
  <c r="C403" i="1"/>
  <c r="K402" i="1"/>
  <c r="G402" i="1"/>
  <c r="C402" i="1"/>
  <c r="K401" i="1"/>
  <c r="G401" i="1"/>
  <c r="C401" i="1"/>
  <c r="K400" i="1"/>
  <c r="G400" i="1"/>
  <c r="K399" i="1"/>
  <c r="G399" i="1"/>
  <c r="K398" i="1"/>
  <c r="G398" i="1"/>
  <c r="K397" i="1"/>
  <c r="G397" i="1"/>
  <c r="C397" i="1"/>
  <c r="K396" i="1"/>
  <c r="G396" i="1"/>
  <c r="C396" i="1"/>
  <c r="K395" i="1"/>
  <c r="G395" i="1"/>
  <c r="C395" i="1"/>
  <c r="K394" i="1"/>
  <c r="G394" i="1"/>
  <c r="K393" i="1"/>
  <c r="G393" i="1"/>
  <c r="K392" i="1"/>
  <c r="G392" i="1"/>
  <c r="K391" i="1"/>
  <c r="G391" i="1"/>
  <c r="C391" i="1"/>
  <c r="K390" i="1"/>
  <c r="G390" i="1"/>
  <c r="C390" i="1"/>
  <c r="K389" i="1"/>
  <c r="G389" i="1"/>
  <c r="C389" i="1"/>
  <c r="K388" i="1"/>
  <c r="G388" i="1"/>
  <c r="C388" i="1"/>
  <c r="K387" i="1"/>
  <c r="G387" i="1"/>
  <c r="C387" i="1"/>
  <c r="K386" i="1"/>
  <c r="G386" i="1"/>
  <c r="C386" i="1"/>
  <c r="K385" i="1"/>
  <c r="G385" i="1"/>
  <c r="K384" i="1"/>
  <c r="G384" i="1"/>
  <c r="K383" i="1"/>
  <c r="G383" i="1"/>
  <c r="K382" i="1"/>
  <c r="G382" i="1"/>
  <c r="C382" i="1"/>
  <c r="K381" i="1"/>
  <c r="G381" i="1"/>
  <c r="C381" i="1"/>
  <c r="K380" i="1"/>
  <c r="G380" i="1"/>
  <c r="C380" i="1"/>
  <c r="K379" i="1"/>
  <c r="G379" i="1"/>
  <c r="C379" i="1"/>
  <c r="K378" i="1"/>
  <c r="G378" i="1"/>
  <c r="K377" i="1"/>
  <c r="G377" i="1"/>
  <c r="K376" i="1"/>
  <c r="G376" i="1"/>
  <c r="C376" i="1"/>
  <c r="K375" i="1"/>
  <c r="G375" i="1"/>
  <c r="C375" i="1"/>
  <c r="K374" i="1"/>
  <c r="G374" i="1"/>
  <c r="C374" i="1"/>
  <c r="K373" i="1"/>
  <c r="G373" i="1"/>
  <c r="C373" i="1"/>
  <c r="K372" i="1"/>
  <c r="G372" i="1"/>
  <c r="C372" i="1"/>
  <c r="K371" i="1"/>
  <c r="G371" i="1"/>
  <c r="C371" i="1"/>
  <c r="K370" i="1"/>
  <c r="G370" i="1"/>
  <c r="K369" i="1"/>
  <c r="G369" i="1"/>
  <c r="K368" i="1"/>
  <c r="G368" i="1"/>
  <c r="K367" i="1"/>
  <c r="G367" i="1"/>
  <c r="C367" i="1"/>
  <c r="K366" i="1"/>
  <c r="G366" i="1"/>
  <c r="C366" i="1"/>
  <c r="K365" i="1"/>
  <c r="G365" i="1"/>
  <c r="C365" i="1"/>
  <c r="K364" i="1"/>
  <c r="G364" i="1"/>
  <c r="C364" i="1"/>
  <c r="K363" i="1"/>
  <c r="G363" i="1"/>
  <c r="C363" i="1"/>
  <c r="K362" i="1"/>
  <c r="G362" i="1"/>
  <c r="C362" i="1"/>
  <c r="K361" i="1"/>
  <c r="G361" i="1"/>
  <c r="C361" i="1"/>
  <c r="K360" i="1"/>
  <c r="G360" i="1"/>
  <c r="K359" i="1"/>
  <c r="G359" i="1"/>
  <c r="K358" i="1"/>
  <c r="G358" i="1"/>
  <c r="K357" i="1"/>
  <c r="G357" i="1"/>
  <c r="C357" i="1"/>
  <c r="K356" i="1"/>
  <c r="G356" i="1"/>
  <c r="C356" i="1"/>
  <c r="K355" i="1"/>
  <c r="G355" i="1"/>
  <c r="C355" i="1"/>
  <c r="K354" i="1"/>
  <c r="G354" i="1"/>
  <c r="K353" i="1"/>
  <c r="G353" i="1"/>
  <c r="K352" i="1"/>
  <c r="G352" i="1"/>
  <c r="K351" i="1"/>
  <c r="G351" i="1"/>
  <c r="C351" i="1"/>
  <c r="K350" i="1"/>
  <c r="G350" i="1"/>
  <c r="C350" i="1"/>
  <c r="K349" i="1"/>
  <c r="G349" i="1"/>
  <c r="C349" i="1"/>
  <c r="K348" i="1"/>
  <c r="G348" i="1"/>
  <c r="K347" i="1"/>
  <c r="G347" i="1"/>
  <c r="K346" i="1"/>
  <c r="G346" i="1"/>
  <c r="K345" i="1"/>
  <c r="G345" i="1"/>
  <c r="C345" i="1"/>
  <c r="K344" i="1"/>
  <c r="G344" i="1"/>
  <c r="C344" i="1"/>
  <c r="K343" i="1"/>
  <c r="G343" i="1"/>
  <c r="C343" i="1"/>
  <c r="K342" i="1"/>
  <c r="G342" i="1"/>
  <c r="C342" i="1"/>
  <c r="K341" i="1"/>
  <c r="G341" i="1"/>
  <c r="C341" i="1"/>
  <c r="K340" i="1"/>
  <c r="G340" i="1"/>
  <c r="C340" i="1"/>
  <c r="K339" i="1"/>
  <c r="G339" i="1"/>
  <c r="K338" i="1"/>
  <c r="G338" i="1"/>
  <c r="K337" i="1"/>
  <c r="G337" i="1"/>
  <c r="K336" i="1"/>
  <c r="G336" i="1"/>
  <c r="C336" i="1"/>
  <c r="K335" i="1"/>
  <c r="G335" i="1"/>
  <c r="C335" i="1"/>
  <c r="K334" i="1"/>
  <c r="G334" i="1"/>
  <c r="K333" i="1"/>
  <c r="G333" i="1"/>
  <c r="K332" i="1"/>
  <c r="G332" i="1"/>
  <c r="K331" i="1"/>
  <c r="G331" i="1"/>
  <c r="C331" i="1"/>
  <c r="K330" i="1"/>
  <c r="G330" i="1"/>
  <c r="C330" i="1"/>
  <c r="K329" i="1"/>
  <c r="G329" i="1"/>
  <c r="C329" i="1"/>
  <c r="K328" i="1"/>
  <c r="G328" i="1"/>
  <c r="C328" i="1"/>
  <c r="K327" i="1"/>
  <c r="G327" i="1"/>
  <c r="C327" i="1"/>
  <c r="K326" i="1"/>
  <c r="G326" i="1"/>
  <c r="C326" i="1"/>
  <c r="K325" i="1"/>
  <c r="G325" i="1"/>
  <c r="C325" i="1"/>
  <c r="K324" i="1"/>
  <c r="G324" i="1"/>
  <c r="C324" i="1"/>
  <c r="K323" i="1"/>
  <c r="G323" i="1"/>
  <c r="C323" i="1"/>
  <c r="K322" i="1"/>
  <c r="G322" i="1"/>
  <c r="C322" i="1"/>
  <c r="K321" i="1"/>
  <c r="G321" i="1"/>
  <c r="C321" i="1"/>
  <c r="K320" i="1"/>
  <c r="G320" i="1"/>
  <c r="C320" i="1"/>
  <c r="K319" i="1"/>
  <c r="G319" i="1"/>
  <c r="C319" i="1"/>
  <c r="K318" i="1"/>
  <c r="G318" i="1"/>
  <c r="C318" i="1"/>
  <c r="K317" i="1"/>
  <c r="G317" i="1"/>
  <c r="C317" i="1"/>
  <c r="K316" i="1"/>
  <c r="G316" i="1"/>
  <c r="C316" i="1"/>
  <c r="K315" i="1"/>
  <c r="G315" i="1"/>
  <c r="C315" i="1"/>
  <c r="K314" i="1"/>
  <c r="G314" i="1"/>
  <c r="C314" i="1"/>
  <c r="K313" i="1"/>
  <c r="G313" i="1"/>
  <c r="C313" i="1"/>
  <c r="K312" i="1"/>
  <c r="G312" i="1"/>
  <c r="C312" i="1"/>
  <c r="K311" i="1"/>
  <c r="G311" i="1"/>
  <c r="C311" i="1"/>
  <c r="K310" i="1"/>
  <c r="G310" i="1"/>
  <c r="C310" i="1"/>
  <c r="K309" i="1"/>
  <c r="G309" i="1"/>
  <c r="C309" i="1"/>
  <c r="K308" i="1"/>
  <c r="G308" i="1"/>
  <c r="C308" i="1"/>
  <c r="K307" i="1"/>
  <c r="G307" i="1"/>
  <c r="C307" i="1"/>
  <c r="K306" i="1"/>
  <c r="G306" i="1"/>
  <c r="C306" i="1"/>
  <c r="K305" i="1"/>
  <c r="G305" i="1"/>
  <c r="C305" i="1"/>
  <c r="K304" i="1"/>
  <c r="G304" i="1"/>
  <c r="C304" i="1"/>
  <c r="K303" i="1"/>
  <c r="G303" i="1"/>
  <c r="C303" i="1"/>
  <c r="K302" i="1"/>
  <c r="G302" i="1"/>
  <c r="C302" i="1"/>
  <c r="K301" i="1"/>
  <c r="G301" i="1"/>
  <c r="C301" i="1"/>
  <c r="K300" i="1"/>
  <c r="G300" i="1"/>
  <c r="C300" i="1"/>
  <c r="K299" i="1"/>
  <c r="G299" i="1"/>
  <c r="C299" i="1"/>
  <c r="K298" i="1"/>
  <c r="G298" i="1"/>
  <c r="C298" i="1"/>
  <c r="K297" i="1"/>
  <c r="G297" i="1"/>
  <c r="C297" i="1"/>
  <c r="K296" i="1"/>
  <c r="G296" i="1"/>
  <c r="C296" i="1"/>
  <c r="K295" i="1"/>
  <c r="G295" i="1"/>
  <c r="C295" i="1"/>
  <c r="K294" i="1"/>
  <c r="G294" i="1"/>
  <c r="C294" i="1"/>
  <c r="K293" i="1"/>
  <c r="G293" i="1"/>
  <c r="C293" i="1"/>
  <c r="K292" i="1"/>
  <c r="G292" i="1"/>
  <c r="C292" i="1"/>
  <c r="K291" i="1"/>
  <c r="G291" i="1"/>
  <c r="C291" i="1"/>
  <c r="K290" i="1"/>
  <c r="G290" i="1"/>
  <c r="C290" i="1"/>
  <c r="K289" i="1"/>
  <c r="G289" i="1"/>
  <c r="C289" i="1"/>
  <c r="K288" i="1"/>
  <c r="G288" i="1"/>
  <c r="C288" i="1"/>
  <c r="K287" i="1"/>
  <c r="G287" i="1"/>
  <c r="C287" i="1"/>
  <c r="K286" i="1"/>
  <c r="G286" i="1"/>
  <c r="C286" i="1"/>
  <c r="K285" i="1"/>
  <c r="G285" i="1"/>
  <c r="C285" i="1"/>
  <c r="K284" i="1"/>
  <c r="G284" i="1"/>
  <c r="C284" i="1"/>
  <c r="K283" i="1"/>
  <c r="G283" i="1"/>
  <c r="C283" i="1"/>
  <c r="K282" i="1"/>
  <c r="G282" i="1"/>
  <c r="C282" i="1"/>
  <c r="K281" i="1"/>
  <c r="G281" i="1"/>
  <c r="C281" i="1"/>
  <c r="K280" i="1"/>
  <c r="G280" i="1"/>
  <c r="C280" i="1"/>
  <c r="K279" i="1"/>
  <c r="G279" i="1"/>
  <c r="C279" i="1"/>
  <c r="K278" i="1"/>
  <c r="G278" i="1"/>
  <c r="C278" i="1"/>
  <c r="K277" i="1"/>
  <c r="G277" i="1"/>
  <c r="C277" i="1"/>
  <c r="K276" i="1"/>
  <c r="G276" i="1"/>
  <c r="C276" i="1"/>
  <c r="K275" i="1"/>
  <c r="G275" i="1"/>
  <c r="C275" i="1"/>
  <c r="K274" i="1"/>
  <c r="G274" i="1"/>
  <c r="C274" i="1"/>
  <c r="K273" i="1"/>
  <c r="G273" i="1"/>
  <c r="C273" i="1"/>
  <c r="K272" i="1"/>
  <c r="G272" i="1"/>
  <c r="C272" i="1"/>
  <c r="K271" i="1"/>
  <c r="G271" i="1"/>
  <c r="C271" i="1"/>
  <c r="K270" i="1"/>
  <c r="G270" i="1"/>
  <c r="C270" i="1"/>
  <c r="K269" i="1"/>
  <c r="G269" i="1"/>
  <c r="C269" i="1"/>
  <c r="K268" i="1"/>
  <c r="G268" i="1"/>
  <c r="C268" i="1"/>
  <c r="K267" i="1"/>
  <c r="G267" i="1"/>
  <c r="C267" i="1"/>
  <c r="K266" i="1"/>
  <c r="G266" i="1"/>
  <c r="C266" i="1"/>
  <c r="K265" i="1"/>
  <c r="G265" i="1"/>
  <c r="C265" i="1"/>
  <c r="K264" i="1"/>
  <c r="G264" i="1"/>
  <c r="C264" i="1"/>
  <c r="K263" i="1"/>
  <c r="G263" i="1"/>
  <c r="C263" i="1"/>
  <c r="K262" i="1"/>
  <c r="G262" i="1"/>
  <c r="C262" i="1"/>
  <c r="K261" i="1"/>
  <c r="G261" i="1"/>
  <c r="C261" i="1"/>
  <c r="K260" i="1"/>
  <c r="G260" i="1"/>
  <c r="C260" i="1"/>
  <c r="K259" i="1"/>
  <c r="G259" i="1"/>
  <c r="C259" i="1"/>
  <c r="K258" i="1"/>
  <c r="G258" i="1"/>
  <c r="C258" i="1"/>
  <c r="K257" i="1"/>
  <c r="G257" i="1"/>
  <c r="C257" i="1"/>
  <c r="K256" i="1"/>
  <c r="G256" i="1"/>
  <c r="C256" i="1"/>
  <c r="K255" i="1"/>
  <c r="G255" i="1"/>
  <c r="C255" i="1"/>
  <c r="K254" i="1"/>
  <c r="G254" i="1"/>
  <c r="C254" i="1"/>
  <c r="K253" i="1"/>
  <c r="G253" i="1"/>
  <c r="C253" i="1"/>
  <c r="K252" i="1"/>
  <c r="G252" i="1"/>
  <c r="C252" i="1"/>
  <c r="K251" i="1"/>
  <c r="G251" i="1"/>
  <c r="C251" i="1"/>
  <c r="K250" i="1"/>
  <c r="G250" i="1"/>
  <c r="C250" i="1"/>
  <c r="K249" i="1"/>
  <c r="G249" i="1"/>
  <c r="C249" i="1"/>
  <c r="K248" i="1"/>
  <c r="G248" i="1"/>
  <c r="C248" i="1"/>
  <c r="K247" i="1"/>
  <c r="G247" i="1"/>
  <c r="C247" i="1"/>
  <c r="K246" i="1"/>
  <c r="G246" i="1"/>
  <c r="C246" i="1"/>
  <c r="K245" i="1"/>
  <c r="G245" i="1"/>
  <c r="C245" i="1"/>
  <c r="K244" i="1"/>
  <c r="G244" i="1"/>
  <c r="C244" i="1"/>
  <c r="K243" i="1"/>
  <c r="G243" i="1"/>
  <c r="C243" i="1"/>
  <c r="K242" i="1"/>
  <c r="G242" i="1"/>
  <c r="C242" i="1"/>
  <c r="K241" i="1"/>
  <c r="G241" i="1"/>
  <c r="C241" i="1"/>
  <c r="K240" i="1"/>
  <c r="G240" i="1"/>
  <c r="C240" i="1"/>
  <c r="K239" i="1"/>
  <c r="G239" i="1"/>
  <c r="C239" i="1"/>
  <c r="K238" i="1"/>
  <c r="G238" i="1"/>
  <c r="C238" i="1"/>
  <c r="K237" i="1"/>
  <c r="G237" i="1"/>
  <c r="C237" i="1"/>
  <c r="K236" i="1"/>
  <c r="G236" i="1"/>
  <c r="C236" i="1"/>
  <c r="K235" i="1"/>
  <c r="G235" i="1"/>
  <c r="C235" i="1"/>
  <c r="K234" i="1"/>
  <c r="G234" i="1"/>
  <c r="C234" i="1"/>
  <c r="K233" i="1"/>
  <c r="G233" i="1"/>
  <c r="C233" i="1"/>
  <c r="K232" i="1"/>
  <c r="G232" i="1"/>
  <c r="C232" i="1"/>
  <c r="K231" i="1"/>
  <c r="G231" i="1"/>
  <c r="C231" i="1"/>
  <c r="K230" i="1"/>
  <c r="G230" i="1"/>
  <c r="C230" i="1"/>
  <c r="K229" i="1"/>
  <c r="G229" i="1"/>
  <c r="C229" i="1"/>
  <c r="K228" i="1"/>
  <c r="G228" i="1"/>
  <c r="C228" i="1"/>
  <c r="K227" i="1"/>
  <c r="G227" i="1"/>
  <c r="C227" i="1"/>
  <c r="K226" i="1"/>
  <c r="G226" i="1"/>
  <c r="C226" i="1"/>
  <c r="K225" i="1"/>
  <c r="G225" i="1"/>
  <c r="C225" i="1"/>
  <c r="K224" i="1"/>
  <c r="G224" i="1"/>
  <c r="C224" i="1"/>
  <c r="K223" i="1"/>
  <c r="G223" i="1"/>
  <c r="C223" i="1"/>
  <c r="K222" i="1"/>
  <c r="G222" i="1"/>
  <c r="C222" i="1"/>
  <c r="K221" i="1"/>
  <c r="G221" i="1"/>
  <c r="C221" i="1"/>
  <c r="K220" i="1"/>
  <c r="G220" i="1"/>
  <c r="C220" i="1"/>
  <c r="K219" i="1"/>
  <c r="G219" i="1"/>
  <c r="C219" i="1"/>
  <c r="K218" i="1"/>
  <c r="G218" i="1"/>
  <c r="C218" i="1"/>
  <c r="K217" i="1"/>
  <c r="G217" i="1"/>
  <c r="C217" i="1"/>
  <c r="K216" i="1"/>
  <c r="G216" i="1"/>
  <c r="C216" i="1"/>
  <c r="K215" i="1"/>
  <c r="G215" i="1"/>
  <c r="C215" i="1"/>
  <c r="K214" i="1"/>
  <c r="G214" i="1"/>
  <c r="C214" i="1"/>
  <c r="K213" i="1"/>
  <c r="G213" i="1"/>
  <c r="C213" i="1"/>
  <c r="K212" i="1"/>
  <c r="G212" i="1"/>
  <c r="C212" i="1"/>
  <c r="K211" i="1"/>
  <c r="G211" i="1"/>
  <c r="C211" i="1"/>
  <c r="K210" i="1"/>
  <c r="G210" i="1"/>
  <c r="C210" i="1"/>
  <c r="K209" i="1"/>
  <c r="G209" i="1"/>
  <c r="C209" i="1"/>
  <c r="K208" i="1"/>
  <c r="G208" i="1"/>
  <c r="C208" i="1"/>
  <c r="K207" i="1"/>
  <c r="G207" i="1"/>
  <c r="C207" i="1"/>
  <c r="K206" i="1"/>
  <c r="G206" i="1"/>
  <c r="C206" i="1"/>
  <c r="K205" i="1"/>
  <c r="G205" i="1"/>
  <c r="C205" i="1"/>
  <c r="K204" i="1"/>
  <c r="G204" i="1"/>
  <c r="C204" i="1"/>
  <c r="K203" i="1"/>
  <c r="G203" i="1"/>
  <c r="C203" i="1"/>
  <c r="K202" i="1"/>
  <c r="G202" i="1"/>
  <c r="C202" i="1"/>
  <c r="K201" i="1"/>
  <c r="G201" i="1"/>
  <c r="C201" i="1"/>
  <c r="K200" i="1"/>
  <c r="G200" i="1"/>
  <c r="C200" i="1"/>
  <c r="K199" i="1"/>
  <c r="G199" i="1"/>
  <c r="C199" i="1"/>
  <c r="K198" i="1"/>
  <c r="G198" i="1"/>
  <c r="C198" i="1"/>
  <c r="K197" i="1"/>
  <c r="G197" i="1"/>
  <c r="C197" i="1"/>
  <c r="K196" i="1"/>
  <c r="G196" i="1"/>
  <c r="C196" i="1"/>
  <c r="K195" i="1"/>
  <c r="G195" i="1"/>
  <c r="C195" i="1"/>
  <c r="K194" i="1"/>
  <c r="G194" i="1"/>
  <c r="C194" i="1"/>
  <c r="K193" i="1"/>
  <c r="G193" i="1"/>
  <c r="C193" i="1"/>
  <c r="K192" i="1"/>
  <c r="G192" i="1"/>
  <c r="C192" i="1"/>
  <c r="K191" i="1"/>
  <c r="G191" i="1"/>
  <c r="C191" i="1"/>
  <c r="K190" i="1"/>
  <c r="G190" i="1"/>
  <c r="C190" i="1"/>
  <c r="K189" i="1"/>
  <c r="G189" i="1"/>
  <c r="C189" i="1"/>
  <c r="K188" i="1"/>
  <c r="G188" i="1"/>
  <c r="C188" i="1"/>
  <c r="K187" i="1"/>
  <c r="G187" i="1"/>
  <c r="C187" i="1"/>
  <c r="K186" i="1"/>
  <c r="G186" i="1"/>
  <c r="C186" i="1"/>
  <c r="K185" i="1"/>
  <c r="G185" i="1"/>
  <c r="C185" i="1"/>
  <c r="K184" i="1"/>
  <c r="G184" i="1"/>
  <c r="C184" i="1"/>
  <c r="K183" i="1"/>
  <c r="G183" i="1"/>
  <c r="C183" i="1"/>
  <c r="K182" i="1"/>
  <c r="G182" i="1"/>
  <c r="C182" i="1"/>
  <c r="K181" i="1"/>
  <c r="G181" i="1"/>
  <c r="C181" i="1"/>
  <c r="K180" i="1"/>
  <c r="G180" i="1"/>
  <c r="C180" i="1"/>
  <c r="K179" i="1"/>
  <c r="G179" i="1"/>
  <c r="C179" i="1"/>
  <c r="K178" i="1"/>
  <c r="G178" i="1"/>
  <c r="C178" i="1"/>
  <c r="K177" i="1"/>
  <c r="G177" i="1"/>
  <c r="C177" i="1"/>
  <c r="K176" i="1"/>
  <c r="G176" i="1"/>
  <c r="C176" i="1"/>
  <c r="K175" i="1"/>
  <c r="G175" i="1"/>
  <c r="C175" i="1"/>
  <c r="K174" i="1"/>
  <c r="G174" i="1"/>
  <c r="C174" i="1"/>
  <c r="K173" i="1"/>
  <c r="G173" i="1"/>
  <c r="C173" i="1"/>
  <c r="K172" i="1"/>
  <c r="G172" i="1"/>
  <c r="C172" i="1"/>
  <c r="K171" i="1"/>
  <c r="G171" i="1"/>
  <c r="C171" i="1"/>
  <c r="K170" i="1"/>
  <c r="G170" i="1"/>
  <c r="C170" i="1"/>
  <c r="K169" i="1"/>
  <c r="G169" i="1"/>
  <c r="C169" i="1"/>
  <c r="K168" i="1"/>
  <c r="G168" i="1"/>
  <c r="C168" i="1"/>
  <c r="K167" i="1"/>
  <c r="G167" i="1"/>
  <c r="C167" i="1"/>
  <c r="K166" i="1"/>
  <c r="G166" i="1"/>
  <c r="C166" i="1"/>
  <c r="K165" i="1"/>
  <c r="G165" i="1"/>
  <c r="C165" i="1"/>
  <c r="K164" i="1"/>
  <c r="G164" i="1"/>
  <c r="C164" i="1"/>
  <c r="K163" i="1"/>
  <c r="G163" i="1"/>
  <c r="C163" i="1"/>
  <c r="K162" i="1"/>
  <c r="G162" i="1"/>
  <c r="C162" i="1"/>
  <c r="K161" i="1"/>
  <c r="G161" i="1"/>
  <c r="C161" i="1"/>
  <c r="K160" i="1"/>
  <c r="G160" i="1"/>
  <c r="C160" i="1"/>
  <c r="K159" i="1"/>
  <c r="G159" i="1"/>
  <c r="C159" i="1"/>
  <c r="K158" i="1"/>
  <c r="G158" i="1"/>
  <c r="C158" i="1"/>
  <c r="K157" i="1"/>
  <c r="G157" i="1"/>
  <c r="C157" i="1"/>
  <c r="K156" i="1"/>
  <c r="G156" i="1"/>
  <c r="C156" i="1"/>
  <c r="K155" i="1"/>
  <c r="G155" i="1"/>
  <c r="C155" i="1"/>
  <c r="K154" i="1"/>
  <c r="G154" i="1"/>
  <c r="C154" i="1"/>
  <c r="K153" i="1"/>
  <c r="G153" i="1"/>
  <c r="C153" i="1"/>
  <c r="K152" i="1"/>
  <c r="G152" i="1"/>
  <c r="C152" i="1"/>
  <c r="K151" i="1"/>
  <c r="G151" i="1"/>
  <c r="C151" i="1"/>
  <c r="K150" i="1"/>
  <c r="G150" i="1"/>
  <c r="K149" i="1"/>
  <c r="G149" i="1"/>
  <c r="K148" i="1"/>
  <c r="G148" i="1"/>
  <c r="C148" i="1"/>
  <c r="K147" i="1"/>
  <c r="G147" i="1"/>
  <c r="C147" i="1"/>
  <c r="K146" i="1"/>
  <c r="G146" i="1"/>
  <c r="C146" i="1"/>
  <c r="K145" i="1"/>
  <c r="G145" i="1"/>
  <c r="C145" i="1"/>
  <c r="K144" i="1"/>
  <c r="G144" i="1"/>
  <c r="C144" i="1"/>
  <c r="K143" i="1"/>
  <c r="G143" i="1"/>
  <c r="C143" i="1"/>
  <c r="K142" i="1"/>
  <c r="G142" i="1"/>
  <c r="C142" i="1"/>
  <c r="K141" i="1"/>
  <c r="G141" i="1"/>
  <c r="C141" i="1"/>
  <c r="K140" i="1"/>
  <c r="G140" i="1"/>
  <c r="C140" i="1"/>
  <c r="K139" i="1"/>
  <c r="G139" i="1"/>
  <c r="C139" i="1"/>
  <c r="K138" i="1"/>
  <c r="G138" i="1"/>
  <c r="C138" i="1"/>
  <c r="K137" i="1"/>
  <c r="G137" i="1"/>
  <c r="C137" i="1"/>
  <c r="K136" i="1"/>
  <c r="G136" i="1"/>
  <c r="C136" i="1"/>
  <c r="K135" i="1"/>
  <c r="G135" i="1"/>
  <c r="C135" i="1"/>
  <c r="K134" i="1"/>
  <c r="G134" i="1"/>
  <c r="C134" i="1"/>
  <c r="K133" i="1"/>
  <c r="G133" i="1"/>
  <c r="C133" i="1"/>
  <c r="K132" i="1"/>
  <c r="G132" i="1"/>
  <c r="C132" i="1"/>
  <c r="K131" i="1"/>
  <c r="G131" i="1"/>
  <c r="C131" i="1"/>
  <c r="K130" i="1"/>
  <c r="G130" i="1"/>
  <c r="C130" i="1"/>
  <c r="K129" i="1"/>
  <c r="G129" i="1"/>
  <c r="K128" i="1"/>
  <c r="G128" i="1"/>
  <c r="K127" i="1"/>
  <c r="G127" i="1"/>
  <c r="K126" i="1"/>
  <c r="G126" i="1"/>
  <c r="C126" i="1"/>
  <c r="K125" i="1"/>
  <c r="G125" i="1"/>
  <c r="C125" i="1"/>
  <c r="K124" i="1"/>
  <c r="G124" i="1"/>
  <c r="C124" i="1"/>
  <c r="K123" i="1"/>
  <c r="G123" i="1"/>
  <c r="C123" i="1"/>
  <c r="K122" i="1"/>
  <c r="G122" i="1"/>
  <c r="K121" i="1"/>
  <c r="G121" i="1"/>
  <c r="K120" i="1"/>
  <c r="G120" i="1"/>
  <c r="K119" i="1"/>
  <c r="G119" i="1"/>
  <c r="C119" i="1"/>
  <c r="K118" i="1"/>
  <c r="G118" i="1"/>
  <c r="C118" i="1"/>
  <c r="K117" i="1"/>
  <c r="G117" i="1"/>
  <c r="K116" i="1"/>
  <c r="G116" i="1"/>
  <c r="K115" i="1"/>
  <c r="G115" i="1"/>
  <c r="K114" i="1"/>
  <c r="G114" i="1"/>
  <c r="C114" i="1"/>
  <c r="K113" i="1"/>
  <c r="G113" i="1"/>
  <c r="C113" i="1"/>
  <c r="K112" i="1"/>
  <c r="G112" i="1"/>
  <c r="C112" i="1"/>
  <c r="K111" i="1"/>
  <c r="G111" i="1"/>
  <c r="C111" i="1"/>
  <c r="K110" i="1"/>
  <c r="G110" i="1"/>
  <c r="C110" i="1"/>
  <c r="K109" i="1"/>
  <c r="G109" i="1"/>
  <c r="C109" i="1"/>
  <c r="K108" i="1"/>
  <c r="G108" i="1"/>
  <c r="C108" i="1"/>
  <c r="K107" i="1"/>
  <c r="G107" i="1"/>
  <c r="K106" i="1"/>
  <c r="G106" i="1"/>
  <c r="K105" i="1"/>
  <c r="G105" i="1"/>
  <c r="K104" i="1"/>
  <c r="G104" i="1"/>
  <c r="K103" i="1"/>
  <c r="G103" i="1"/>
  <c r="K102" i="1"/>
  <c r="G102" i="1"/>
  <c r="C102" i="1"/>
  <c r="K101" i="1"/>
  <c r="G101" i="1"/>
  <c r="C101" i="1"/>
  <c r="K100" i="1"/>
  <c r="G100" i="1"/>
  <c r="C100" i="1"/>
  <c r="K99" i="1"/>
  <c r="G99" i="1"/>
  <c r="C99" i="1"/>
  <c r="K98" i="1"/>
  <c r="G98" i="1"/>
  <c r="C98" i="1"/>
  <c r="K97" i="1"/>
  <c r="G97" i="1"/>
  <c r="C97" i="1"/>
  <c r="K96" i="1"/>
  <c r="G96" i="1"/>
  <c r="C96" i="1"/>
  <c r="K95" i="1"/>
  <c r="G95" i="1"/>
  <c r="C95" i="1"/>
  <c r="K94" i="1"/>
  <c r="G94" i="1"/>
  <c r="C94" i="1"/>
  <c r="K93" i="1"/>
  <c r="G93" i="1"/>
  <c r="C93" i="1"/>
  <c r="K92" i="1"/>
  <c r="G92" i="1"/>
  <c r="C92" i="1"/>
  <c r="K91" i="1"/>
  <c r="G91" i="1"/>
  <c r="C91" i="1"/>
  <c r="K90" i="1"/>
  <c r="G90" i="1"/>
  <c r="C90" i="1"/>
  <c r="K89" i="1"/>
  <c r="G89" i="1"/>
  <c r="C89" i="1"/>
  <c r="K88" i="1"/>
  <c r="G88" i="1"/>
  <c r="C88" i="1"/>
  <c r="K87" i="1"/>
  <c r="G87" i="1"/>
  <c r="C87" i="1"/>
  <c r="K86" i="1"/>
  <c r="G86" i="1"/>
  <c r="C86" i="1"/>
  <c r="K85" i="1"/>
  <c r="G85" i="1"/>
  <c r="C85" i="1"/>
  <c r="K84" i="1"/>
  <c r="G84" i="1"/>
  <c r="C84" i="1"/>
  <c r="K83" i="1"/>
  <c r="G83" i="1"/>
  <c r="C83" i="1"/>
  <c r="K82" i="1"/>
  <c r="G82" i="1"/>
  <c r="C82" i="1"/>
  <c r="K81" i="1"/>
  <c r="G81" i="1"/>
  <c r="C81" i="1"/>
  <c r="K80" i="1"/>
  <c r="G80" i="1"/>
  <c r="C80" i="1"/>
  <c r="K79" i="1"/>
  <c r="G79" i="1"/>
  <c r="C79" i="1"/>
  <c r="K78" i="1"/>
  <c r="G78" i="1"/>
  <c r="C78" i="1"/>
  <c r="K77" i="1"/>
  <c r="G77" i="1"/>
  <c r="C77" i="1"/>
  <c r="K76" i="1"/>
  <c r="G76" i="1"/>
  <c r="C76" i="1"/>
  <c r="K75" i="1"/>
  <c r="G75" i="1"/>
  <c r="K74" i="1"/>
  <c r="G74" i="1"/>
  <c r="K73" i="1"/>
  <c r="G73" i="1"/>
  <c r="K72" i="1"/>
  <c r="G72" i="1"/>
  <c r="C72" i="1"/>
  <c r="K71" i="1"/>
  <c r="G71" i="1"/>
  <c r="C71" i="1"/>
  <c r="K70" i="1"/>
  <c r="G70" i="1"/>
  <c r="C70" i="1"/>
  <c r="K69" i="1"/>
  <c r="G69" i="1"/>
  <c r="K68" i="1"/>
  <c r="G68" i="1"/>
  <c r="K67" i="1"/>
  <c r="G67" i="1"/>
  <c r="K66" i="1"/>
  <c r="G66" i="1"/>
  <c r="C66" i="1"/>
  <c r="K65" i="1"/>
  <c r="G65" i="1"/>
  <c r="C65" i="1"/>
  <c r="K64" i="1"/>
  <c r="G64" i="1"/>
  <c r="C64" i="1"/>
  <c r="K63" i="1"/>
  <c r="G63" i="1"/>
  <c r="K62" i="1"/>
  <c r="G62" i="1"/>
  <c r="K61" i="1"/>
  <c r="G61" i="1"/>
  <c r="K60" i="1"/>
  <c r="G60" i="1"/>
  <c r="C60" i="1"/>
  <c r="K59" i="1"/>
  <c r="G59" i="1"/>
  <c r="C59" i="1"/>
  <c r="K58" i="1"/>
  <c r="G58" i="1"/>
  <c r="C58" i="1"/>
  <c r="K57" i="1"/>
  <c r="G57" i="1"/>
  <c r="C57" i="1"/>
  <c r="K56" i="1"/>
  <c r="G56" i="1"/>
  <c r="C56" i="1"/>
  <c r="K55" i="1"/>
  <c r="G55" i="1"/>
  <c r="C55" i="1"/>
  <c r="K54" i="1"/>
  <c r="G54" i="1"/>
  <c r="K53" i="1"/>
  <c r="G53" i="1"/>
  <c r="K52" i="1"/>
  <c r="G52" i="1"/>
  <c r="K51" i="1"/>
  <c r="G51" i="1"/>
  <c r="C51" i="1"/>
  <c r="K50" i="1"/>
  <c r="G50" i="1"/>
  <c r="C50" i="1"/>
  <c r="K49" i="1"/>
  <c r="G49" i="1"/>
  <c r="C49" i="1"/>
  <c r="K48" i="1"/>
  <c r="G48" i="1"/>
  <c r="K47" i="1"/>
  <c r="G47" i="1"/>
  <c r="K46" i="1"/>
  <c r="G46" i="1"/>
  <c r="K45" i="1"/>
  <c r="G45" i="1"/>
  <c r="C45" i="1"/>
  <c r="K44" i="1"/>
  <c r="G44" i="1"/>
  <c r="C44" i="1"/>
  <c r="K43" i="1"/>
  <c r="G43" i="1"/>
  <c r="C43" i="1"/>
  <c r="K42" i="1"/>
  <c r="G42" i="1"/>
  <c r="K41" i="1"/>
  <c r="G41" i="1"/>
  <c r="K40" i="1"/>
  <c r="G40" i="1"/>
  <c r="K39" i="1"/>
  <c r="G39" i="1"/>
  <c r="C39" i="1"/>
  <c r="K38" i="1"/>
  <c r="G38" i="1"/>
  <c r="C38" i="1"/>
  <c r="K37" i="1"/>
  <c r="G37" i="1"/>
  <c r="C37" i="1"/>
  <c r="K36" i="1"/>
  <c r="G36" i="1"/>
  <c r="K35" i="1"/>
  <c r="G35" i="1"/>
  <c r="K34" i="1"/>
  <c r="G34" i="1"/>
  <c r="K33" i="1"/>
  <c r="G33" i="1"/>
  <c r="C33" i="1"/>
  <c r="K32" i="1"/>
  <c r="G32" i="1"/>
  <c r="C32" i="1"/>
  <c r="K31" i="1"/>
  <c r="G31" i="1"/>
  <c r="C31" i="1"/>
  <c r="K30" i="1"/>
  <c r="G30" i="1"/>
  <c r="K29" i="1"/>
  <c r="G29" i="1"/>
  <c r="K28" i="1"/>
  <c r="G28" i="1"/>
  <c r="K27" i="1"/>
  <c r="G27" i="1"/>
  <c r="C27" i="1"/>
  <c r="K26" i="1"/>
  <c r="G26" i="1"/>
  <c r="C26" i="1"/>
  <c r="K25" i="1"/>
  <c r="G25" i="1"/>
  <c r="C25" i="1"/>
  <c r="K24" i="1"/>
  <c r="G24" i="1"/>
  <c r="C24" i="1"/>
  <c r="K23" i="1"/>
  <c r="G23" i="1"/>
  <c r="C23" i="1"/>
  <c r="K22" i="1"/>
  <c r="G22" i="1"/>
  <c r="C22" i="1"/>
  <c r="K21" i="1"/>
  <c r="G21" i="1"/>
  <c r="K20" i="1"/>
  <c r="G20" i="1"/>
  <c r="K19" i="1"/>
  <c r="G19" i="1"/>
  <c r="K18" i="1"/>
  <c r="G18" i="1"/>
  <c r="C18" i="1"/>
  <c r="K17" i="1"/>
  <c r="G17" i="1"/>
  <c r="C17" i="1"/>
  <c r="K16" i="1"/>
  <c r="G16" i="1"/>
  <c r="C16" i="1"/>
  <c r="K15" i="1"/>
  <c r="G15" i="1"/>
  <c r="C15" i="1"/>
  <c r="K14" i="1"/>
  <c r="G14" i="1"/>
  <c r="K13" i="1"/>
  <c r="G13" i="1"/>
  <c r="K12" i="1"/>
  <c r="G12" i="1"/>
  <c r="K11" i="1"/>
  <c r="G11" i="1"/>
  <c r="K10" i="1"/>
  <c r="G10" i="1"/>
  <c r="K9" i="1"/>
  <c r="G9" i="1"/>
  <c r="K8" i="1"/>
  <c r="G8" i="1"/>
  <c r="K7" i="1"/>
  <c r="G7" i="1"/>
  <c r="K6" i="1"/>
  <c r="G6" i="1"/>
  <c r="K5" i="1"/>
  <c r="G5" i="1"/>
  <c r="C5" i="1"/>
  <c r="K4" i="1"/>
  <c r="G4" i="1"/>
  <c r="C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100-000001000000}">
      <text>
        <r>
          <rPr>
            <sz val="11"/>
            <color theme="1"/>
            <rFont val="Calibri"/>
            <family val="2"/>
            <scheme val="minor"/>
          </rPr>
          <t>======
ID#AAABNlk0SOE
Admin    (2024-05-22 08:42:12)
Format YYYY-MM-DD</t>
        </r>
      </text>
    </comment>
    <comment ref="D1" authorId="0" shapeId="0" xr:uid="{00000000-0006-0000-0100-000002000000}">
      <text>
        <r>
          <rPr>
            <sz val="11"/>
            <color theme="1"/>
            <rFont val="Calibri"/>
            <family val="2"/>
            <scheme val="minor"/>
          </rPr>
          <t>======
ID#AAABNlk0SOI
Admin    (2024-05-22 08:42:12)
Isi jika memilih Jenis Pelaporan Koreksi Pengawas</t>
        </r>
      </text>
    </comment>
  </commentList>
  <extLst>
    <ext xmlns:r="http://schemas.openxmlformats.org/officeDocument/2006/relationships" uri="GoogleSheetsCustomDataVersion2">
      <go:sheetsCustomData xmlns:go="http://customooxmlschemas.google.com/" r:id="rId1" roundtripDataSignature="AMtx7mizUV5ua6NsuHNEXzUVK538CQAQw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F2" authorId="0" shapeId="0" xr:uid="{00000000-0006-0000-0B00-000001000000}">
      <text>
        <r>
          <rPr>
            <sz val="11"/>
            <color theme="1"/>
            <rFont val="Calibri"/>
            <family val="2"/>
            <scheme val="minor"/>
          </rPr>
          <t>======
ID#AAABNlk0SOQ
Sulistyoningsih    (2024-05-22 08:42:12)
hanya diisi jika jabatan adalah direksi</t>
        </r>
      </text>
    </comment>
    <comment ref="K2" authorId="0" shapeId="0" xr:uid="{00000000-0006-0000-0B00-000002000000}">
      <text>
        <r>
          <rPr>
            <sz val="11"/>
            <color theme="1"/>
            <rFont val="Calibri"/>
            <family val="2"/>
            <scheme val="minor"/>
          </rPr>
          <t>======
ID#AAABNlk0SOM
Sulistyoningsih    (2024-05-22 08:42:12)
hanya diisi jika kolom jabtan diisi dengan komisaris</t>
        </r>
      </text>
    </comment>
  </commentList>
  <extLst>
    <ext xmlns:r="http://schemas.openxmlformats.org/officeDocument/2006/relationships" uri="GoogleSheetsCustomDataVersion2">
      <go:sheetsCustomData xmlns:go="http://customooxmlschemas.google.com/" r:id="rId1" roundtripDataSignature="AMtx7miaY4zgcdw1Ro4NTiov1YJsiKnIRQ=="/>
    </ext>
  </extLst>
</comments>
</file>

<file path=xl/sharedStrings.xml><?xml version="1.0" encoding="utf-8"?>
<sst xmlns="http://schemas.openxmlformats.org/spreadsheetml/2006/main" count="10072" uniqueCount="6197">
  <si>
    <t>Form 00.1</t>
  </si>
  <si>
    <t>Jenis Pemilik</t>
  </si>
  <si>
    <t>Sandi</t>
  </si>
  <si>
    <t>For List</t>
  </si>
  <si>
    <t>Form 00 | Form 00.4 | Form 05 | Form 06 | Form 11 | Form 12 | Form 13</t>
  </si>
  <si>
    <t>Form 00.7 | Form 05 | Form 13</t>
  </si>
  <si>
    <t>Form 04 | Form 16.00</t>
  </si>
  <si>
    <t>Form 06.00</t>
  </si>
  <si>
    <t>Form 16</t>
  </si>
  <si>
    <t>Perorangan</t>
  </si>
  <si>
    <t>01</t>
  </si>
  <si>
    <t>Nama Provinsi, Kabupaten, Kota</t>
  </si>
  <si>
    <t>NAMA LJK</t>
  </si>
  <si>
    <t>SANDI</t>
  </si>
  <si>
    <t>Sandi Peringkat Surat Berharga</t>
  </si>
  <si>
    <t>Moody’s Investor Service</t>
  </si>
  <si>
    <t>Standard and Poor’s</t>
  </si>
  <si>
    <t>Fitch Rating Internasional</t>
  </si>
  <si>
    <t>Pemeringkat Efek Indonesia (Pefindo)</t>
  </si>
  <si>
    <t>Fitch Rating Indonesia</t>
  </si>
  <si>
    <t>No.</t>
  </si>
  <si>
    <t>Sandi P2PL</t>
  </si>
  <si>
    <t>Nama_Penyelenggara</t>
  </si>
  <si>
    <t>Platform</t>
  </si>
  <si>
    <t>Sandi Negara</t>
  </si>
  <si>
    <t>Label</t>
  </si>
  <si>
    <t>Badan Hukum</t>
  </si>
  <si>
    <t>02</t>
  </si>
  <si>
    <t>Provinsi Jawa Barat</t>
  </si>
  <si>
    <t>BANK RAKYAT INDONESIA</t>
  </si>
  <si>
    <t>002</t>
  </si>
  <si>
    <t>MIS</t>
  </si>
  <si>
    <t>SNP</t>
  </si>
  <si>
    <t>FIN</t>
  </si>
  <si>
    <t>PEF</t>
  </si>
  <si>
    <t>FID</t>
  </si>
  <si>
    <t>PT Pasar Dana Pinjaman</t>
  </si>
  <si>
    <t>Danamas</t>
  </si>
  <si>
    <t>AF</t>
  </si>
  <si>
    <t>Afghanistan</t>
  </si>
  <si>
    <t>Pemerintah Daerah / Pemerintah Pusat</t>
  </si>
  <si>
    <t>03</t>
  </si>
  <si>
    <t>Kab. Bekasi</t>
  </si>
  <si>
    <t>0102</t>
  </si>
  <si>
    <t>BANK MANDIRI</t>
  </si>
  <si>
    <t>008</t>
  </si>
  <si>
    <t>LONG TERM RATINGS</t>
  </si>
  <si>
    <t>PT Lunaria Annua Teknologi</t>
  </si>
  <si>
    <t>KoinP2P</t>
  </si>
  <si>
    <t>AL</t>
  </si>
  <si>
    <t>Albania</t>
  </si>
  <si>
    <t>Publik</t>
  </si>
  <si>
    <t>04</t>
  </si>
  <si>
    <t>04 (Publik)</t>
  </si>
  <si>
    <t>Kab. Purwakarta</t>
  </si>
  <si>
    <t>0103</t>
  </si>
  <si>
    <t>BANK BNI 1946</t>
  </si>
  <si>
    <t>009</t>
  </si>
  <si>
    <t>Aaa</t>
  </si>
  <si>
    <t>AAA</t>
  </si>
  <si>
    <t>idAAA</t>
  </si>
  <si>
    <t>AAA(idn)</t>
  </si>
  <si>
    <t>PT Amartha Mikro Fintek</t>
  </si>
  <si>
    <t>amartha</t>
  </si>
  <si>
    <t>DZ</t>
  </si>
  <si>
    <t>Algeria</t>
  </si>
  <si>
    <t>Kab. Karawang</t>
  </si>
  <si>
    <t>0106</t>
  </si>
  <si>
    <t>BANK BUMI ARTA</t>
  </si>
  <si>
    <t>076</t>
  </si>
  <si>
    <t>Aa1</t>
  </si>
  <si>
    <t>AA+</t>
  </si>
  <si>
    <t>idAA+</t>
  </si>
  <si>
    <t>AA+(idn)</t>
  </si>
  <si>
    <t>PT Investree Radhika Jaya</t>
  </si>
  <si>
    <t>investree</t>
  </si>
  <si>
    <t>AS</t>
  </si>
  <si>
    <t>American Samoa</t>
  </si>
  <si>
    <r>
      <rPr>
        <sz val="10"/>
        <color theme="1"/>
        <rFont val="Calibri"/>
        <family val="2"/>
      </rPr>
      <t xml:space="preserve">Form 00.1 | Form 00.2 | </t>
    </r>
    <r>
      <rPr>
        <sz val="10"/>
        <color rgb="FFFF0000"/>
        <rFont val="Calibri"/>
        <family val="2"/>
      </rPr>
      <t>Form 06.02</t>
    </r>
  </si>
  <si>
    <t>Kab. Bogor</t>
  </si>
  <si>
    <t>0108</t>
  </si>
  <si>
    <t>BANK JTRUST INDONESIA D/H BANK MUTIARA</t>
  </si>
  <si>
    <t>095</t>
  </si>
  <si>
    <t>Aa2</t>
  </si>
  <si>
    <t>AA</t>
  </si>
  <si>
    <t>idAA</t>
  </si>
  <si>
    <t>AA(idn)</t>
  </si>
  <si>
    <t>PT Mitrausaha Indonesia Grup</t>
  </si>
  <si>
    <t>modalku</t>
  </si>
  <si>
    <t>AD</t>
  </si>
  <si>
    <t>Andorra</t>
  </si>
  <si>
    <t>Kode Ya / Tidak</t>
  </si>
  <si>
    <t>Kab. Sukabumi</t>
  </si>
  <si>
    <t>0109</t>
  </si>
  <si>
    <t>BANK DKI</t>
  </si>
  <si>
    <t>111</t>
  </si>
  <si>
    <t>Aa3</t>
  </si>
  <si>
    <t>AA-</t>
  </si>
  <si>
    <t>idAA-</t>
  </si>
  <si>
    <t>AA-(idn)</t>
  </si>
  <si>
    <t>PT Simplefi Teknologi Indonesia</t>
  </si>
  <si>
    <t>AwanTunai</t>
  </si>
  <si>
    <t>AO</t>
  </si>
  <si>
    <t>Angola</t>
  </si>
  <si>
    <t>1 (Ya)</t>
  </si>
  <si>
    <t>Kab. Cianjur</t>
  </si>
  <si>
    <t>0110</t>
  </si>
  <si>
    <t>BANK OF INDIA INDONESIA</t>
  </si>
  <si>
    <t>146</t>
  </si>
  <si>
    <t>05</t>
  </si>
  <si>
    <t>A1</t>
  </si>
  <si>
    <t>A+</t>
  </si>
  <si>
    <t>idA+</t>
  </si>
  <si>
    <t>A+(idn)</t>
  </si>
  <si>
    <t>PT Aman Cermat Cepat</t>
  </si>
  <si>
    <t>KlikA2C</t>
  </si>
  <si>
    <t>AI</t>
  </si>
  <si>
    <t>Anguilla</t>
  </si>
  <si>
    <t>2 (Tidak)</t>
  </si>
  <si>
    <t>Kab. Bandung</t>
  </si>
  <si>
    <t>0111</t>
  </si>
  <si>
    <t>BANK SHINHAN INDONESIA d/h BANK METRO EXPRESS</t>
  </si>
  <si>
    <t>152</t>
  </si>
  <si>
    <t>06</t>
  </si>
  <si>
    <t>A2</t>
  </si>
  <si>
    <t>A</t>
  </si>
  <si>
    <t>idA</t>
  </si>
  <si>
    <t>A(idn)</t>
  </si>
  <si>
    <t>PT Mediator Komunitas Indonesia</t>
  </si>
  <si>
    <t>CROWDO</t>
  </si>
  <si>
    <t>AQ</t>
  </si>
  <si>
    <t>Antarctica</t>
  </si>
  <si>
    <t>Kab. Sumedang</t>
  </si>
  <si>
    <t>0112</t>
  </si>
  <si>
    <t>BANK TABUNGAN NEGARA</t>
  </si>
  <si>
    <t>200</t>
  </si>
  <si>
    <t>07</t>
  </si>
  <si>
    <t>A3</t>
  </si>
  <si>
    <t>A-</t>
  </si>
  <si>
    <t>idA-</t>
  </si>
  <si>
    <t>A-(idn)</t>
  </si>
  <si>
    <t>PT Akseleran Keuangan Inklusif Indonesia</t>
  </si>
  <si>
    <t>Akseleran</t>
  </si>
  <si>
    <t>AG</t>
  </si>
  <si>
    <t>Antigua and Barbuda</t>
  </si>
  <si>
    <t>Form 00.2</t>
  </si>
  <si>
    <t>Kab. Tasikmalaya</t>
  </si>
  <si>
    <t>0113</t>
  </si>
  <si>
    <t>BANK TABUNGAN PENSIUNAN NASIONAL</t>
  </si>
  <si>
    <t>213</t>
  </si>
  <si>
    <t>08</t>
  </si>
  <si>
    <t>Baa1</t>
  </si>
  <si>
    <t>BBB+</t>
  </si>
  <si>
    <t>idBBB+</t>
  </si>
  <si>
    <t>BBB+(idn)</t>
  </si>
  <si>
    <t>PT Indonusa Bara Sejahtera</t>
  </si>
  <si>
    <t>Taralite</t>
  </si>
  <si>
    <t>AR</t>
  </si>
  <si>
    <t>Argentina</t>
  </si>
  <si>
    <t xml:space="preserve"> Jabatan Pengurus</t>
  </si>
  <si>
    <t>Kab. Garut</t>
  </si>
  <si>
    <t>0114</t>
  </si>
  <si>
    <t>BANK MEGA</t>
  </si>
  <si>
    <t>426</t>
  </si>
  <si>
    <t>09</t>
  </si>
  <si>
    <t>Baa2</t>
  </si>
  <si>
    <t>BBB</t>
  </si>
  <si>
    <t>idBBB</t>
  </si>
  <si>
    <t>BBB(idn)</t>
  </si>
  <si>
    <t>PT Fintegra Homido Indonesia</t>
  </si>
  <si>
    <t>FINTAG</t>
  </si>
  <si>
    <t>AM</t>
  </si>
  <si>
    <t>Armenia</t>
  </si>
  <si>
    <t xml:space="preserve">Direktur Utama </t>
  </si>
  <si>
    <t>Kab. Ciamis</t>
  </si>
  <si>
    <t>0115</t>
  </si>
  <si>
    <t>BANK BUKOPIN</t>
  </si>
  <si>
    <t>441</t>
  </si>
  <si>
    <t>10</t>
  </si>
  <si>
    <t>Baa3</t>
  </si>
  <si>
    <t>BBB-</t>
  </si>
  <si>
    <t>idBBB-</t>
  </si>
  <si>
    <t>BBB-(idn)</t>
  </si>
  <si>
    <t>PT Sol Mitra Fintec</t>
  </si>
  <si>
    <t>Invoila</t>
  </si>
  <si>
    <t>AW</t>
  </si>
  <si>
    <t>Aruba</t>
  </si>
  <si>
    <t xml:space="preserve">Direktur </t>
  </si>
  <si>
    <t>Kab. Cirebon</t>
  </si>
  <si>
    <t>0116</t>
  </si>
  <si>
    <t>BANK KEB HANA MERGER BANK KEB INDONESIA &amp; BANK HANA</t>
  </si>
  <si>
    <t>484</t>
  </si>
  <si>
    <t>11</t>
  </si>
  <si>
    <t>Ba1</t>
  </si>
  <si>
    <t>BB+</t>
  </si>
  <si>
    <t>idBB+</t>
  </si>
  <si>
    <t>BB+(idn)</t>
  </si>
  <si>
    <t>PT Creative Mobile Adventure</t>
  </si>
  <si>
    <t>Boost</t>
  </si>
  <si>
    <t>AU</t>
  </si>
  <si>
    <t>Australia</t>
  </si>
  <si>
    <t>Komisaris Utama</t>
  </si>
  <si>
    <t>Kab. Kuningan</t>
  </si>
  <si>
    <t>0117</t>
  </si>
  <si>
    <t>BANK YUDHA BAKTI</t>
  </si>
  <si>
    <t>490</t>
  </si>
  <si>
    <t>12</t>
  </si>
  <si>
    <t>Ba2</t>
  </si>
  <si>
    <t>BB</t>
  </si>
  <si>
    <t>idBB</t>
  </si>
  <si>
    <t>BB(idn)</t>
  </si>
  <si>
    <t>PT iGrow Resources Indonesia</t>
  </si>
  <si>
    <t>iGrow</t>
  </si>
  <si>
    <t>AT</t>
  </si>
  <si>
    <t>Austria</t>
  </si>
  <si>
    <t xml:space="preserve">Komisaris </t>
  </si>
  <si>
    <t>Kab. Indramayu</t>
  </si>
  <si>
    <t>0118</t>
  </si>
  <si>
    <t>BANK BRI AGRONIAGA</t>
  </si>
  <si>
    <t>494</t>
  </si>
  <si>
    <t>13</t>
  </si>
  <si>
    <t>Ba3</t>
  </si>
  <si>
    <t>BB-</t>
  </si>
  <si>
    <t>idBB-</t>
  </si>
  <si>
    <t>BB-(idn)</t>
  </si>
  <si>
    <t>PT Cicil Solusi Mitra Teknologi</t>
  </si>
  <si>
    <t>cicil</t>
  </si>
  <si>
    <t>AZ</t>
  </si>
  <si>
    <t>Azerbaijan</t>
  </si>
  <si>
    <t>Kab. Majalengka</t>
  </si>
  <si>
    <t>0119</t>
  </si>
  <si>
    <t>BANK NATIONALNOBU</t>
  </si>
  <si>
    <t>503</t>
  </si>
  <si>
    <t>14</t>
  </si>
  <si>
    <t>B1</t>
  </si>
  <si>
    <t>B+</t>
  </si>
  <si>
    <t>idB+</t>
  </si>
  <si>
    <t>B+(idn)</t>
  </si>
  <si>
    <t>PT Intekno Raya</t>
  </si>
  <si>
    <t>DANAMERDEKA</t>
  </si>
  <si>
    <t>BS</t>
  </si>
  <si>
    <t>Bahamas (the)</t>
  </si>
  <si>
    <t>Kab. Subang</t>
  </si>
  <si>
    <t>0120</t>
  </si>
  <si>
    <t>BANK INA PERDANA</t>
  </si>
  <si>
    <t>513</t>
  </si>
  <si>
    <t>15</t>
  </si>
  <si>
    <t>B2</t>
  </si>
  <si>
    <t>B</t>
  </si>
  <si>
    <t>idB</t>
  </si>
  <si>
    <t>B(idn)</t>
  </si>
  <si>
    <t>PT Esta Kapital Fintek</t>
  </si>
  <si>
    <t>ESTA KAPITAL FINTEK</t>
  </si>
  <si>
    <t>BH</t>
  </si>
  <si>
    <t>Bahrain</t>
  </si>
  <si>
    <t>Pendidikan Formal</t>
  </si>
  <si>
    <t>Kab. Bandung Barat</t>
  </si>
  <si>
    <t>0121</t>
  </si>
  <si>
    <t>BANK DINAR d/h BANK LIMAN INTERNASIONAL</t>
  </si>
  <si>
    <t>526</t>
  </si>
  <si>
    <t>16</t>
  </si>
  <si>
    <t>B3</t>
  </si>
  <si>
    <t>B-</t>
  </si>
  <si>
    <t>idB-</t>
  </si>
  <si>
    <t>B-(idn)</t>
  </si>
  <si>
    <t>PT Ammana Fintek Syariah</t>
  </si>
  <si>
    <t>Ammana.id</t>
  </si>
  <si>
    <t>BD</t>
  </si>
  <si>
    <t>Bangladesh</t>
  </si>
  <si>
    <t>S3</t>
  </si>
  <si>
    <t>Kota Bandung</t>
  </si>
  <si>
    <t>0191</t>
  </si>
  <si>
    <t>PT BPD BANTEN, TBK d/h BANK PUNDI INDONESIA</t>
  </si>
  <si>
    <t>558</t>
  </si>
  <si>
    <t>17</t>
  </si>
  <si>
    <t>Caa1</t>
  </si>
  <si>
    <t>CCC+</t>
  </si>
  <si>
    <t>PT Gradana Teknoruci Indonesia</t>
  </si>
  <si>
    <t>Gradana</t>
  </si>
  <si>
    <t>Barbados</t>
  </si>
  <si>
    <t>S2</t>
  </si>
  <si>
    <t>Kota Bogor</t>
  </si>
  <si>
    <t>0192</t>
  </si>
  <si>
    <t>BANK DANAMON</t>
  </si>
  <si>
    <t>011</t>
  </si>
  <si>
    <t>18</t>
  </si>
  <si>
    <t>Caa2</t>
  </si>
  <si>
    <t>CCC</t>
  </si>
  <si>
    <t>idCCC</t>
  </si>
  <si>
    <t>CCC(idn)</t>
  </si>
  <si>
    <t>PT Mapan Global Reksa</t>
  </si>
  <si>
    <t>Findaya</t>
  </si>
  <si>
    <t>BY</t>
  </si>
  <si>
    <t>Belarus</t>
  </si>
  <si>
    <t>S1</t>
  </si>
  <si>
    <t>Kota Sukabumi</t>
  </si>
  <si>
    <t>0193</t>
  </si>
  <si>
    <t>BANK MAYBANK INDONESIA d/h BANK INTERNASIONAL INDONESIA</t>
  </si>
  <si>
    <t>016</t>
  </si>
  <si>
    <t>19</t>
  </si>
  <si>
    <t>Caa3</t>
  </si>
  <si>
    <t>CCC-</t>
  </si>
  <si>
    <t>PT Aktivaku Investama Teknologi</t>
  </si>
  <si>
    <t>Aktivaku</t>
  </si>
  <si>
    <t>BE</t>
  </si>
  <si>
    <t>Belgium</t>
  </si>
  <si>
    <t>D3</t>
  </si>
  <si>
    <t>Kota Cirebon</t>
  </si>
  <si>
    <t>0194</t>
  </si>
  <si>
    <t>BANK UOB INDONESIA</t>
  </si>
  <si>
    <t>023</t>
  </si>
  <si>
    <t>20</t>
  </si>
  <si>
    <t>Ca</t>
  </si>
  <si>
    <t>CC</t>
  </si>
  <si>
    <t>CC(idn)</t>
  </si>
  <si>
    <t>PT Dana Kini Indonesia</t>
  </si>
  <si>
    <t>Danakini</t>
  </si>
  <si>
    <t>BZ</t>
  </si>
  <si>
    <t>Belize</t>
  </si>
  <si>
    <t>SLTA</t>
  </si>
  <si>
    <t>Kota Tasikmalaya</t>
  </si>
  <si>
    <t>0195</t>
  </si>
  <si>
    <t>BANK OCBC NISP</t>
  </si>
  <si>
    <t>028</t>
  </si>
  <si>
    <t>21</t>
  </si>
  <si>
    <t>C</t>
  </si>
  <si>
    <t>C(idn)</t>
  </si>
  <si>
    <t>PT Toko Modal Mitra Usaha</t>
  </si>
  <si>
    <t>TOKO MODAL</t>
  </si>
  <si>
    <t>BJ</t>
  </si>
  <si>
    <t>Benin</t>
  </si>
  <si>
    <t>Lainnya</t>
  </si>
  <si>
    <t>Kota Cimahi</t>
  </si>
  <si>
    <t>0196</t>
  </si>
  <si>
    <t>CITIBANK</t>
  </si>
  <si>
    <t>031</t>
  </si>
  <si>
    <t>22</t>
  </si>
  <si>
    <t>D</t>
  </si>
  <si>
    <t>RD, D</t>
  </si>
  <si>
    <t>idSD, idD</t>
  </si>
  <si>
    <t>RD(idn), D(idn)</t>
  </si>
  <si>
    <t>PT Artha Dana Teknologi</t>
  </si>
  <si>
    <t>Indodana</t>
  </si>
  <si>
    <t>BM</t>
  </si>
  <si>
    <t>Bermuda</t>
  </si>
  <si>
    <t>Kota Depok</t>
  </si>
  <si>
    <t>0197</t>
  </si>
  <si>
    <t>JP MORGAN CHASE BANK N.A</t>
  </si>
  <si>
    <t>032</t>
  </si>
  <si>
    <t>SHORT TERM RATINGS</t>
  </si>
  <si>
    <t>PT FinAccel Digital Indonesia</t>
  </si>
  <si>
    <t>KrediFazz</t>
  </si>
  <si>
    <t>BT</t>
  </si>
  <si>
    <t>Bhutan</t>
  </si>
  <si>
    <t>Kota Bekasi</t>
  </si>
  <si>
    <t>0198</t>
  </si>
  <si>
    <t>BANK OF AMERICA</t>
  </si>
  <si>
    <t>033</t>
  </si>
  <si>
    <t>P-1</t>
  </si>
  <si>
    <t>F1+</t>
  </si>
  <si>
    <t>F1+(idn)</t>
  </si>
  <si>
    <t>PT Mekar Investama Sampoerna</t>
  </si>
  <si>
    <t>MEKAR</t>
  </si>
  <si>
    <t>BO</t>
  </si>
  <si>
    <t>Bolivia (Plurinational State of)</t>
  </si>
  <si>
    <t>Keanggotaan Komite</t>
  </si>
  <si>
    <t>Kota Banjar</t>
  </si>
  <si>
    <t>0180</t>
  </si>
  <si>
    <t>BANK WINDU KENTJANA INTERNASIONAL</t>
  </si>
  <si>
    <t>036</t>
  </si>
  <si>
    <t>P-2</t>
  </si>
  <si>
    <t>A-1</t>
  </si>
  <si>
    <t>F1</t>
  </si>
  <si>
    <t>idA1</t>
  </si>
  <si>
    <t>F1(idn)</t>
  </si>
  <si>
    <t>PT Fintek Digital Indonesia</t>
  </si>
  <si>
    <t>KREDITO</t>
  </si>
  <si>
    <t>BA</t>
  </si>
  <si>
    <t>Bosnia and Herzegovina</t>
  </si>
  <si>
    <t xml:space="preserve">Tidak Menjabat </t>
  </si>
  <si>
    <t>00</t>
  </si>
  <si>
    <t>Kab./Kota Lainnya</t>
  </si>
  <si>
    <t>0188</t>
  </si>
  <si>
    <t>BANGKOK BANK</t>
  </si>
  <si>
    <t>040</t>
  </si>
  <si>
    <t>P-3</t>
  </si>
  <si>
    <t>A-2</t>
  </si>
  <si>
    <t>F2</t>
  </si>
  <si>
    <t>idA2</t>
  </si>
  <si>
    <t>F2(idn)</t>
  </si>
  <si>
    <t>PT Crowde Membangun Bangsa</t>
  </si>
  <si>
    <t>CROWDE</t>
  </si>
  <si>
    <t>BW</t>
  </si>
  <si>
    <t>Botswana</t>
  </si>
  <si>
    <t xml:space="preserve">Ketua </t>
  </si>
  <si>
    <t>Provinsi Banten</t>
  </si>
  <si>
    <t>HSBC</t>
  </si>
  <si>
    <t>041</t>
  </si>
  <si>
    <t>NP</t>
  </si>
  <si>
    <t>A-3</t>
  </si>
  <si>
    <t>F3</t>
  </si>
  <si>
    <t>idA3</t>
  </si>
  <si>
    <t>F3(idn)</t>
  </si>
  <si>
    <t>PT Tani Fund Madani Indonesia</t>
  </si>
  <si>
    <t>TaniFund</t>
  </si>
  <si>
    <t>BV</t>
  </si>
  <si>
    <t>Bouvet Island</t>
  </si>
  <si>
    <t xml:space="preserve">Anggota </t>
  </si>
  <si>
    <t>Kab. Lebak</t>
  </si>
  <si>
    <t>0201</t>
  </si>
  <si>
    <t>THE BANK OF TOKYO MITSUBISHI UFJ</t>
  </si>
  <si>
    <t>042</t>
  </si>
  <si>
    <t>B-1</t>
  </si>
  <si>
    <t>idA4</t>
  </si>
  <si>
    <t>PT Mulia Inovasi Digital</t>
  </si>
  <si>
    <t>Danain</t>
  </si>
  <si>
    <t>BR</t>
  </si>
  <si>
    <t>Brazil</t>
  </si>
  <si>
    <t>Kab. Pandeglang</t>
  </si>
  <si>
    <t>0202</t>
  </si>
  <si>
    <t>BANK SUMITOMO MITSUI INDONESIA</t>
  </si>
  <si>
    <t>045</t>
  </si>
  <si>
    <t>B-2</t>
  </si>
  <si>
    <t>PT Bursa Akselerasi Indonesia</t>
  </si>
  <si>
    <t>Indofund.id</t>
  </si>
  <si>
    <t>IO</t>
  </si>
  <si>
    <t>British Indian Ocean Territory (the)</t>
  </si>
  <si>
    <t>Form 00.3</t>
  </si>
  <si>
    <t>Kab. Serang</t>
  </si>
  <si>
    <t>0203</t>
  </si>
  <si>
    <t>BANK DBS INDONESIA</t>
  </si>
  <si>
    <t>046</t>
  </si>
  <si>
    <t>B-3</t>
  </si>
  <si>
    <t>idC</t>
  </si>
  <si>
    <t>D(idn)</t>
  </si>
  <si>
    <t>PT Tri Digi Fin</t>
  </si>
  <si>
    <t>KREDITPRO</t>
  </si>
  <si>
    <t>BN</t>
  </si>
  <si>
    <t>Brunei Darussalam</t>
  </si>
  <si>
    <t xml:space="preserve"> Jabatan Organ</t>
  </si>
  <si>
    <t>Kab. Tangerang</t>
  </si>
  <si>
    <t>0204</t>
  </si>
  <si>
    <t>BANK RESONA PERDANIA</t>
  </si>
  <si>
    <t>047</t>
  </si>
  <si>
    <t>idD</t>
  </si>
  <si>
    <t>PT Grha Dana Bersama</t>
  </si>
  <si>
    <t>Avantee</t>
  </si>
  <si>
    <t>BG</t>
  </si>
  <si>
    <t>Bulgaria</t>
  </si>
  <si>
    <t>Tidak Menjabat</t>
  </si>
  <si>
    <t>Kota Cilegon</t>
  </si>
  <si>
    <t>0291</t>
  </si>
  <si>
    <t>BANK MIZUHO INDONESIA</t>
  </si>
  <si>
    <t>048</t>
  </si>
  <si>
    <t>PT Dana Syariah Indonesia</t>
  </si>
  <si>
    <t>DANA SYARIAH</t>
  </si>
  <si>
    <t>BF</t>
  </si>
  <si>
    <t>Burkina Faso</t>
  </si>
  <si>
    <t>Kepala Satuan Kerja</t>
  </si>
  <si>
    <t>Kota Tangerang</t>
  </si>
  <si>
    <t>0292</t>
  </si>
  <si>
    <t>THE ROYAL BANK OF SCOTLAND</t>
  </si>
  <si>
    <t>052</t>
  </si>
  <si>
    <t>PT Modal Rakyat Indonesia</t>
  </si>
  <si>
    <t>ModalRakyat</t>
  </si>
  <si>
    <t>BI</t>
  </si>
  <si>
    <t>Burundi</t>
  </si>
  <si>
    <t>Pejabat Eksekutif</t>
  </si>
  <si>
    <t>Kota Serang</t>
  </si>
  <si>
    <t>0293</t>
  </si>
  <si>
    <t>BANK BNP PARIBAS INDONESIA</t>
  </si>
  <si>
    <t>057</t>
  </si>
  <si>
    <t>PT Kawan Cicil Teknologi Utama</t>
  </si>
  <si>
    <t>KawanCicil</t>
  </si>
  <si>
    <t>KH</t>
  </si>
  <si>
    <t>Cambodia</t>
  </si>
  <si>
    <t>Kota Tangerang Selatan</t>
  </si>
  <si>
    <t>0294</t>
  </si>
  <si>
    <t>DEUTSCHE BANK AG</t>
  </si>
  <si>
    <t>067</t>
  </si>
  <si>
    <t>PT Satustop Finansial Solusi</t>
  </si>
  <si>
    <t>Sanders One Stop Solution</t>
  </si>
  <si>
    <t>CM</t>
  </si>
  <si>
    <t>Cameroon</t>
  </si>
  <si>
    <t>Form 00.4</t>
  </si>
  <si>
    <t>0288</t>
  </si>
  <si>
    <t>BANK OF CHINA</t>
  </si>
  <si>
    <t>069</t>
  </si>
  <si>
    <t>PT Uangme Fintek Indonesia</t>
  </si>
  <si>
    <t>UangMe</t>
  </si>
  <si>
    <t>CA</t>
  </si>
  <si>
    <t>Canada</t>
  </si>
  <si>
    <t>Status Kepemilikan Gedung</t>
  </si>
  <si>
    <t>Provinsi DKI Jakarta</t>
  </si>
  <si>
    <t>RABOBANK INTERNATIONAL INDONESIA</t>
  </si>
  <si>
    <t>089</t>
  </si>
  <si>
    <t>PT Finansial Integrasi Teknologi</t>
  </si>
  <si>
    <t>Pinjam Modal</t>
  </si>
  <si>
    <t>CV</t>
  </si>
  <si>
    <t>Cabo Verde</t>
  </si>
  <si>
    <t xml:space="preserve">Sewa </t>
  </si>
  <si>
    <t>Wil. Kota Jakarta Pusat</t>
  </si>
  <si>
    <t>0391</t>
  </si>
  <si>
    <t>BANK ICBC INDONESIA</t>
  </si>
  <si>
    <t>164</t>
  </si>
  <si>
    <t>PT Julo Teknologi Finansial</t>
  </si>
  <si>
    <t>JULO</t>
  </si>
  <si>
    <t>KY</t>
  </si>
  <si>
    <t>Cayman Islands (the)</t>
  </si>
  <si>
    <t>Milik Sendiri</t>
  </si>
  <si>
    <t>Wil. Kota Jakarta Utara</t>
  </si>
  <si>
    <t>0392</t>
  </si>
  <si>
    <t>BANK ANDARA</t>
  </si>
  <si>
    <t>466</t>
  </si>
  <si>
    <t>PT Astra Welab Digital Arta</t>
  </si>
  <si>
    <t>Maucash</t>
  </si>
  <si>
    <t>CF</t>
  </si>
  <si>
    <t>Central African Republic (the)</t>
  </si>
  <si>
    <t>Wil. Kota Jakarta Barat</t>
  </si>
  <si>
    <t>0393</t>
  </si>
  <si>
    <t>BANK AGRIS</t>
  </si>
  <si>
    <t>945</t>
  </si>
  <si>
    <t>PT Pohon Dana Indonesia</t>
  </si>
  <si>
    <t>pohondana</t>
  </si>
  <si>
    <t>TD</t>
  </si>
  <si>
    <t>Chad</t>
  </si>
  <si>
    <t>Wil. Kota Jakarta Selatan</t>
  </si>
  <si>
    <t>0394</t>
  </si>
  <si>
    <t>BANK CTBC INDONESIA d/h BANK CHINATRUST INDONESIA</t>
  </si>
  <si>
    <t>949</t>
  </si>
  <si>
    <t>PT Inclusive Finance Group</t>
  </si>
  <si>
    <t>Danacita</t>
  </si>
  <si>
    <t>CL</t>
  </si>
  <si>
    <t>Chile</t>
  </si>
  <si>
    <t>Form 00.5</t>
  </si>
  <si>
    <t>Wil. Kota Jakarta Timur</t>
  </si>
  <si>
    <t>0395</t>
  </si>
  <si>
    <t>BANK COMMONWEALTH</t>
  </si>
  <si>
    <t>950</t>
  </si>
  <si>
    <t>PT Trust Teknologi Finansial</t>
  </si>
  <si>
    <t>TrustIQ</t>
  </si>
  <si>
    <t>CN</t>
  </si>
  <si>
    <t>China</t>
  </si>
  <si>
    <t>Jenis Pihak Terkait</t>
  </si>
  <si>
    <t>Wil. Kepulauan Seribu</t>
  </si>
  <si>
    <t>0396</t>
  </si>
  <si>
    <t>BANK PERMATA</t>
  </si>
  <si>
    <t>013</t>
  </si>
  <si>
    <t>PT Adiwisista Finansial Teknologi</t>
  </si>
  <si>
    <t>Danai.id</t>
  </si>
  <si>
    <t>CX</t>
  </si>
  <si>
    <t>Christmas Island</t>
  </si>
  <si>
    <t>Provinsi D.I. Yogyakarta</t>
  </si>
  <si>
    <t>BANK CENTRAL ASIA</t>
  </si>
  <si>
    <t>014</t>
  </si>
  <si>
    <t>PT Pinduit Teknologi Indonesia</t>
  </si>
  <si>
    <t>Pintek</t>
  </si>
  <si>
    <t>Cocos (Keeling) Islands (the)</t>
  </si>
  <si>
    <t>Kab. Bantul</t>
  </si>
  <si>
    <t>0501</t>
  </si>
  <si>
    <t>PANIN BANK</t>
  </si>
  <si>
    <t>019</t>
  </si>
  <si>
    <t>PT Sejahtera Sama Kita</t>
  </si>
  <si>
    <t>SamaKita</t>
  </si>
  <si>
    <t>CO</t>
  </si>
  <si>
    <t>Colombia</t>
  </si>
  <si>
    <t>Kab. Sleman</t>
  </si>
  <si>
    <t>0502</t>
  </si>
  <si>
    <t>BANK CIMB NIAGA</t>
  </si>
  <si>
    <t>022</t>
  </si>
  <si>
    <t>PT Lumbung Dana Indonesia</t>
  </si>
  <si>
    <t>lumbungdana</t>
  </si>
  <si>
    <t>KM</t>
  </si>
  <si>
    <t>Comoros (the)</t>
  </si>
  <si>
    <t>Kab. Gunung Kidul</t>
  </si>
  <si>
    <t>0503</t>
  </si>
  <si>
    <t>BANK ARTHA GRAHA INTERNASIONAL</t>
  </si>
  <si>
    <t>037</t>
  </si>
  <si>
    <t>PT Lampung Berkah Finansial Teknologi</t>
  </si>
  <si>
    <t>LAHAN SIKAM</t>
  </si>
  <si>
    <t>CG</t>
  </si>
  <si>
    <t>Congo (the)</t>
  </si>
  <si>
    <t>Kab. Kulon Progo</t>
  </si>
  <si>
    <t>0504</t>
  </si>
  <si>
    <t>STANDART CHARTERED BANK</t>
  </si>
  <si>
    <t>050</t>
  </si>
  <si>
    <t>PT Dana Bagus Indonesia</t>
  </si>
  <si>
    <t>DanaBagus</t>
  </si>
  <si>
    <t>CD</t>
  </si>
  <si>
    <t>Congo (the Democratic Republic of the)</t>
  </si>
  <si>
    <t>Hubungan Keterkaitan</t>
  </si>
  <si>
    <t>Kota Yogyakarta</t>
  </si>
  <si>
    <t>0591</t>
  </si>
  <si>
    <t>BANK CAPITAL INDONESIA</t>
  </si>
  <si>
    <t>054</t>
  </si>
  <si>
    <t>PT Lentera Dana Nusantara</t>
  </si>
  <si>
    <t>Lentera Dana Nusantara</t>
  </si>
  <si>
    <t>CK</t>
  </si>
  <si>
    <t>Cook Islands (the)</t>
  </si>
  <si>
    <r>
      <rPr>
        <sz val="10"/>
        <color theme="1"/>
        <rFont val="Calibri"/>
        <family val="2"/>
      </rPr>
      <t xml:space="preserve">Hubungan Keluarga dengan </t>
    </r>
    <r>
      <rPr>
        <sz val="10"/>
        <color rgb="FFFF0000"/>
        <rFont val="Calibri"/>
        <family val="2"/>
      </rPr>
      <t>Anggota Direksi, Anggota Dewan Komisaris</t>
    </r>
    <r>
      <rPr>
        <sz val="10"/>
        <color theme="1"/>
        <rFont val="Calibri"/>
        <family val="2"/>
      </rPr>
      <t xml:space="preserve"> dan Pemegang saham</t>
    </r>
  </si>
  <si>
    <t>0588</t>
  </si>
  <si>
    <t>BANK ANZ INDONESIA</t>
  </si>
  <si>
    <t>061</t>
  </si>
  <si>
    <t>PT Teknologi Merlin Sejahtera</t>
  </si>
  <si>
    <t>UKU</t>
  </si>
  <si>
    <t>CR</t>
  </si>
  <si>
    <t>Costa Rica</t>
  </si>
  <si>
    <r>
      <rPr>
        <sz val="10"/>
        <color theme="1"/>
        <rFont val="Calibri"/>
        <family val="2"/>
      </rPr>
      <t xml:space="preserve">Perusahaan bukan bank yang dimiliki oleh </t>
    </r>
    <r>
      <rPr>
        <sz val="10"/>
        <color rgb="FFFF0000"/>
        <rFont val="Calibri"/>
        <family val="2"/>
      </rPr>
      <t>Anggota Direksi, Anggota Dewan Komisaris</t>
    </r>
    <r>
      <rPr>
        <sz val="10"/>
        <color theme="1"/>
        <rFont val="Calibri"/>
        <family val="2"/>
      </rPr>
      <t>, pemegang saham, pejabat eksekutif, dan pihak nomor 1 diatas</t>
    </r>
  </si>
  <si>
    <t>Provinsi Jawa Tengah</t>
  </si>
  <si>
    <t>BANK EKONOMI RAHARJA</t>
  </si>
  <si>
    <t>087</t>
  </si>
  <si>
    <t>PT Kreditku Teknologi Indonesia</t>
  </si>
  <si>
    <t>Kredinesia</t>
  </si>
  <si>
    <t>CI</t>
  </si>
  <si>
    <t>Côte d'Ivoire</t>
  </si>
  <si>
    <t>BPR lain yang dimiliki oleh Anggota Direksi, Anggota Dewan Komisaris, pemegang saham, pejabat eksekutif, dan pihak nomor 1 diatas</t>
  </si>
  <si>
    <t>Kab. Semarang</t>
  </si>
  <si>
    <t>0901</t>
  </si>
  <si>
    <t>BANK MAYAPADA</t>
  </si>
  <si>
    <t>097</t>
  </si>
  <si>
    <t>PT Kreasi Anak Indonesia</t>
  </si>
  <si>
    <t>GandengTangan</t>
  </si>
  <si>
    <t>HR</t>
  </si>
  <si>
    <t>Croatia</t>
  </si>
  <si>
    <t>BPR lain yang anggota Dewan Komisarisnya merangkap jabatan sebagai anggota Dewan Komisaris BPR dengan jumlah paling sedikit 50% dari keseluruhan anggota Direksi dan anggota Dewan Komisaris pada BPR</t>
  </si>
  <si>
    <t>Kab. Kendal</t>
  </si>
  <si>
    <t>0902</t>
  </si>
  <si>
    <t>BANK SINARMAS</t>
  </si>
  <si>
    <t>153</t>
  </si>
  <si>
    <t>PT Komunal Finansial Indonesia</t>
  </si>
  <si>
    <t>Komunal P2P</t>
  </si>
  <si>
    <t>CU</t>
  </si>
  <si>
    <t>Cuba</t>
  </si>
  <si>
    <t>perusahaan yang paling sedikit 50% (lima puluh persen) dari jumlah keseluruhan anggota Direksi dan anggota Dewan Komisaris merupakan anggota Dewan Komisaris BPR</t>
  </si>
  <si>
    <t>Kab. Demak</t>
  </si>
  <si>
    <t>0903</t>
  </si>
  <si>
    <t>BANK GANESHA</t>
  </si>
  <si>
    <t>161</t>
  </si>
  <si>
    <t>PT Berdayakan Usaha Indonesia</t>
  </si>
  <si>
    <t>BATUMBU</t>
  </si>
  <si>
    <t>CY</t>
  </si>
  <si>
    <t>Cyprus</t>
  </si>
  <si>
    <r>
      <rPr>
        <sz val="10"/>
        <color theme="1"/>
        <rFont val="Calibri"/>
        <family val="2"/>
      </rPr>
      <t xml:space="preserve"> Peminjam yang diberikan jaminan oleh </t>
    </r>
    <r>
      <rPr>
        <sz val="10"/>
        <color rgb="FFFF0000"/>
        <rFont val="Calibri"/>
        <family val="2"/>
      </rPr>
      <t>Anggota Direksi, Anggota Dewan Komisaris</t>
    </r>
    <r>
      <rPr>
        <sz val="10"/>
        <color theme="1"/>
        <rFont val="Calibri"/>
        <family val="2"/>
      </rPr>
      <t>, pemegang saham, pejabat eksekutif, dan pihak 1 s.d 5 diatas. </t>
    </r>
  </si>
  <si>
    <t>Kab. Grobogan</t>
  </si>
  <si>
    <t>0904</t>
  </si>
  <si>
    <t>BANK QNB INDONESIA</t>
  </si>
  <si>
    <t>167</t>
  </si>
  <si>
    <t>PT Akur Dana Abadi</t>
  </si>
  <si>
    <t>Jembatan Emas</t>
  </si>
  <si>
    <t>CZ</t>
  </si>
  <si>
    <t>Czechia</t>
  </si>
  <si>
    <t>Kab. Pekalongan</t>
  </si>
  <si>
    <t>0905</t>
  </si>
  <si>
    <t>BANK JASA JAKARTA</t>
  </si>
  <si>
    <t>472</t>
  </si>
  <si>
    <t>PT Pinjaman Kemakmuran Rakyat</t>
  </si>
  <si>
    <t>klikUMKM</t>
  </si>
  <si>
    <t>DK</t>
  </si>
  <si>
    <t>Denmark</t>
  </si>
  <si>
    <t>Form 00.6</t>
  </si>
  <si>
    <t>Kab. Tegal</t>
  </si>
  <si>
    <t>0906</t>
  </si>
  <si>
    <t>BANK MNC INTERNASIONAL d/h BANK ICB BUMIPUTERA</t>
  </si>
  <si>
    <t>485</t>
  </si>
  <si>
    <t>PT Rezeki Bersama Teknologi</t>
  </si>
  <si>
    <t>FinPlus</t>
  </si>
  <si>
    <t>DJ</t>
  </si>
  <si>
    <t>Djibouti</t>
  </si>
  <si>
    <t>Jenis Setoran Modal</t>
  </si>
  <si>
    <t>Kab. Brebes</t>
  </si>
  <si>
    <t>0907</t>
  </si>
  <si>
    <t>BANK MITRA NIAGA</t>
  </si>
  <si>
    <t>491</t>
  </si>
  <si>
    <t>PT Alami Fintek Sharia</t>
  </si>
  <si>
    <t>ALAMI</t>
  </si>
  <si>
    <t>DO</t>
  </si>
  <si>
    <t>Dominican Republic (the)</t>
  </si>
  <si>
    <t>Dana</t>
  </si>
  <si>
    <t>Kab. Pati</t>
  </si>
  <si>
    <t>0908</t>
  </si>
  <si>
    <t>BANK SBI</t>
  </si>
  <si>
    <t>498</t>
  </si>
  <si>
    <t>PT Duha Madani Syariah</t>
  </si>
  <si>
    <t>Duha SYARIAH</t>
  </si>
  <si>
    <t>DM</t>
  </si>
  <si>
    <t>Dominica</t>
  </si>
  <si>
    <t>Tanah dan bangunan yang dapat diperhitungkan sebagai modal inti</t>
  </si>
  <si>
    <t>Kab. Kudus</t>
  </si>
  <si>
    <t>0909</t>
  </si>
  <si>
    <t>BANK ROYAL INDONESIA</t>
  </si>
  <si>
    <t>501</t>
  </si>
  <si>
    <t>PT Qazwa Mitra Hasanah</t>
  </si>
  <si>
    <t>qazwa.id</t>
  </si>
  <si>
    <t>EC</t>
  </si>
  <si>
    <t>Ecuador</t>
  </si>
  <si>
    <t>Tanah dan bangunan yang tidak dapat diperhitungkan sebagai modal inti</t>
  </si>
  <si>
    <t>Kab. Pemalang</t>
  </si>
  <si>
    <t>0910</t>
  </si>
  <si>
    <t>BANK SAHABAT SAMPOERNA d/h BANK DIPO INTERNASIONAL</t>
  </si>
  <si>
    <t>523</t>
  </si>
  <si>
    <t>PT Semangat Gotong Royong</t>
  </si>
  <si>
    <t>Dhanapala</t>
  </si>
  <si>
    <t>EG</t>
  </si>
  <si>
    <t>Egypt</t>
  </si>
  <si>
    <t>Kab. Jepara</t>
  </si>
  <si>
    <t>0911</t>
  </si>
  <si>
    <t>BANK KESEJAHTERAAN</t>
  </si>
  <si>
    <t>535</t>
  </si>
  <si>
    <t>PT Cerita Teknologi Indonesia</t>
  </si>
  <si>
    <t>Restock.ID</t>
  </si>
  <si>
    <t>SV</t>
  </si>
  <si>
    <t>El Salvador</t>
  </si>
  <si>
    <t>Kab. Rembang</t>
  </si>
  <si>
    <t>0912</t>
  </si>
  <si>
    <t>BANK MULTIARTA SENTOSA</t>
  </si>
  <si>
    <t>548</t>
  </si>
  <si>
    <t>PT Fintech Bina Bangsa</t>
  </si>
  <si>
    <t>EDUFUND</t>
  </si>
  <si>
    <t>GQ</t>
  </si>
  <si>
    <t>Equatorial Guinea</t>
  </si>
  <si>
    <t>Jenis Modal</t>
  </si>
  <si>
    <t>Kab. Blora</t>
  </si>
  <si>
    <t>0913</t>
  </si>
  <si>
    <t>BANK MAYORA</t>
  </si>
  <si>
    <t>553</t>
  </si>
  <si>
    <t>PT Plus Ultra Abadi</t>
  </si>
  <si>
    <t>UATAS</t>
  </si>
  <si>
    <t>ER</t>
  </si>
  <si>
    <t>Eritrea</t>
  </si>
  <si>
    <t>Modal Disetor</t>
  </si>
  <si>
    <t>Kab. Banyumas</t>
  </si>
  <si>
    <t>0914</t>
  </si>
  <si>
    <t>INDEX SELINDO</t>
  </si>
  <si>
    <t>555</t>
  </si>
  <si>
    <t>PT Klikcair Magga Jaya</t>
  </si>
  <si>
    <t>KlikCair</t>
  </si>
  <si>
    <t>EE</t>
  </si>
  <si>
    <t>Estonia</t>
  </si>
  <si>
    <t>Modal Sumbangan</t>
  </si>
  <si>
    <t>Kab. Cilacap</t>
  </si>
  <si>
    <t>0915</t>
  </si>
  <si>
    <t>BANK VICTORIA INTERNASIONAL</t>
  </si>
  <si>
    <t>566</t>
  </si>
  <si>
    <t>PT Solid Fintek Indonesia</t>
  </si>
  <si>
    <t>AdaModal</t>
  </si>
  <si>
    <t>ET</t>
  </si>
  <si>
    <t>Ethiopia</t>
  </si>
  <si>
    <t>Dana Setoran Modal - Ekuitas</t>
  </si>
  <si>
    <t>Kab. Purbalingga</t>
  </si>
  <si>
    <t>0916</t>
  </si>
  <si>
    <t>BANK HARDA INTERNASIONAL</t>
  </si>
  <si>
    <t>567</t>
  </si>
  <si>
    <t>PT IKI Karunia Indonesia</t>
  </si>
  <si>
    <t>IKI Modal</t>
  </si>
  <si>
    <t>FK</t>
  </si>
  <si>
    <t>Falkland Islands (the) [Malvinas]</t>
  </si>
  <si>
    <t>Kab. Banjarnegara</t>
  </si>
  <si>
    <t>0917</t>
  </si>
  <si>
    <t>BANK JABAR DAN BANTEN</t>
  </si>
  <si>
    <t>110</t>
  </si>
  <si>
    <t>PT Ethis Fintek Indonesia</t>
  </si>
  <si>
    <t>ETHIS</t>
  </si>
  <si>
    <t>FO</t>
  </si>
  <si>
    <t>Faroe Islands (the)</t>
  </si>
  <si>
    <t>Form 00.7 | Form 06 | Form 11 | Form 12 | Form 13 | Form 15</t>
  </si>
  <si>
    <t>Kab. Magelang</t>
  </si>
  <si>
    <t>0918</t>
  </si>
  <si>
    <t>BPD YOGYAKARTA</t>
  </si>
  <si>
    <t>112</t>
  </si>
  <si>
    <t>PT Piranti Alphabet Perkasa</t>
  </si>
  <si>
    <t>PAPITUPI SYARIAH</t>
  </si>
  <si>
    <t>FJ</t>
  </si>
  <si>
    <t>Fiji</t>
  </si>
  <si>
    <t>Sandi Golongan Pihak Lawan</t>
  </si>
  <si>
    <t>Kab. Temanggung</t>
  </si>
  <si>
    <t>0919</t>
  </si>
  <si>
    <t>BPD JAWA TENGAH</t>
  </si>
  <si>
    <t>113</t>
  </si>
  <si>
    <t>PT Sahabat Mikro Fintek</t>
  </si>
  <si>
    <t>SAMIR</t>
  </si>
  <si>
    <t>FI</t>
  </si>
  <si>
    <t>Finland</t>
  </si>
  <si>
    <t>Bank Indonesia</t>
  </si>
  <si>
    <t>001</t>
  </si>
  <si>
    <t>Kab. Wonosobo</t>
  </si>
  <si>
    <t>0920</t>
  </si>
  <si>
    <t>BPD JAWA TIMUR</t>
  </si>
  <si>
    <t>114</t>
  </si>
  <si>
    <t>PT Inovasi Terdepan Nusantara</t>
  </si>
  <si>
    <t>360 KREDI</t>
  </si>
  <si>
    <t>FR</t>
  </si>
  <si>
    <t>France</t>
  </si>
  <si>
    <t>BPR Konvensional</t>
  </si>
  <si>
    <t>Kab. Purworejo</t>
  </si>
  <si>
    <t>0921</t>
  </si>
  <si>
    <t>BPD JAMBI</t>
  </si>
  <si>
    <t>115</t>
  </si>
  <si>
    <t>PT Sens Teknologi Indonesia</t>
  </si>
  <si>
    <t>Indosaku</t>
  </si>
  <si>
    <t>GF</t>
  </si>
  <si>
    <t>French Guiana</t>
  </si>
  <si>
    <t>BPR Syariah</t>
  </si>
  <si>
    <t>Kab. Kebumen</t>
  </si>
  <si>
    <t>0922</t>
  </si>
  <si>
    <t>BPD ACEH</t>
  </si>
  <si>
    <t>116</t>
  </si>
  <si>
    <t>PT Pendanaan Teknologi Nusa</t>
  </si>
  <si>
    <t>KTA KILAT</t>
  </si>
  <si>
    <t>PF</t>
  </si>
  <si>
    <t>French Polynesia</t>
  </si>
  <si>
    <t>Bank Umum Konvensional</t>
  </si>
  <si>
    <t>Kab. Klaten</t>
  </si>
  <si>
    <t>0923</t>
  </si>
  <si>
    <t>BPD SUMATERA UTARA</t>
  </si>
  <si>
    <t>117</t>
  </si>
  <si>
    <t>PT Indo Fin Tek</t>
  </si>
  <si>
    <t>DOMPET Kilat</t>
  </si>
  <si>
    <t>TF</t>
  </si>
  <si>
    <t>French Southern Territories (the)</t>
  </si>
  <si>
    <t>Bank Umum Syariah</t>
  </si>
  <si>
    <t>Kab. Boyolali</t>
  </si>
  <si>
    <t>0924</t>
  </si>
  <si>
    <t>BPD SUMATERA BARAT</t>
  </si>
  <si>
    <t>118</t>
  </si>
  <si>
    <t>PT Progo Puncak Group</t>
  </si>
  <si>
    <t>Pinjamwinwin</t>
  </si>
  <si>
    <t>GA</t>
  </si>
  <si>
    <t>Gabon</t>
  </si>
  <si>
    <t>Unit Usaha Syariah (KC Syariah Bank Umum Konvensional)</t>
  </si>
  <si>
    <t>Kab. Sragen</t>
  </si>
  <si>
    <t>0925</t>
  </si>
  <si>
    <t>BPD RIAU KEPRI</t>
  </si>
  <si>
    <t>119</t>
  </si>
  <si>
    <t>PT Oriente Mas Sejahtera</t>
  </si>
  <si>
    <t>Finmas</t>
  </si>
  <si>
    <t>GM</t>
  </si>
  <si>
    <t>Gambia (the)</t>
  </si>
  <si>
    <t>Pemerintah Pusat</t>
  </si>
  <si>
    <t>Kab. Sukoharjo</t>
  </si>
  <si>
    <t>0926</t>
  </si>
  <si>
    <t>BPD SUMATERA SELATAN DAN BANGKA BELITUNG</t>
  </si>
  <si>
    <t>120</t>
  </si>
  <si>
    <t>PT Dana Pinjaman Inklusif</t>
  </si>
  <si>
    <t>PinjamanGO</t>
  </si>
  <si>
    <t>GE</t>
  </si>
  <si>
    <t>Georgia</t>
  </si>
  <si>
    <t>Pemerintah Daerah</t>
  </si>
  <si>
    <t>Kab. Karanganyar</t>
  </si>
  <si>
    <t>0927</t>
  </si>
  <si>
    <t>BPD LAMPUNG</t>
  </si>
  <si>
    <t>121</t>
  </si>
  <si>
    <t>PT Kredit Pintar Indonesia</t>
  </si>
  <si>
    <t>Kredit Pintar</t>
  </si>
  <si>
    <t>DE</t>
  </si>
  <si>
    <t>Germany</t>
  </si>
  <si>
    <t>BUMN yang melakukan usaha penjaminan kredit dan memenuhi persyaratan sebagaimana POJK KPMM</t>
  </si>
  <si>
    <t>Kab. Wonogiri</t>
  </si>
  <si>
    <t>0928</t>
  </si>
  <si>
    <t>BPD KALIMANTAN SELATAN</t>
  </si>
  <si>
    <t>122</t>
  </si>
  <si>
    <t>PT Kredit Plus Teknologi</t>
  </si>
  <si>
    <t>Pinjam Gampang</t>
  </si>
  <si>
    <t>GH</t>
  </si>
  <si>
    <t>Ghana</t>
  </si>
  <si>
    <t>BUMN Lainnya</t>
  </si>
  <si>
    <t>Kab. Batang</t>
  </si>
  <si>
    <t>0929</t>
  </si>
  <si>
    <t>BPD KALIMANTAN BARAT</t>
  </si>
  <si>
    <t>123</t>
  </si>
  <si>
    <t>PT Kredit Utama Fintech Indonesia</t>
  </si>
  <si>
    <t>RUPIAH CEPAT</t>
  </si>
  <si>
    <t>GI</t>
  </si>
  <si>
    <t>Gibraltar</t>
  </si>
  <si>
    <t>BUMD yang melakukan usaha penjaminan kredit dan memenuhi persyaratan sebagaimana POJK KPMM</t>
  </si>
  <si>
    <t>Kota Semarang</t>
  </si>
  <si>
    <t>0991</t>
  </si>
  <si>
    <t>BPD KALIMANTAN TIMUR</t>
  </si>
  <si>
    <t>124</t>
  </si>
  <si>
    <t>PT Layanan Keuangan Berbagi</t>
  </si>
  <si>
    <t>DanaRupiah</t>
  </si>
  <si>
    <t>GR</t>
  </si>
  <si>
    <t>Greece</t>
  </si>
  <si>
    <t>BUMD Lainnya</t>
  </si>
  <si>
    <t>Kota Salatiga</t>
  </si>
  <si>
    <t>0992</t>
  </si>
  <si>
    <t>BPD KALIMANTAN TENGAH</t>
  </si>
  <si>
    <t>125</t>
  </si>
  <si>
    <t>PT Digital Micro Indonesia</t>
  </si>
  <si>
    <t>danabijak</t>
  </si>
  <si>
    <t>GL</t>
  </si>
  <si>
    <t>Greenland</t>
  </si>
  <si>
    <t>Kota Pekalongan</t>
  </si>
  <si>
    <t>0993</t>
  </si>
  <si>
    <t>BPD SULAWESI SELATAN DAN SULAWESI BARAT</t>
  </si>
  <si>
    <t>126</t>
  </si>
  <si>
    <t>PT Artha Permata Makmur</t>
  </si>
  <si>
    <t>Cashcepat</t>
  </si>
  <si>
    <t>GD</t>
  </si>
  <si>
    <t>Grenada</t>
  </si>
  <si>
    <t>Sektor Pemerintah Campuran</t>
  </si>
  <si>
    <t>Kota Tegal</t>
  </si>
  <si>
    <t>0994</t>
  </si>
  <si>
    <t>BPD SULAWESI UTARA GORONTALO</t>
  </si>
  <si>
    <t>127</t>
  </si>
  <si>
    <t>PT Stanford Teknologi Indonesia</t>
  </si>
  <si>
    <t>PinjamDuit</t>
  </si>
  <si>
    <t>GP</t>
  </si>
  <si>
    <t>Guadeloupe</t>
  </si>
  <si>
    <t>Perusahaan</t>
  </si>
  <si>
    <t>Kota Magelang</t>
  </si>
  <si>
    <t>0995</t>
  </si>
  <si>
    <t>BPD SULAWESI TENGGARA</t>
  </si>
  <si>
    <t>135</t>
  </si>
  <si>
    <t>PT Kuaikuai Tech Indonesia</t>
  </si>
  <si>
    <t>PINJAM YUK</t>
  </si>
  <si>
    <t>GU</t>
  </si>
  <si>
    <t>Guam</t>
  </si>
  <si>
    <t>Koperasi</t>
  </si>
  <si>
    <t>Kota Surakarta/Solo</t>
  </si>
  <si>
    <t>0996</t>
  </si>
  <si>
    <t>BPD NTB</t>
  </si>
  <si>
    <t>128</t>
  </si>
  <si>
    <t>PT Indonesia Fintopia Technology</t>
  </si>
  <si>
    <t>EASYCASH</t>
  </si>
  <si>
    <t>GT</t>
  </si>
  <si>
    <t>Guatemala</t>
  </si>
  <si>
    <t>Yayasan</t>
  </si>
  <si>
    <t>0988</t>
  </si>
  <si>
    <t>BPD BALI</t>
  </si>
  <si>
    <t>129</t>
  </si>
  <si>
    <t>PT Abadi Sejahtera Finansindo</t>
  </si>
  <si>
    <t>Singa</t>
  </si>
  <si>
    <t>GN</t>
  </si>
  <si>
    <t>Guinea</t>
  </si>
  <si>
    <t>Kelompok</t>
  </si>
  <si>
    <t>Provinsi Jawa Timur</t>
  </si>
  <si>
    <t>BPD NUSA TENGGARA TIMUR</t>
  </si>
  <si>
    <t>130</t>
  </si>
  <si>
    <t>PT Pembiayaan Digital Indonesia</t>
  </si>
  <si>
    <t>AdaKami</t>
  </si>
  <si>
    <t>GW</t>
  </si>
  <si>
    <t>Guinea-Bissau</t>
  </si>
  <si>
    <t xml:space="preserve">Pegawai/Pensiunan (PNS, TNI/POLRI, Lembaga Negara dan BUMN/BUMD) yang kreditnya memenuhi persyaratan </t>
  </si>
  <si>
    <t>Kab. Gresik</t>
  </si>
  <si>
    <t>BPD MALUKU DAN MALUKU UTARA</t>
  </si>
  <si>
    <t>131</t>
  </si>
  <si>
    <t>PT Pintar Inovasi Digital</t>
  </si>
  <si>
    <t>Asetku</t>
  </si>
  <si>
    <t>GY</t>
  </si>
  <si>
    <t>Guyana</t>
  </si>
  <si>
    <t>Kab. Sidoarjo</t>
  </si>
  <si>
    <t>BPD PAPUA</t>
  </si>
  <si>
    <t>132</t>
  </si>
  <si>
    <t>PT Solusi Teknologi Finansial</t>
  </si>
  <si>
    <t>Modal Nasional</t>
  </si>
  <si>
    <t>HT</t>
  </si>
  <si>
    <t>Haiti</t>
  </si>
  <si>
    <t>Asuransi jiwa</t>
  </si>
  <si>
    <t>Kab. Mojokerto</t>
  </si>
  <si>
    <t>BPD BENGKULU</t>
  </si>
  <si>
    <t>133</t>
  </si>
  <si>
    <t>PT Idana Solusi Sejahtera</t>
  </si>
  <si>
    <t>Cairin</t>
  </si>
  <si>
    <t>HM</t>
  </si>
  <si>
    <t>Heard Island and McDonald Islands</t>
  </si>
  <si>
    <t>Asuransi kredit</t>
  </si>
  <si>
    <t>Kab. Jombang</t>
  </si>
  <si>
    <t>BPD SULAWESI TENGAH</t>
  </si>
  <si>
    <t>134</t>
  </si>
  <si>
    <t>PT Harapan Fintech Indonesia</t>
  </si>
  <si>
    <t>KLIK KAMI</t>
  </si>
  <si>
    <t>HN</t>
  </si>
  <si>
    <t>Honduras</t>
  </si>
  <si>
    <t>Pelaku Jasa Keuangan Lainnya</t>
  </si>
  <si>
    <t>Kab. Sampang</t>
  </si>
  <si>
    <t>BANK NUSANTARA PARAHYANGAN</t>
  </si>
  <si>
    <t>145</t>
  </si>
  <si>
    <t>PT Anugerah Digital Indonesia</t>
  </si>
  <si>
    <t>SOLUSIKU</t>
  </si>
  <si>
    <t>HK</t>
  </si>
  <si>
    <t>Hong Kong</t>
  </si>
  <si>
    <t>Lembaga Internasional</t>
  </si>
  <si>
    <t>Kab. Pamekasan</t>
  </si>
  <si>
    <t>BANK MESTIKA DHARMA</t>
  </si>
  <si>
    <t>151</t>
  </si>
  <si>
    <t>PT Info Tekno Siaga</t>
  </si>
  <si>
    <t>AdaPundi</t>
  </si>
  <si>
    <t>HU</t>
  </si>
  <si>
    <t>Hungary</t>
  </si>
  <si>
    <t>Perwakilan Negara Asing</t>
  </si>
  <si>
    <t>Kab. Sumenep</t>
  </si>
  <si>
    <t>BANK MASPION INDONESIA</t>
  </si>
  <si>
    <t>157</t>
  </si>
  <si>
    <t>PT Fidac Inovasi Teknologi</t>
  </si>
  <si>
    <t>DUMI</t>
  </si>
  <si>
    <t>IS</t>
  </si>
  <si>
    <t>Iceland</t>
  </si>
  <si>
    <t>Cross Border Correspondent Banking</t>
  </si>
  <si>
    <t>Kab. Bangkalan</t>
  </si>
  <si>
    <t>BANK WOORI SAUDARA INDONESIA 1906</t>
  </si>
  <si>
    <t>212</t>
  </si>
  <si>
    <t>PT Doeku Peduli Indonesia</t>
  </si>
  <si>
    <t>Doeku</t>
  </si>
  <si>
    <t>IN</t>
  </si>
  <si>
    <t>India</t>
  </si>
  <si>
    <t>Tanpa penjamin</t>
  </si>
  <si>
    <t>000</t>
  </si>
  <si>
    <t>Kab. Bondowoso</t>
  </si>
  <si>
    <t>BANK BISNIS INTERNATIONAL</t>
  </si>
  <si>
    <t>459</t>
  </si>
  <si>
    <t>PT Smartec Teknologi Indonesia</t>
  </si>
  <si>
    <t>BantuSaku</t>
  </si>
  <si>
    <t>ID</t>
  </si>
  <si>
    <t>Indonesia</t>
  </si>
  <si>
    <t>Kab. Banyuwangi</t>
  </si>
  <si>
    <t>PRIMA MASTER BANK VETERAN</t>
  </si>
  <si>
    <t>520</t>
  </si>
  <si>
    <t>PT Ringan Teknologi Indonesia</t>
  </si>
  <si>
    <t>Ringan</t>
  </si>
  <si>
    <t>IR</t>
  </si>
  <si>
    <t>Iran (Islamic Republic of)</t>
  </si>
  <si>
    <t>Kab. Jember</t>
  </si>
  <si>
    <t>BANK AMAR INDONESIA d/h BANK ANGLOMAS INDONESIA</t>
  </si>
  <si>
    <t>531</t>
  </si>
  <si>
    <t>PT Finansia Aira Teknologi</t>
  </si>
  <si>
    <t>Ivoji</t>
  </si>
  <si>
    <t>IQ</t>
  </si>
  <si>
    <t>Iraq</t>
  </si>
  <si>
    <t>Kab. Malang</t>
  </si>
  <si>
    <t>BANK ARTOS INDONESIA</t>
  </si>
  <si>
    <t>542</t>
  </si>
  <si>
    <t>IE</t>
  </si>
  <si>
    <t>Ireland</t>
  </si>
  <si>
    <t>Form 00.7</t>
  </si>
  <si>
    <t>Kab. Pasuruan</t>
  </si>
  <si>
    <t>CENTRATAMA NASIONAL BANK</t>
  </si>
  <si>
    <t>559</t>
  </si>
  <si>
    <t>IL</t>
  </si>
  <si>
    <t>Israel</t>
  </si>
  <si>
    <t>Jenis Pinjaman yang Diterima</t>
  </si>
  <si>
    <t>Kab. Probolinggo</t>
  </si>
  <si>
    <t>BANK FAMA INTERNASIONAL</t>
  </si>
  <si>
    <t>562</t>
  </si>
  <si>
    <t>IT</t>
  </si>
  <si>
    <t>Italy</t>
  </si>
  <si>
    <t>Pinjaman Bilateral</t>
  </si>
  <si>
    <t>Kab. Lumajang</t>
  </si>
  <si>
    <t>BANK MANDIRI TASPEN POS d/h BANK SINAR HARAPAN BALI</t>
  </si>
  <si>
    <t>564</t>
  </si>
  <si>
    <t>JM</t>
  </si>
  <si>
    <t>Jamaica</t>
  </si>
  <si>
    <t>Pinjaman Sindikasi</t>
  </si>
  <si>
    <t>Kab. Kediri</t>
  </si>
  <si>
    <t>BANK ANTAR DAERAH</t>
  </si>
  <si>
    <t>088</t>
  </si>
  <si>
    <t>JP</t>
  </si>
  <si>
    <t>Japan</t>
  </si>
  <si>
    <t>Dari Lembaga Pengayom</t>
  </si>
  <si>
    <t>Kab. Nganjuk</t>
  </si>
  <si>
    <t>BANK MUAMALAT INDONESIA</t>
  </si>
  <si>
    <t>147</t>
  </si>
  <si>
    <t>JO</t>
  </si>
  <si>
    <t>Jordan</t>
  </si>
  <si>
    <t>Dalam rangka linkage</t>
  </si>
  <si>
    <t>Kab. Tulungagung</t>
  </si>
  <si>
    <t>BANK VICTORIA SYARIAH</t>
  </si>
  <si>
    <t>405</t>
  </si>
  <si>
    <t>KZ</t>
  </si>
  <si>
    <t>Kazakhstan</t>
  </si>
  <si>
    <t>Diperhitungkan sebagai Modal Inti Tambahan dalam KPMM</t>
  </si>
  <si>
    <t>Kab. Trenggalek</t>
  </si>
  <si>
    <t>BANK SYARIAH BRI</t>
  </si>
  <si>
    <t>422</t>
  </si>
  <si>
    <t>KE</t>
  </si>
  <si>
    <t>Kenya</t>
  </si>
  <si>
    <t>Diperhitungkan sebagai Modal Pelengkap dalam KPMM (Pinjaman Subordinasi)</t>
  </si>
  <si>
    <t>Kab. Blitar</t>
  </si>
  <si>
    <t>BANK JABAR BANTEN SYARIAH</t>
  </si>
  <si>
    <t>425</t>
  </si>
  <si>
    <t>KI</t>
  </si>
  <si>
    <t>Kiribati</t>
  </si>
  <si>
    <t>Kab. Madiun</t>
  </si>
  <si>
    <t>BANK BNI SYARIAH</t>
  </si>
  <si>
    <t>427</t>
  </si>
  <si>
    <t>KR</t>
  </si>
  <si>
    <t>Korea (the Republic of)</t>
  </si>
  <si>
    <t>Kab. Ngawi</t>
  </si>
  <si>
    <t>BANK MEGA SYARIAH</t>
  </si>
  <si>
    <t>506</t>
  </si>
  <si>
    <t>KP</t>
  </si>
  <si>
    <t>Korea (the Democratic People's Republic of)</t>
  </si>
  <si>
    <t>Form 00.7 | Form 05 | Form 11 | Form 12 | Form 13 | Form 14 | Form 16</t>
  </si>
  <si>
    <t>Kab. Magetan</t>
  </si>
  <si>
    <t>BANK PANIN SYARIAH</t>
  </si>
  <si>
    <t>517</t>
  </si>
  <si>
    <t>KW</t>
  </si>
  <si>
    <t>Kuwait</t>
  </si>
  <si>
    <t>Keterkaitan</t>
  </si>
  <si>
    <t>Kab. Ponorogo</t>
  </si>
  <si>
    <t>BANK SYARIAH BUKOPIN</t>
  </si>
  <si>
    <t>521</t>
  </si>
  <si>
    <t>KG</t>
  </si>
  <si>
    <t>Kyrgyzstan</t>
  </si>
  <si>
    <t>Terkait</t>
  </si>
  <si>
    <t>Kab. Pacitan</t>
  </si>
  <si>
    <t>BANK BCA SYARIAH</t>
  </si>
  <si>
    <t>536</t>
  </si>
  <si>
    <t>LA</t>
  </si>
  <si>
    <t>Lao People's Democratic Republic (the)</t>
  </si>
  <si>
    <t>Tidak Terkait</t>
  </si>
  <si>
    <t>Kab. Bojonegoro</t>
  </si>
  <si>
    <t>BANK TABUNGAN PENSIUNAN NASIONAL SYARIAH</t>
  </si>
  <si>
    <t>547</t>
  </si>
  <si>
    <t>LV</t>
  </si>
  <si>
    <t>Latvia</t>
  </si>
  <si>
    <t>Kab. Tuban</t>
  </si>
  <si>
    <t>BANK MAYBANK SYARIAH INDONESIA</t>
  </si>
  <si>
    <t>947</t>
  </si>
  <si>
    <t>LB</t>
  </si>
  <si>
    <t>Lebanon</t>
  </si>
  <si>
    <t>Form 00.7 | Form 06</t>
  </si>
  <si>
    <t>Kab. Lamongan</t>
  </si>
  <si>
    <t>BANK DANAMON SYARIAH (UUS)</t>
  </si>
  <si>
    <t>LS</t>
  </si>
  <si>
    <t>Lesotho</t>
  </si>
  <si>
    <t>Cara Perhitungan Suku Bunga</t>
  </si>
  <si>
    <t>Kab. Situbondo</t>
  </si>
  <si>
    <t>BANK PERMATA SYARIAH (UUS)</t>
  </si>
  <si>
    <t>LR</t>
  </si>
  <si>
    <t>Liberia</t>
  </si>
  <si>
    <t>Bunga flat Tetap</t>
  </si>
  <si>
    <t>Kota Surabaya</t>
  </si>
  <si>
    <t>BANK CIMB NIAGA SYARIAH (UUS)</t>
  </si>
  <si>
    <t>LY</t>
  </si>
  <si>
    <t>Libya</t>
  </si>
  <si>
    <t>Bunga flat Mengambang</t>
  </si>
  <si>
    <t>Kota Mojokerto</t>
  </si>
  <si>
    <t>BANK OCBC NISP SYARIAH (UUS)</t>
  </si>
  <si>
    <t>LI</t>
  </si>
  <si>
    <t>Liechtenstein</t>
  </si>
  <si>
    <t>Bunga tidak flat Tetap</t>
  </si>
  <si>
    <t>Kota Malang</t>
  </si>
  <si>
    <t>BANK DKI  (UUS)</t>
  </si>
  <si>
    <t>LT</t>
  </si>
  <si>
    <t>Lithuania</t>
  </si>
  <si>
    <t>Bunga tidak flat Mengambang</t>
  </si>
  <si>
    <t>Kota Pasuruan</t>
  </si>
  <si>
    <t>BPD YOGYAKARTA (UUS)</t>
  </si>
  <si>
    <t>LU</t>
  </si>
  <si>
    <t>Luxembourg</t>
  </si>
  <si>
    <t>Kota Probolinggo</t>
  </si>
  <si>
    <t>BPD JAWA TENGAH (UUS)</t>
  </si>
  <si>
    <t>MO</t>
  </si>
  <si>
    <t>Macao</t>
  </si>
  <si>
    <t>Form 00.7 | Form 06.1 | Form 15</t>
  </si>
  <si>
    <t>Kota Blitar</t>
  </si>
  <si>
    <t>BPD JAWA TIMUR (UUS)</t>
  </si>
  <si>
    <t>MK</t>
  </si>
  <si>
    <t>Macedonia (the former Yugoslav Republic of)</t>
  </si>
  <si>
    <t>Jenis Agunan</t>
  </si>
  <si>
    <t>Kota Kediri</t>
  </si>
  <si>
    <t>BPD JAMBI (UUS)</t>
  </si>
  <si>
    <t>MG</t>
  </si>
  <si>
    <t>Madagascar</t>
  </si>
  <si>
    <t>Likuid : SBI/Surat Utang Pemerintah</t>
  </si>
  <si>
    <t>101</t>
  </si>
  <si>
    <t>Kota Madiun</t>
  </si>
  <si>
    <t>BPD SUMATERA UTARA (UUS)</t>
  </si>
  <si>
    <t>MW</t>
  </si>
  <si>
    <t>Malawi</t>
  </si>
  <si>
    <t>Likuid : Tabungan dan Deposito yang diblokir BPR bersangkutan disertai dengan surat kuasa pencairan</t>
  </si>
  <si>
    <t>102</t>
  </si>
  <si>
    <t>Kota Batu</t>
  </si>
  <si>
    <t>BPD SUMATERA BARAT (UUS)</t>
  </si>
  <si>
    <t>MY</t>
  </si>
  <si>
    <t>Malaysia</t>
  </si>
  <si>
    <t>Likuid : Logam mulia yang disertai surat kuasa gadai</t>
  </si>
  <si>
    <t>103</t>
  </si>
  <si>
    <t>BPD RIAU KEPRI (UUS)</t>
  </si>
  <si>
    <t>MV</t>
  </si>
  <si>
    <t>Maldives</t>
  </si>
  <si>
    <t>Non Likuid : Emas perhiasan</t>
  </si>
  <si>
    <t>Provinsi Bengkulu</t>
  </si>
  <si>
    <t>BPD SUMATERA SELATAN DAN BANGKA BELITUNG (UUS)</t>
  </si>
  <si>
    <t>ML</t>
  </si>
  <si>
    <t>Mali</t>
  </si>
  <si>
    <t>Non Likuid : Tanah dan/atau bangunan yang memiliki sertipikat yang dibebani hak tanggungan pertama</t>
  </si>
  <si>
    <t>Kab. Bengkulu Selatan</t>
  </si>
  <si>
    <t>BPD KALIMANTAN SELATAN (UUS)</t>
  </si>
  <si>
    <t>MT</t>
  </si>
  <si>
    <t>Malta</t>
  </si>
  <si>
    <t>Non Likuid : Tanah dan/atau bangunan yang memiliki sertipikat dan didukung dengan surat kuasa menjual namun tidak dibebani dengan hak tanggungan pertama</t>
  </si>
  <si>
    <t>Kab. Bengkulu Utara</t>
  </si>
  <si>
    <t>BPD KALIMANTAN BARAT (UUS)</t>
  </si>
  <si>
    <t>MH</t>
  </si>
  <si>
    <t>Marshall Islands (the)</t>
  </si>
  <si>
    <t>Non Likuid : Tanah dan/atau bangunan dengan kepemilikan berupa surat pengakuan tanah adat yang dilampiri SPPT atau surat keterangan NJOP terakhir dari dari instansi yang berwenang</t>
  </si>
  <si>
    <t>204</t>
  </si>
  <si>
    <t>Kab. Rejang Lebong</t>
  </si>
  <si>
    <t>BPD KALIMANTAN TIMUR (UUS)</t>
  </si>
  <si>
    <t>MQ</t>
  </si>
  <si>
    <t>Martinique</t>
  </si>
  <si>
    <t>Non Likuid : Tanah dan/atau bangunan rumah dengan kepemilikan berupa surat pengakuan tanah adat tanpa dilampiri SPPT atau surat keterangan NJOP terakhir dari dari instansi berwenang</t>
  </si>
  <si>
    <t>205</t>
  </si>
  <si>
    <t>Kab. Lebong</t>
  </si>
  <si>
    <t>BPD SULAWESI SELATAN DAN SULAWESI BARAT (UUS)</t>
  </si>
  <si>
    <t>MR</t>
  </si>
  <si>
    <t>Mauritania</t>
  </si>
  <si>
    <t>Non Likuid : Resi gudang yang penilaiannya dilakukan kurang dari 12 bulan atau sampai dengan 12 (dua belas) bulan dan sejalan dengan ketentuan peraturan perundang-undangan mengenai resi gudang</t>
  </si>
  <si>
    <t>206</t>
  </si>
  <si>
    <t>Kab. Kepahiang</t>
  </si>
  <si>
    <t>BPD NTB (UUS)</t>
  </si>
  <si>
    <t>MU</t>
  </si>
  <si>
    <t>Mauritius</t>
  </si>
  <si>
    <t>Non Likuid : Resi gudang yang penilaiannya dilakukan lebih dari 12 bulan sampai dengan 18 bulan dan sejalan dengan ketentuan peraturan perundang-undangan mengenai resi gudang</t>
  </si>
  <si>
    <t>207</t>
  </si>
  <si>
    <t>Kab. Mukomuko</t>
  </si>
  <si>
    <t>BANK SINARMAS (UUS)</t>
  </si>
  <si>
    <t>YT</t>
  </si>
  <si>
    <t>Mayotte</t>
  </si>
  <si>
    <t>Non Likuid : Resi gudang yang penilaiannya dilakukan lebih dari 18 bulan sampai dengan 24 bulan dan sejalan dengan ketentuan peraturan perundang-undangan mengenai resi gudang</t>
  </si>
  <si>
    <t>208</t>
  </si>
  <si>
    <t>Kab. Seluma</t>
  </si>
  <si>
    <t>BANK TABUNGAN NEGARA (UUS)</t>
  </si>
  <si>
    <t>MX</t>
  </si>
  <si>
    <t>Mexico</t>
  </si>
  <si>
    <t>Non Likuid : Resi gudang yang tidak sejalan dengan ketentuan peraturan perundang-undangan mengenai resi gudang</t>
  </si>
  <si>
    <t>209</t>
  </si>
  <si>
    <t>Kab. Kaur</t>
  </si>
  <si>
    <t>BANK SYARIAH MANDIRI</t>
  </si>
  <si>
    <t>451</t>
  </si>
  <si>
    <t>FM</t>
  </si>
  <si>
    <t>Micronesia (Federated States of)</t>
  </si>
  <si>
    <t>Non Likuid : Tempat usaha yang disertai bukti kepemilikan atau surat izin pemakaian atau hak pakai atas tanah yang dikeluarkan oleh instansi berwenang dan disertai dengan surat kuasa menjual atau pengalihan hak yang dibuat atau disahkan oleh notaris atau dibuat oleh pejabat lain yang berwenang</t>
  </si>
  <si>
    <t>210</t>
  </si>
  <si>
    <t>Kota Bengkulu</t>
  </si>
  <si>
    <t>BANK MAYBANK (UUS)</t>
  </si>
  <si>
    <t>MD</t>
  </si>
  <si>
    <t>Moldova (the Republic of)</t>
  </si>
  <si>
    <t>Non Likuid : Tempat usaha yang disertai bukti kepemilikan atau surat izin pemakaian atau hak pakai atas tanah yang dikeluarkan oleh instansi berwenang dan tanpa disertai dengan surat kuasa menjual atau pengalihan hak yang dibuat atau disahkan oleh notaris atau dibuat oleh pejabat lain yang berwenang</t>
  </si>
  <si>
    <t>211</t>
  </si>
  <si>
    <t>BANK ANDROMEDA</t>
  </si>
  <si>
    <t>144</t>
  </si>
  <si>
    <t>MC</t>
  </si>
  <si>
    <t>Monaco</t>
  </si>
  <si>
    <t xml:space="preserve">Non Likuid : Kendaraan bermotor/kapal/perahu bermotor/alat berat/mesin yang menjadi kesatuan dengan tanah disertai dengan bukti kepemilikan dan diikat dengan hipotek/fidusia </t>
  </si>
  <si>
    <t>Provinsi Jambi</t>
  </si>
  <si>
    <t>BANK ANRICO</t>
  </si>
  <si>
    <t>310</t>
  </si>
  <si>
    <t>MN</t>
  </si>
  <si>
    <t>Mongolia</t>
  </si>
  <si>
    <t xml:space="preserve">Non Likuid : Kendaraan bermotor/kapal/perahu bermotor/alat berat/mesin yang menjadi kesatuan dengan tanah  disertai dengan bukti kepemilikan tanpa diikat dengan hipotek/fidusia </t>
  </si>
  <si>
    <t>Kab. Batanghari</t>
  </si>
  <si>
    <t>BANK ASTRIA RAYA</t>
  </si>
  <si>
    <t>538</t>
  </si>
  <si>
    <t>MS</t>
  </si>
  <si>
    <t>Montserrat</t>
  </si>
  <si>
    <t>Non Likuid : Bagian dana yang dijamin oleh BUMN/BUMD</t>
  </si>
  <si>
    <t>214</t>
  </si>
  <si>
    <t>Kab. Sarolangun</t>
  </si>
  <si>
    <t>BANK CITRAHASTA DHANAMANUNGGAL</t>
  </si>
  <si>
    <t>563</t>
  </si>
  <si>
    <t>MA</t>
  </si>
  <si>
    <t>Morocco</t>
  </si>
  <si>
    <t>Non Likuid : Lainnya</t>
  </si>
  <si>
    <t>Kab. Kerinci</t>
  </si>
  <si>
    <t>BANK DWIPA SEMESTA</t>
  </si>
  <si>
    <t>519</t>
  </si>
  <si>
    <t>MZ</t>
  </si>
  <si>
    <t>Mozambique</t>
  </si>
  <si>
    <t>Non Likuid: Agunan lainnya yang dinilai 1 tahun terakhir oleh penilai independen</t>
  </si>
  <si>
    <t>Kab. Muaro Jambi</t>
  </si>
  <si>
    <t>BANK GUNA INTERNASIONAL</t>
  </si>
  <si>
    <t>155</t>
  </si>
  <si>
    <t>MM</t>
  </si>
  <si>
    <t>Myanmar</t>
  </si>
  <si>
    <t>Form 03</t>
  </si>
  <si>
    <t>Kab. Tanjung Jabung Barat</t>
  </si>
  <si>
    <t>BANK HARAPAN SENTOSA</t>
  </si>
  <si>
    <t>096</t>
  </si>
  <si>
    <t>NA</t>
  </si>
  <si>
    <t>Namibia</t>
  </si>
  <si>
    <t>Nama Mata Uang</t>
  </si>
  <si>
    <t>Kab. Tanjung Jabung Timur</t>
  </si>
  <si>
    <t>BANK INDUSTRI</t>
  </si>
  <si>
    <t>160</t>
  </si>
  <si>
    <t>NR</t>
  </si>
  <si>
    <t>Nauru</t>
  </si>
  <si>
    <t>Afghanistan Afghani</t>
  </si>
  <si>
    <t>AFN</t>
  </si>
  <si>
    <t>Kab. Tebo</t>
  </si>
  <si>
    <t>BANK JAKARTA</t>
  </si>
  <si>
    <t>332</t>
  </si>
  <si>
    <t>Nepal</t>
  </si>
  <si>
    <t>Albanian Lek</t>
  </si>
  <si>
    <t>ALL</t>
  </si>
  <si>
    <t>Kab. Merangin</t>
  </si>
  <si>
    <t>BANK KOSAGRAHA SEMESTA</t>
  </si>
  <si>
    <t>534</t>
  </si>
  <si>
    <t>NL</t>
  </si>
  <si>
    <t>Netherlands (the)</t>
  </si>
  <si>
    <t>Algerian Dinar</t>
  </si>
  <si>
    <t>DZD</t>
  </si>
  <si>
    <t>Kab. Bungo</t>
  </si>
  <si>
    <t>BANK MATARAM DHANARTA</t>
  </si>
  <si>
    <t>545</t>
  </si>
  <si>
    <t>NC</t>
  </si>
  <si>
    <t>New Caledonia</t>
  </si>
  <si>
    <t>US Dollar</t>
  </si>
  <si>
    <t>USD</t>
  </si>
  <si>
    <t>Kota Jambi</t>
  </si>
  <si>
    <t>BANK UMUM MAJAPAHIT JAYA</t>
  </si>
  <si>
    <t>413</t>
  </si>
  <si>
    <t>NZ</t>
  </si>
  <si>
    <t>New Zealand</t>
  </si>
  <si>
    <t>Andorran Peseta</t>
  </si>
  <si>
    <t>ADP</t>
  </si>
  <si>
    <t>Kota Sungai Penuh</t>
  </si>
  <si>
    <t>SEJAHTERA BANK UMUM</t>
  </si>
  <si>
    <t>071</t>
  </si>
  <si>
    <t>NI</t>
  </si>
  <si>
    <t>Nicaragua</t>
  </si>
  <si>
    <t>French Franc</t>
  </si>
  <si>
    <t>FRF</t>
  </si>
  <si>
    <t>SOUTH EAST ASIA BANK</t>
  </si>
  <si>
    <t>399</t>
  </si>
  <si>
    <t>NU</t>
  </si>
  <si>
    <t>Niue</t>
  </si>
  <si>
    <t>Spanish Peseta</t>
  </si>
  <si>
    <t>ESO</t>
  </si>
  <si>
    <t>Provinsi Nanggroe Aceh Darussalam</t>
  </si>
  <si>
    <t>BANK DAGANG NASIONAL INDONESIA</t>
  </si>
  <si>
    <t>012</t>
  </si>
  <si>
    <t>NE</t>
  </si>
  <si>
    <t>Niger (the)</t>
  </si>
  <si>
    <t>Angokan Kwanza</t>
  </si>
  <si>
    <t>AOA</t>
  </si>
  <si>
    <t>Kab. Aceh Besar</t>
  </si>
  <si>
    <t>BANK DEKA</t>
  </si>
  <si>
    <t>528</t>
  </si>
  <si>
    <t>NG</t>
  </si>
  <si>
    <t>Nigeria</t>
  </si>
  <si>
    <t>East Caribbean Dollar</t>
  </si>
  <si>
    <t>XCD</t>
  </si>
  <si>
    <t>Kab. Pidie</t>
  </si>
  <si>
    <t>BANK HOKINDO</t>
  </si>
  <si>
    <t>505</t>
  </si>
  <si>
    <t>NF</t>
  </si>
  <si>
    <t>Norfolk Island</t>
  </si>
  <si>
    <t>Norwegian Krone</t>
  </si>
  <si>
    <t>NOK</t>
  </si>
  <si>
    <t>Kab. Aceh Utara</t>
  </si>
  <si>
    <t>BANK KREDIT ASIA (ISTIMARAT)</t>
  </si>
  <si>
    <t>522</t>
  </si>
  <si>
    <t>MP</t>
  </si>
  <si>
    <t>Northern Mariana Islands (the)</t>
  </si>
  <si>
    <t>Argentine Peso</t>
  </si>
  <si>
    <t>ARS</t>
  </si>
  <si>
    <t>Kab. Aceh Timur</t>
  </si>
  <si>
    <t>BANK UMUM NASIONAL (BUN)</t>
  </si>
  <si>
    <t>010</t>
  </si>
  <si>
    <t>NO</t>
  </si>
  <si>
    <t>Norway</t>
  </si>
  <si>
    <t>Armenia Dram</t>
  </si>
  <si>
    <t>AMD</t>
  </si>
  <si>
    <t>Kab. Aceh Selatan</t>
  </si>
  <si>
    <t>BANK SUBENTRA</t>
  </si>
  <si>
    <t>082</t>
  </si>
  <si>
    <t>OM</t>
  </si>
  <si>
    <t>Oman</t>
  </si>
  <si>
    <t>Aruban Guider</t>
  </si>
  <si>
    <t>AWG</t>
  </si>
  <si>
    <t>Kab. Aceh Barat</t>
  </si>
  <si>
    <t>BANK SURYA</t>
  </si>
  <si>
    <t>029</t>
  </si>
  <si>
    <t>PK</t>
  </si>
  <si>
    <t>Pakistan</t>
  </si>
  <si>
    <t>Australian Dollar</t>
  </si>
  <si>
    <t>AUD</t>
  </si>
  <si>
    <t>Kab. Aceh Tengah</t>
  </si>
  <si>
    <t>BANK PELITA</t>
  </si>
  <si>
    <t>081</t>
  </si>
  <si>
    <t>PW</t>
  </si>
  <si>
    <t>Palau</t>
  </si>
  <si>
    <t>Asutrian Schilling</t>
  </si>
  <si>
    <t>ATS</t>
  </si>
  <si>
    <t>Kab. Aceh Tenggara</t>
  </si>
  <si>
    <t>BANK MODERN</t>
  </si>
  <si>
    <t>084</t>
  </si>
  <si>
    <t>PA</t>
  </si>
  <si>
    <t>Panama</t>
  </si>
  <si>
    <t>Azerbaijan Mant</t>
  </si>
  <si>
    <t>AZM</t>
  </si>
  <si>
    <t>Kab. Aceh Singkil</t>
  </si>
  <si>
    <t>BANK CENTRIS INTERNASIONAL</t>
  </si>
  <si>
    <t>551</t>
  </si>
  <si>
    <t>PG</t>
  </si>
  <si>
    <t>Papua New Guinea</t>
  </si>
  <si>
    <t>Bahamas Dollar</t>
  </si>
  <si>
    <t>BSD</t>
  </si>
  <si>
    <t>Kab. Aceh Jeumpa/Bireuen</t>
  </si>
  <si>
    <t>BANK AKEN</t>
  </si>
  <si>
    <t>476</t>
  </si>
  <si>
    <t>PY</t>
  </si>
  <si>
    <t>Paraguay</t>
  </si>
  <si>
    <t>Bahraini Dinar</t>
  </si>
  <si>
    <t>BHD</t>
  </si>
  <si>
    <t>Kab. Aceh Tamiang</t>
  </si>
  <si>
    <t>BANK ALFA</t>
  </si>
  <si>
    <t>510</t>
  </si>
  <si>
    <t>PE</t>
  </si>
  <si>
    <t>Peru</t>
  </si>
  <si>
    <t>Bangladesh Taka</t>
  </si>
  <si>
    <t>BDT</t>
  </si>
  <si>
    <t>Kab. Gayo Luwes</t>
  </si>
  <si>
    <t>BANK ARYA PANDUARTA</t>
  </si>
  <si>
    <t>388</t>
  </si>
  <si>
    <t>PH</t>
  </si>
  <si>
    <t>Philippines (the)</t>
  </si>
  <si>
    <t>Bardados Dollar</t>
  </si>
  <si>
    <t>BBD</t>
  </si>
  <si>
    <t>Kab. Aceh Barat Daya</t>
  </si>
  <si>
    <t>BANK ASIA PASIFIC (ASPAC BANK)</t>
  </si>
  <si>
    <t>074</t>
  </si>
  <si>
    <t>PN</t>
  </si>
  <si>
    <t>Pitcairn</t>
  </si>
  <si>
    <t>Belarus Rouble</t>
  </si>
  <si>
    <t>BYR</t>
  </si>
  <si>
    <t>Kab. Aceh Jaya</t>
  </si>
  <si>
    <t>BANK BAHARI</t>
  </si>
  <si>
    <t>078</t>
  </si>
  <si>
    <t>PL</t>
  </si>
  <si>
    <t>Poland</t>
  </si>
  <si>
    <t>Belgian Franc</t>
  </si>
  <si>
    <t>BEF</t>
  </si>
  <si>
    <t>Kab. Nagan Raya</t>
  </si>
  <si>
    <t>BANK BAJA INTERNASIONAL</t>
  </si>
  <si>
    <t>165</t>
  </si>
  <si>
    <t>PT</t>
  </si>
  <si>
    <t>Portugal</t>
  </si>
  <si>
    <t>Belize Dollar</t>
  </si>
  <si>
    <t>BZD</t>
  </si>
  <si>
    <t>Kab. Aceh Simeuleu</t>
  </si>
  <si>
    <t>BANK BEPEDE INDONESIA</t>
  </si>
  <si>
    <t>550</t>
  </si>
  <si>
    <t>PR</t>
  </si>
  <si>
    <t>Puerto Rico</t>
  </si>
  <si>
    <t>CFA Franc BCEAO</t>
  </si>
  <si>
    <t>XOF</t>
  </si>
  <si>
    <t>Kab. Bener Meriah</t>
  </si>
  <si>
    <t>BANK BUDI INTERNASIONAL</t>
  </si>
  <si>
    <t>561</t>
  </si>
  <si>
    <t>QA</t>
  </si>
  <si>
    <t>Qatar</t>
  </si>
  <si>
    <t>Bermudian Dollar</t>
  </si>
  <si>
    <t>BMD</t>
  </si>
  <si>
    <t>Kab. Pidie Jaya</t>
  </si>
  <si>
    <t>BANK BUMI RAYA UTAMA</t>
  </si>
  <si>
    <t>556</t>
  </si>
  <si>
    <t>RE</t>
  </si>
  <si>
    <t>Réunion</t>
  </si>
  <si>
    <t>Indian Rupee</t>
  </si>
  <si>
    <t>INR</t>
  </si>
  <si>
    <t>Kab. Subulussalam</t>
  </si>
  <si>
    <t>BANK CENTRAL DAGANG</t>
  </si>
  <si>
    <t>018</t>
  </si>
  <si>
    <t>RO</t>
  </si>
  <si>
    <t>Romania</t>
  </si>
  <si>
    <t>Bhutan Ngultrum</t>
  </si>
  <si>
    <t>BTN</t>
  </si>
  <si>
    <t>Kota Banda Aceh</t>
  </si>
  <si>
    <t>BANK CIPUTRA</t>
  </si>
  <si>
    <t>549</t>
  </si>
  <si>
    <t>RU</t>
  </si>
  <si>
    <t>Russian Federation (the)</t>
  </si>
  <si>
    <t>Bolivian Boliviano</t>
  </si>
  <si>
    <t>BOB</t>
  </si>
  <si>
    <t>Kota Sabang</t>
  </si>
  <si>
    <t>BANK CITRA MAKMUR ASIA (eks. YAMA BANK)</t>
  </si>
  <si>
    <t>140</t>
  </si>
  <si>
    <t>RW</t>
  </si>
  <si>
    <t>Rwanda</t>
  </si>
  <si>
    <t>Bosnia-Herze Conv Marka</t>
  </si>
  <si>
    <t>BAM</t>
  </si>
  <si>
    <t>Kota Lhokseumawe</t>
  </si>
  <si>
    <t>BANK DAGANG DAN INDUSTRI</t>
  </si>
  <si>
    <t>148</t>
  </si>
  <si>
    <t>LC</t>
  </si>
  <si>
    <t>Saint Lucia</t>
  </si>
  <si>
    <t>Botswana Pula</t>
  </si>
  <si>
    <t>BWP</t>
  </si>
  <si>
    <t>Kota Langsa</t>
  </si>
  <si>
    <t>BANK DANA ASIA</t>
  </si>
  <si>
    <t>455</t>
  </si>
  <si>
    <t>WS</t>
  </si>
  <si>
    <t>Samoa</t>
  </si>
  <si>
    <t>Brazilian Real</t>
  </si>
  <si>
    <t>BRL</t>
  </si>
  <si>
    <t>BANK DANA HUTAMA</t>
  </si>
  <si>
    <t>500</t>
  </si>
  <si>
    <t>SM</t>
  </si>
  <si>
    <t>San Marino</t>
  </si>
  <si>
    <t>Pound Sterling (United Kingdom Pound)</t>
  </si>
  <si>
    <t>GBP</t>
  </si>
  <si>
    <t>Provinsi Sumatera Utara</t>
  </si>
  <si>
    <t>BANK DEWA RUTJI</t>
  </si>
  <si>
    <t>329</t>
  </si>
  <si>
    <t>ST</t>
  </si>
  <si>
    <t>Sao Tome and Principe</t>
  </si>
  <si>
    <t>Seychelles Rupee</t>
  </si>
  <si>
    <t>SCR</t>
  </si>
  <si>
    <t>Kab. Deli Serdang</t>
  </si>
  <si>
    <t>BANK DHARMALA</t>
  </si>
  <si>
    <t>098</t>
  </si>
  <si>
    <t>SA</t>
  </si>
  <si>
    <t>Saudi Arabia</t>
  </si>
  <si>
    <t>Brunei Dollar</t>
  </si>
  <si>
    <t>BND</t>
  </si>
  <si>
    <t>Kab. Langkat</t>
  </si>
  <si>
    <t>BANK FIRST INDONESIA FINANCE AND INVESTMENT CORPORATION (FICORINVEST)</t>
  </si>
  <si>
    <t>092</t>
  </si>
  <si>
    <t>SN</t>
  </si>
  <si>
    <t>Senegal</t>
  </si>
  <si>
    <t>Bulgarian  Lev</t>
  </si>
  <si>
    <t>BEN</t>
  </si>
  <si>
    <t>Kab. Karo</t>
  </si>
  <si>
    <t>BANK HASTIN INTERNASIONAL</t>
  </si>
  <si>
    <t>149</t>
  </si>
  <si>
    <t>SC</t>
  </si>
  <si>
    <t>Seychelles</t>
  </si>
  <si>
    <t>Burundi Franc</t>
  </si>
  <si>
    <t>BIF</t>
  </si>
  <si>
    <t>Kab. Simalungun</t>
  </si>
  <si>
    <t>BANK INDOMITRA DEVELOPMENT (INDOTRADE BANK)</t>
  </si>
  <si>
    <t>560</t>
  </si>
  <si>
    <t>SL</t>
  </si>
  <si>
    <t>Sierra Leone</t>
  </si>
  <si>
    <t>Cambodia Riel</t>
  </si>
  <si>
    <t>KHR</t>
  </si>
  <si>
    <t>Kab. Labuhan Batu</t>
  </si>
  <si>
    <t>BANK INDONESIA RAYA</t>
  </si>
  <si>
    <t>099</t>
  </si>
  <si>
    <t>SG</t>
  </si>
  <si>
    <t>Singapore</t>
  </si>
  <si>
    <t>Franc de  la Communaute finaniere Africaine</t>
  </si>
  <si>
    <t>XAF</t>
  </si>
  <si>
    <t>Kab. Asahan</t>
  </si>
  <si>
    <t>BANK INVESTMENT INTERNASIONAL (INDOVEST)</t>
  </si>
  <si>
    <t>066</t>
  </si>
  <si>
    <t>SK</t>
  </si>
  <si>
    <t>Slovakia</t>
  </si>
  <si>
    <t>Chilean Peso</t>
  </si>
  <si>
    <t>CLP</t>
  </si>
  <si>
    <t>Kab. Dairi</t>
  </si>
  <si>
    <t>BANK INTAN</t>
  </si>
  <si>
    <t>367</t>
  </si>
  <si>
    <t>SI</t>
  </si>
  <si>
    <t>Slovenia</t>
  </si>
  <si>
    <t>Chilean Fomento</t>
  </si>
  <si>
    <t>CLF</t>
  </si>
  <si>
    <t>Kab. Tapanuli Utara</t>
  </si>
  <si>
    <t>BANK KHARISMA</t>
  </si>
  <si>
    <t>142</t>
  </si>
  <si>
    <t>SB</t>
  </si>
  <si>
    <t>Solomon Islands</t>
  </si>
  <si>
    <t>China Renminbi</t>
  </si>
  <si>
    <t>CNY</t>
  </si>
  <si>
    <t>Kab. Tapanuli Tengah</t>
  </si>
  <si>
    <t>BANK LAUTAN BERLIAN</t>
  </si>
  <si>
    <t>141</t>
  </si>
  <si>
    <t>SO</t>
  </si>
  <si>
    <t>Somalia</t>
  </si>
  <si>
    <t>China Offshore Yuan</t>
  </si>
  <si>
    <t>CNH</t>
  </si>
  <si>
    <t>Kab. Tapanuli Selatan</t>
  </si>
  <si>
    <t>BANK MASHILL UTAMA</t>
  </si>
  <si>
    <t>083</t>
  </si>
  <si>
    <t>ZA</t>
  </si>
  <si>
    <t>South Africa</t>
  </si>
  <si>
    <t>Colombian Peso</t>
  </si>
  <si>
    <t>COP</t>
  </si>
  <si>
    <t>Kab. Nias</t>
  </si>
  <si>
    <t>BANK METROPOLITAN RAYA</t>
  </si>
  <si>
    <t>544</t>
  </si>
  <si>
    <t>GS</t>
  </si>
  <si>
    <t>South Georgia and the South Sandwich Islands</t>
  </si>
  <si>
    <t>Comoros Franc</t>
  </si>
  <si>
    <t>KMF</t>
  </si>
  <si>
    <t>Kab. Toba Samosir</t>
  </si>
  <si>
    <t>BANK NAMURA INTERNUSA</t>
  </si>
  <si>
    <t>143</t>
  </si>
  <si>
    <t>ES</t>
  </si>
  <si>
    <t>Spain</t>
  </si>
  <si>
    <t>Democratic Rep. Congo Franc</t>
  </si>
  <si>
    <t>CDF</t>
  </si>
  <si>
    <t>Kab. Mandailing Natal</t>
  </si>
  <si>
    <t>BANK ORIENT</t>
  </si>
  <si>
    <t>565</t>
  </si>
  <si>
    <t>LK</t>
  </si>
  <si>
    <t>Sri Lanka</t>
  </si>
  <si>
    <t>New Zealand Dollar</t>
  </si>
  <si>
    <t>NZD</t>
  </si>
  <si>
    <t>Kab. Nias Selatan</t>
  </si>
  <si>
    <t>BANK PAPAN SEJAHTERA</t>
  </si>
  <si>
    <t>094</t>
  </si>
  <si>
    <t>SH</t>
  </si>
  <si>
    <t>Saint Helena, Ascension and Tristan da Cunha</t>
  </si>
  <si>
    <t>Costa Rican Colon</t>
  </si>
  <si>
    <t>CRC</t>
  </si>
  <si>
    <t>Kab. Humbang Hasundutan</t>
  </si>
  <si>
    <t>BANK PESONA KRIYADANA</t>
  </si>
  <si>
    <t>024</t>
  </si>
  <si>
    <t>KN</t>
  </si>
  <si>
    <t>Saint Kitts and Nevis</t>
  </si>
  <si>
    <t>Croatian Kuna</t>
  </si>
  <si>
    <t>HRK</t>
  </si>
  <si>
    <t>Kab. Pakpak Bharat</t>
  </si>
  <si>
    <t>BANK PUTERA MULTIKARSA</t>
  </si>
  <si>
    <t>543</t>
  </si>
  <si>
    <t>PM</t>
  </si>
  <si>
    <t>Saint Pierre and Miquelon</t>
  </si>
  <si>
    <t>Cuban Peso</t>
  </si>
  <si>
    <t>CUP</t>
  </si>
  <si>
    <t>Kab. Samosir</t>
  </si>
  <si>
    <t>BANK PUTERA SURYA PERKASA</t>
  </si>
  <si>
    <t>163</t>
  </si>
  <si>
    <t>VC</t>
  </si>
  <si>
    <t>Saint Vincent and the Grenadines</t>
  </si>
  <si>
    <t>Cypriot Pound</t>
  </si>
  <si>
    <t>CYP</t>
  </si>
  <si>
    <t>Kab. Serdang Bedagai</t>
  </si>
  <si>
    <t>BANK SAHID GAJAH PERKASA</t>
  </si>
  <si>
    <t>150</t>
  </si>
  <si>
    <t>SD</t>
  </si>
  <si>
    <t>Sudan (the)</t>
  </si>
  <si>
    <t>Czech Koruna</t>
  </si>
  <si>
    <t>CZK</t>
  </si>
  <si>
    <t>Kab. Angkola Sipirok</t>
  </si>
  <si>
    <t>BANK SEMBADA ARTANUGROHO (SANHO BANK)</t>
  </si>
  <si>
    <t>557</t>
  </si>
  <si>
    <t>SR</t>
  </si>
  <si>
    <t>Suriname</t>
  </si>
  <si>
    <t>Danish Krone</t>
  </si>
  <si>
    <t>DKK</t>
  </si>
  <si>
    <t>Kab. Batu Bara</t>
  </si>
  <si>
    <t>BANK SEWU INTERNASIONAL</t>
  </si>
  <si>
    <t>514</t>
  </si>
  <si>
    <t>SJ</t>
  </si>
  <si>
    <t>Svalbard and Jan Mayen</t>
  </si>
  <si>
    <t>Djibouti Franc</t>
  </si>
  <si>
    <t>DJF</t>
  </si>
  <si>
    <t>Kab. Padang Lawas</t>
  </si>
  <si>
    <t>BANK SINO</t>
  </si>
  <si>
    <t>486</t>
  </si>
  <si>
    <t>SZ</t>
  </si>
  <si>
    <t>Eswatini</t>
  </si>
  <si>
    <t>Dominican Republic Peso</t>
  </si>
  <si>
    <t>DOP</t>
  </si>
  <si>
    <t>Kab. Padang Lawas Utara</t>
  </si>
  <si>
    <t>BANK TATA INTERNATIONAL</t>
  </si>
  <si>
    <t>154</t>
  </si>
  <si>
    <t>SE</t>
  </si>
  <si>
    <t>Sweden</t>
  </si>
  <si>
    <t>Ecuaderean Sucre</t>
  </si>
  <si>
    <t>ECS</t>
  </si>
  <si>
    <t>Kab. Labuhanbatu Selatan</t>
  </si>
  <si>
    <t>BANK UMUM SERVITIA</t>
  </si>
  <si>
    <t>086</t>
  </si>
  <si>
    <t>CH</t>
  </si>
  <si>
    <t>Switzerland</t>
  </si>
  <si>
    <t>Egyptian Pound</t>
  </si>
  <si>
    <t>EGP</t>
  </si>
  <si>
    <t>Kab. Labuhanbatu Utara</t>
  </si>
  <si>
    <t>BANK USAHA PEMBIAYAAN PEMBANGUNAN INDONESIA (UPPINDO)</t>
  </si>
  <si>
    <t>065</t>
  </si>
  <si>
    <t>SY</t>
  </si>
  <si>
    <t>Syrian Arab Republic</t>
  </si>
  <si>
    <t>El Savador Colon</t>
  </si>
  <si>
    <t>SVC</t>
  </si>
  <si>
    <t>Kab. Nias Barat</t>
  </si>
  <si>
    <t>BANK PERKREDITAN RAKYAT (BPR)</t>
  </si>
  <si>
    <t>600</t>
  </si>
  <si>
    <t>TW</t>
  </si>
  <si>
    <t>Taiwan (Province of China)</t>
  </si>
  <si>
    <t>Eritreian Nakfa</t>
  </si>
  <si>
    <t>ERN</t>
  </si>
  <si>
    <t>Kab. Nias Utara</t>
  </si>
  <si>
    <t>BANK PERKREDITAN RAKYAT SYARIAH (BPRS)</t>
  </si>
  <si>
    <t>601</t>
  </si>
  <si>
    <t>TJ</t>
  </si>
  <si>
    <t>Tajikistan</t>
  </si>
  <si>
    <t>Estonian Kroon</t>
  </si>
  <si>
    <t>EEK</t>
  </si>
  <si>
    <t>Kota Tebing Tinggi</t>
  </si>
  <si>
    <t>PT. BPR Jawa Timur</t>
  </si>
  <si>
    <t>TZ</t>
  </si>
  <si>
    <t>Tanzania, United Republic of</t>
  </si>
  <si>
    <t>Ethiopian Birr</t>
  </si>
  <si>
    <t>ETB</t>
  </si>
  <si>
    <t>Kota Binjai</t>
  </si>
  <si>
    <t>PT. BPR Anugrah Swakerta</t>
  </si>
  <si>
    <t>TH</t>
  </si>
  <si>
    <t>Thailand</t>
  </si>
  <si>
    <t>European Community</t>
  </si>
  <si>
    <t>EUR</t>
  </si>
  <si>
    <t>Kota Pematang Siantar</t>
  </si>
  <si>
    <t>PT. BPR Shinta Putra Pengasih</t>
  </si>
  <si>
    <t>TL</t>
  </si>
  <si>
    <t>Timor-Leste</t>
  </si>
  <si>
    <t>Falkland Islandss Pound</t>
  </si>
  <si>
    <t>FKP</t>
  </si>
  <si>
    <t>Kota Tanjung Balai</t>
  </si>
  <si>
    <t>PT. BPR Tandu Artha</t>
  </si>
  <si>
    <t>TK</t>
  </si>
  <si>
    <t>Tokelau</t>
  </si>
  <si>
    <t>Fiji Dollar</t>
  </si>
  <si>
    <t>FJD</t>
  </si>
  <si>
    <t>Kota Sibolga</t>
  </si>
  <si>
    <t>PT BPR Narwastu Mikro Perkasa</t>
  </si>
  <si>
    <t>TO</t>
  </si>
  <si>
    <t>Tonga</t>
  </si>
  <si>
    <t>Finnis Markka</t>
  </si>
  <si>
    <t>FIM</t>
  </si>
  <si>
    <t>Kota Medan</t>
  </si>
  <si>
    <t>PT. BPR Cikarang Raharja</t>
  </si>
  <si>
    <t>TT</t>
  </si>
  <si>
    <t>Trinidad and Tobago</t>
  </si>
  <si>
    <t>Franc Pacific Is.Fran</t>
  </si>
  <si>
    <t>XPF</t>
  </si>
  <si>
    <t>Kota Padang Sidempuan</t>
  </si>
  <si>
    <t>PT. BPR Pesona Letris Pratama</t>
  </si>
  <si>
    <t>TN</t>
  </si>
  <si>
    <t>Tunisia</t>
  </si>
  <si>
    <t>Gambian Dalasi</t>
  </si>
  <si>
    <t>GMD</t>
  </si>
  <si>
    <t>Kab/Kota Lainnya</t>
  </si>
  <si>
    <t>PT. BPR Citra Ladon Rahardja</t>
  </si>
  <si>
    <t>TR</t>
  </si>
  <si>
    <t>Turkey</t>
  </si>
  <si>
    <t>Georgian Lari</t>
  </si>
  <si>
    <t>GEL</t>
  </si>
  <si>
    <t>Provinsi Sumatera Barat</t>
  </si>
  <si>
    <t>PT. BPR Dana Usaha</t>
  </si>
  <si>
    <t>TM</t>
  </si>
  <si>
    <t>Turkmenistan</t>
  </si>
  <si>
    <t>Geerman Mark</t>
  </si>
  <si>
    <t>DEM</t>
  </si>
  <si>
    <t>Kab. Agam</t>
  </si>
  <si>
    <t>PT. BPR Bumiasih NBP 22 d/h Muara NBP</t>
  </si>
  <si>
    <t>TC</t>
  </si>
  <si>
    <t>Turks and Caicos Islands (the)</t>
  </si>
  <si>
    <t>Ghana Cedi</t>
  </si>
  <si>
    <t>GHC</t>
  </si>
  <si>
    <t>Kab. Pasaman</t>
  </si>
  <si>
    <t>PT. BPR Daya Arta</t>
  </si>
  <si>
    <t>TV</t>
  </si>
  <si>
    <t>Tuvalu</t>
  </si>
  <si>
    <t>Gibraltar Pound</t>
  </si>
  <si>
    <t>GIP</t>
  </si>
  <si>
    <t>Kab. Limapuluh Koto</t>
  </si>
  <si>
    <t>PT. BPR Bumiasih NBP 24 d/h Onang Hasang</t>
  </si>
  <si>
    <t>UG</t>
  </si>
  <si>
    <t>Uganda</t>
  </si>
  <si>
    <t>Guatemala Quetzal</t>
  </si>
  <si>
    <t>GTQ</t>
  </si>
  <si>
    <t>Kab. Solok Selatan</t>
  </si>
  <si>
    <t>PT. BPR Muliatama Dananjaya</t>
  </si>
  <si>
    <t>UA</t>
  </si>
  <si>
    <t>Ukraine</t>
  </si>
  <si>
    <t>Guinea Franc</t>
  </si>
  <si>
    <t>GNF</t>
  </si>
  <si>
    <t>Kab. Padang Pariaman</t>
  </si>
  <si>
    <t>PT. BPR Panasayu Arthalayan Sejahtera</t>
  </si>
  <si>
    <t>AE</t>
  </si>
  <si>
    <t>United Arab Emirates (the)</t>
  </si>
  <si>
    <t>Guyana Dollar</t>
  </si>
  <si>
    <t>GYD</t>
  </si>
  <si>
    <t>Kab. Pesisir Selatan</t>
  </si>
  <si>
    <t>PT. BPR Siraya Karya Bakti</t>
  </si>
  <si>
    <t>GB</t>
  </si>
  <si>
    <t>United Kingdom of Great Britain and Northern Ireland (the)</t>
  </si>
  <si>
    <t>Haiti Gourde</t>
  </si>
  <si>
    <t>HTG</t>
  </si>
  <si>
    <t>Kab. Tanah Datar</t>
  </si>
  <si>
    <t>PT. BPR Akasia Mas</t>
  </si>
  <si>
    <t>US</t>
  </si>
  <si>
    <t>United States of America (the)</t>
  </si>
  <si>
    <t>Honduras Lempira</t>
  </si>
  <si>
    <t>HNL</t>
  </si>
  <si>
    <t>Kab. Sawahlunto/Sijunjung</t>
  </si>
  <si>
    <t>PT. BPR Nusantara Bona Pasogit 25</t>
  </si>
  <si>
    <t>UY</t>
  </si>
  <si>
    <t>Uruguay</t>
  </si>
  <si>
    <t>Hong Kong  Dollar</t>
  </si>
  <si>
    <t>HKD</t>
  </si>
  <si>
    <t>Kab. Kepulauan Mentawai</t>
  </si>
  <si>
    <t>PD. BPR BP Kota Bogor</t>
  </si>
  <si>
    <t>UM</t>
  </si>
  <si>
    <t>United States Minor Outlying Islands (the)</t>
  </si>
  <si>
    <t>Hungarian Forint</t>
  </si>
  <si>
    <t>HUF</t>
  </si>
  <si>
    <t>Kab. Pasaman Barat</t>
  </si>
  <si>
    <t>PT. BPR Marcorindo Perdana</t>
  </si>
  <si>
    <t>UZ</t>
  </si>
  <si>
    <t>Uzbekistan</t>
  </si>
  <si>
    <t>Icelandic Krona</t>
  </si>
  <si>
    <t>ISK</t>
  </si>
  <si>
    <t>Kab. Dharmasraya</t>
  </si>
  <si>
    <t>PT. BPR Mora</t>
  </si>
  <si>
    <t>VU</t>
  </si>
  <si>
    <t>Vanuatu</t>
  </si>
  <si>
    <t>Indonesian Rupiah</t>
  </si>
  <si>
    <t>IDR</t>
  </si>
  <si>
    <t>Kab. Solok</t>
  </si>
  <si>
    <t>PT. BPR Mulya Arta</t>
  </si>
  <si>
    <t>VA</t>
  </si>
  <si>
    <t>Holy See (the)</t>
  </si>
  <si>
    <t>Iranian Rial</t>
  </si>
  <si>
    <t>IRR</t>
  </si>
  <si>
    <t>Kota Bukittinggi</t>
  </si>
  <si>
    <t>PT. BPR Swadaya Tunggal d/h Nusantara</t>
  </si>
  <si>
    <t>VE</t>
  </si>
  <si>
    <t>Venezuela (Bolivarian Republic of)</t>
  </si>
  <si>
    <t>Iraqi Dinar</t>
  </si>
  <si>
    <t>IQD</t>
  </si>
  <si>
    <t>Kota Padang</t>
  </si>
  <si>
    <t>PT BPR Adipura Santosa</t>
  </si>
  <si>
    <t>VN</t>
  </si>
  <si>
    <t>Viet Nam</t>
  </si>
  <si>
    <t>Irish Punt</t>
  </si>
  <si>
    <t>IEP</t>
  </si>
  <si>
    <t>Kota Sawahlunto</t>
  </si>
  <si>
    <t>PT. BPR Ghadira Danamulia</t>
  </si>
  <si>
    <t>VG</t>
  </si>
  <si>
    <t>Virgin Islands (British)</t>
  </si>
  <si>
    <t>Israeli Shekel</t>
  </si>
  <si>
    <t>ILS</t>
  </si>
  <si>
    <t>Kota Padang Panjang</t>
  </si>
  <si>
    <t>PT. BPR Pandanaran Jaya</t>
  </si>
  <si>
    <t>VI</t>
  </si>
  <si>
    <t>Virgin Islands (U.S.)</t>
  </si>
  <si>
    <t>Italian Lira</t>
  </si>
  <si>
    <t>ITL</t>
  </si>
  <si>
    <t>Kota Solok</t>
  </si>
  <si>
    <t>PT. BPR Artha Bersama Sejahtera</t>
  </si>
  <si>
    <t>WF</t>
  </si>
  <si>
    <t>Wallis and Futuna</t>
  </si>
  <si>
    <t>Jamaican Dollar</t>
  </si>
  <si>
    <t>JMD</t>
  </si>
  <si>
    <t>Kota Payakumbuh</t>
  </si>
  <si>
    <t>PT. BPR Pantura Abadi</t>
  </si>
  <si>
    <t>EH</t>
  </si>
  <si>
    <t>Western Sahara</t>
  </si>
  <si>
    <t>Japanese Yen</t>
  </si>
  <si>
    <t>JPY</t>
  </si>
  <si>
    <t>Kota Pariaman</t>
  </si>
  <si>
    <t>PT. BPR Bringin Dana Sejahtera</t>
  </si>
  <si>
    <t>YE</t>
  </si>
  <si>
    <t>Yemen</t>
  </si>
  <si>
    <t>Jordanian Dinar</t>
  </si>
  <si>
    <t>JOD</t>
  </si>
  <si>
    <t>PT. BPR Polatama Kusuma</t>
  </si>
  <si>
    <t>ZM</t>
  </si>
  <si>
    <t>Zambia</t>
  </si>
  <si>
    <t>Kazakhstan Tenge</t>
  </si>
  <si>
    <t>KZT</t>
  </si>
  <si>
    <t>Provinsi Riau</t>
  </si>
  <si>
    <t>PT. BPR Pusaka Dana</t>
  </si>
  <si>
    <t>ZW</t>
  </si>
  <si>
    <t>Zimbabwe</t>
  </si>
  <si>
    <t>Kenyan Shilling</t>
  </si>
  <si>
    <t>KES</t>
  </si>
  <si>
    <t>Kab. Kampar</t>
  </si>
  <si>
    <t>PT. BPR Dana Multi Guna</t>
  </si>
  <si>
    <t>PS</t>
  </si>
  <si>
    <t>Palestine, State of</t>
  </si>
  <si>
    <t>Korean Won</t>
  </si>
  <si>
    <t>KRW</t>
  </si>
  <si>
    <t>Kab. Bengkalis</t>
  </si>
  <si>
    <t>PT BPR Puspitasari</t>
  </si>
  <si>
    <t>TG</t>
  </si>
  <si>
    <t>Togo</t>
  </si>
  <si>
    <t>North Korean Won</t>
  </si>
  <si>
    <t>KPW</t>
  </si>
  <si>
    <t>Kab. Indragiri Hulu</t>
  </si>
  <si>
    <t>PT. BPR Sanggabuana Agung</t>
  </si>
  <si>
    <t>GG</t>
  </si>
  <si>
    <t>Guernsey</t>
  </si>
  <si>
    <t>Kuwaiti Dinar</t>
  </si>
  <si>
    <t>KWD</t>
  </si>
  <si>
    <t>Kab. Indragiri Hilir</t>
  </si>
  <si>
    <t>PT BPR Kawan</t>
  </si>
  <si>
    <t>IM</t>
  </si>
  <si>
    <t>Isle of Man</t>
  </si>
  <si>
    <t>Kyrgyzstan Som</t>
  </si>
  <si>
    <t>KGS</t>
  </si>
  <si>
    <t>Kab. Rokan Hulu</t>
  </si>
  <si>
    <t>PT. BPR Anugerah Multi Dana</t>
  </si>
  <si>
    <t>JE</t>
  </si>
  <si>
    <t>Jersey</t>
  </si>
  <si>
    <t>Laos New Kip</t>
  </si>
  <si>
    <t>LAK</t>
  </si>
  <si>
    <t>Kab. Rokan Hilir</t>
  </si>
  <si>
    <t>PT. BPR Supradana Mas</t>
  </si>
  <si>
    <t>AX</t>
  </si>
  <si>
    <t>Åland Islands</t>
  </si>
  <si>
    <t>Latvian Lats</t>
  </si>
  <si>
    <t>LVL</t>
  </si>
  <si>
    <t>Kab. Pelalawan</t>
  </si>
  <si>
    <t>PT. BPR Binadana Swadaya</t>
  </si>
  <si>
    <t>CW</t>
  </si>
  <si>
    <t>Curaçao</t>
  </si>
  <si>
    <t>Lebanese Pound</t>
  </si>
  <si>
    <t>LBP</t>
  </si>
  <si>
    <t>Kab. Siak</t>
  </si>
  <si>
    <t>PT. BPR Tjandra Artha Lestari</t>
  </si>
  <si>
    <t>ME</t>
  </si>
  <si>
    <t>Montenegro</t>
  </si>
  <si>
    <t>Loti Lesatho</t>
  </si>
  <si>
    <t>LSL</t>
  </si>
  <si>
    <t>Kab. Kuantan Singingi</t>
  </si>
  <si>
    <t>PT. BPR Ragam Peranmandiri</t>
  </si>
  <si>
    <t>RS</t>
  </si>
  <si>
    <t>Serbia</t>
  </si>
  <si>
    <t>Liberian Dollar</t>
  </si>
  <si>
    <t>LRD</t>
  </si>
  <si>
    <t>Kab. Kepulauan Meranti</t>
  </si>
  <si>
    <t>PT BPR Multi Sembada Dana</t>
  </si>
  <si>
    <t>BL</t>
  </si>
  <si>
    <t>Saint Barthélemy</t>
  </si>
  <si>
    <t>Libyan Dinar</t>
  </si>
  <si>
    <t>LYD</t>
  </si>
  <si>
    <t>Kota Pekanbaru</t>
  </si>
  <si>
    <t>PT. BPR Gerbang Masa Depan</t>
  </si>
  <si>
    <t>MF</t>
  </si>
  <si>
    <t>Saint Martin (French part)</t>
  </si>
  <si>
    <t>Liechtenstein Franc</t>
  </si>
  <si>
    <t>CHF</t>
  </si>
  <si>
    <t>Kota Dumai</t>
  </si>
  <si>
    <t>PT. BPR Amal Bhakti Sejahtera</t>
  </si>
  <si>
    <t>SS</t>
  </si>
  <si>
    <t>South Sudan</t>
  </si>
  <si>
    <t>Lithuanian Litas</t>
  </si>
  <si>
    <t>LTL</t>
  </si>
  <si>
    <t>PT. BPR Kurnia Sewon</t>
  </si>
  <si>
    <t>BQ</t>
  </si>
  <si>
    <t>Bonaire, Sint Eustatius and Saba</t>
  </si>
  <si>
    <t>Luxembourg Franc</t>
  </si>
  <si>
    <t>LUF</t>
  </si>
  <si>
    <t>Provinsi Sumatera Selatan</t>
  </si>
  <si>
    <t>PD BPR Bank Daerah Bojonegoro</t>
  </si>
  <si>
    <t>SX</t>
  </si>
  <si>
    <t>Sint Maarten (Dutch part)</t>
  </si>
  <si>
    <t>Macau Pataca</t>
  </si>
  <si>
    <t>MOP</t>
  </si>
  <si>
    <t>Kab. Musi Banyuasin</t>
  </si>
  <si>
    <t>PT. BPR Ana Artha</t>
  </si>
  <si>
    <t>XK</t>
  </si>
  <si>
    <t>Republic of Kosovo</t>
  </si>
  <si>
    <t>Macedonian Denar</t>
  </si>
  <si>
    <t>MKD</t>
  </si>
  <si>
    <t>Kab. Ogan Komering Ulu</t>
  </si>
  <si>
    <t>PT. BPR Sum Adiyatra</t>
  </si>
  <si>
    <t>EU</t>
  </si>
  <si>
    <t>Madagascar Franc</t>
  </si>
  <si>
    <t>MGF</t>
  </si>
  <si>
    <t>Kab. Lematang Ilir Ogan Tengah (Muara Enim)</t>
  </si>
  <si>
    <t>PT. BPR Universal Sentosa</t>
  </si>
  <si>
    <t>Malawi Kwacha</t>
  </si>
  <si>
    <t>MWK</t>
  </si>
  <si>
    <t>Kab. Lahat</t>
  </si>
  <si>
    <t>PT. BPR Bhakti Riyadi Wedi</t>
  </si>
  <si>
    <t>Malaysian Ringgit</t>
  </si>
  <si>
    <t>MYR</t>
  </si>
  <si>
    <t>Kab. Musi Rawas</t>
  </si>
  <si>
    <t>PT. BPR Artha Selomanik Putra</t>
  </si>
  <si>
    <t>Maldives Rufiyaa</t>
  </si>
  <si>
    <t>MVR</t>
  </si>
  <si>
    <t>Kab. Ogan Komering Ilir</t>
  </si>
  <si>
    <t>PT BPR Universal Kalbar</t>
  </si>
  <si>
    <t>Malian Franc</t>
  </si>
  <si>
    <t>MLF</t>
  </si>
  <si>
    <t>Kab. Banyuasin</t>
  </si>
  <si>
    <t>PT BPR Sejahtera Artha Sembada</t>
  </si>
  <si>
    <t>Maltese Lira</t>
  </si>
  <si>
    <t>MTL</t>
  </si>
  <si>
    <t>Kab. Ogan Komeing Ulu Selatan</t>
  </si>
  <si>
    <t>PT. BPR Balongpanggang Sentosa</t>
  </si>
  <si>
    <t>Mauritania Ouguiya</t>
  </si>
  <si>
    <t>MRO</t>
  </si>
  <si>
    <t>Kab. Ogan Komeing Ulu Timur</t>
  </si>
  <si>
    <t>PT BPR Universal</t>
  </si>
  <si>
    <t>Maurutius Rupee</t>
  </si>
  <si>
    <t>MUR</t>
  </si>
  <si>
    <t>Kab. Ogan Ilir</t>
  </si>
  <si>
    <t>PT. BPR Binarta Luhur</t>
  </si>
  <si>
    <t>Mexican Peso</t>
  </si>
  <si>
    <t>MXN</t>
  </si>
  <si>
    <t>Kab. Empat Lawang</t>
  </si>
  <si>
    <t>PT. BPR Cibitung Permai</t>
  </si>
  <si>
    <t>Moldova Lei</t>
  </si>
  <si>
    <t>MDL</t>
  </si>
  <si>
    <t>Kota Palembang</t>
  </si>
  <si>
    <t>PT BPR Artha Daya</t>
  </si>
  <si>
    <t>Mongolia Tugrik</t>
  </si>
  <si>
    <t>MNT</t>
  </si>
  <si>
    <t>Kota Lubuklinggau</t>
  </si>
  <si>
    <t>PT. BPR Lumbung Mekar Sentosa</t>
  </si>
  <si>
    <t>Moroccan Dirham</t>
  </si>
  <si>
    <t>MAD</t>
  </si>
  <si>
    <t>Kota Prabumulih</t>
  </si>
  <si>
    <t>PT. BPR Prima Mertoyudan Sejahtera</t>
  </si>
  <si>
    <t>Mozambique Metical</t>
  </si>
  <si>
    <t>MZM</t>
  </si>
  <si>
    <t>Kota Pagar Alam</t>
  </si>
  <si>
    <t>PT. BPR Metropolitan Putra</t>
  </si>
  <si>
    <t>Myanmar Kyat</t>
  </si>
  <si>
    <t>MMK</t>
  </si>
  <si>
    <t>PT. BPR Dharma Pejuang Empat Lima</t>
  </si>
  <si>
    <t>Namibia Dollar</t>
  </si>
  <si>
    <t>NAD</t>
  </si>
  <si>
    <t>Provinsi Kepulauan Bangka Belitung</t>
  </si>
  <si>
    <t>PT. BPR Siwa Rahardja Utama</t>
  </si>
  <si>
    <t>Rand (South African Rand)</t>
  </si>
  <si>
    <t>ZAR</t>
  </si>
  <si>
    <t>Kab. Bangka</t>
  </si>
  <si>
    <t>PT. BPR Artaperdana Delta Sentosa</t>
  </si>
  <si>
    <t>Nepalese Rupee</t>
  </si>
  <si>
    <t>NPR</t>
  </si>
  <si>
    <t>Kab. Belitung</t>
  </si>
  <si>
    <t>PT. BPR Karunia Kanaka</t>
  </si>
  <si>
    <t>Netherlands Guilder/Gulden/Florin</t>
  </si>
  <si>
    <t>ANG</t>
  </si>
  <si>
    <t>Kab. Bangka Barat</t>
  </si>
  <si>
    <t>PT BPR Mega Karsa Mandiri</t>
  </si>
  <si>
    <t>Nigeria Naira</t>
  </si>
  <si>
    <t>NGN</t>
  </si>
  <si>
    <t>Kab. Bangka Selatan</t>
  </si>
  <si>
    <t>PT. BPR Gema Esamas Abadi</t>
  </si>
  <si>
    <t>Omani Rial</t>
  </si>
  <si>
    <t>OMR</t>
  </si>
  <si>
    <t>Kab. Bangka Tengah</t>
  </si>
  <si>
    <t>PT. BPR Hidup Arthagraha</t>
  </si>
  <si>
    <t>Pakistan Rupee</t>
  </si>
  <si>
    <t>PKR</t>
  </si>
  <si>
    <t>Kab. Belitung Timur</t>
  </si>
  <si>
    <t>PT. BPR Multi Tata Perkasa</t>
  </si>
  <si>
    <t>Panamanian Balboa</t>
  </si>
  <si>
    <t>PAB</t>
  </si>
  <si>
    <t>Kab. Bangka Belitung</t>
  </si>
  <si>
    <t>PT BPR Dana Mandiri Bogor</t>
  </si>
  <si>
    <t>Papua New Guinea Kina</t>
  </si>
  <si>
    <t>PGK</t>
  </si>
  <si>
    <t>Kota Pangkal Pinang</t>
  </si>
  <si>
    <t>PT. BPR Klaten Sejahtera</t>
  </si>
  <si>
    <t>Paraguayan Guarani</t>
  </si>
  <si>
    <t>PYG</t>
  </si>
  <si>
    <t>PT BPR Tunas Jaya Global</t>
  </si>
  <si>
    <t>Peruvian Nuevo</t>
  </si>
  <si>
    <t>PEN</t>
  </si>
  <si>
    <t>Provinsi Kepulauan Riau</t>
  </si>
  <si>
    <t>PT. BPR Tridharma Depok</t>
  </si>
  <si>
    <t>Philippines Peso</t>
  </si>
  <si>
    <t>PHP</t>
  </si>
  <si>
    <t>Kab. Karimun</t>
  </si>
  <si>
    <t>PT. BPR Phidectama Biak</t>
  </si>
  <si>
    <t>Polis  Zloty/New Zloty</t>
  </si>
  <si>
    <t>PLN</t>
  </si>
  <si>
    <t>Kab. Lingga</t>
  </si>
  <si>
    <t>PT. BPR Aneka Danaraya</t>
  </si>
  <si>
    <t>Portuguese Escudo</t>
  </si>
  <si>
    <t>PTE</t>
  </si>
  <si>
    <t>Kab. Natuna</t>
  </si>
  <si>
    <t>PT. BPR Duta Bali d/h Martabat Buana</t>
  </si>
  <si>
    <t>Qatari Rial</t>
  </si>
  <si>
    <t>QAR</t>
  </si>
  <si>
    <t>Kab. Bintan (d/h Kabupaten Kepulauan Riau)</t>
  </si>
  <si>
    <t>PT. BPR Langgeng Lestari Bersama</t>
  </si>
  <si>
    <t>Romanian Leu</t>
  </si>
  <si>
    <t>ROL</t>
  </si>
  <si>
    <t>Kab. Anambas</t>
  </si>
  <si>
    <t>PT. BPR Dana Niaga</t>
  </si>
  <si>
    <t>Russian Rouble</t>
  </si>
  <si>
    <t>RUB</t>
  </si>
  <si>
    <t>Kota Tanjung Pinang</t>
  </si>
  <si>
    <t>PT. BPR Suryamas</t>
  </si>
  <si>
    <t>Rwanda Franc</t>
  </si>
  <si>
    <t>RWF</t>
  </si>
  <si>
    <t>Kota Batam</t>
  </si>
  <si>
    <t>PT BPR Central International</t>
  </si>
  <si>
    <t>Samoan (West)  Tala</t>
  </si>
  <si>
    <t>WST</t>
  </si>
  <si>
    <t>PT. BPR Artha Huda Abadi</t>
  </si>
  <si>
    <t>Sao  Tome  Dobra</t>
  </si>
  <si>
    <t>STD</t>
  </si>
  <si>
    <t>Provinsi Lampung</t>
  </si>
  <si>
    <t>PT. BPR Hariarta Sedana</t>
  </si>
  <si>
    <t>Saudi Riyal</t>
  </si>
  <si>
    <t>SAR</t>
  </si>
  <si>
    <t>Kab. Lampung Selatan</t>
  </si>
  <si>
    <t>PT. BPR Ukabima Nindya Raharja</t>
  </si>
  <si>
    <t>Sierra Leone Leone</t>
  </si>
  <si>
    <t>SLL</t>
  </si>
  <si>
    <t>Kab. Lampung Tengah</t>
  </si>
  <si>
    <t>PT. BPR Menaramas Mitra</t>
  </si>
  <si>
    <t>Singapore Dollar</t>
  </si>
  <si>
    <t>SGD</t>
  </si>
  <si>
    <t>Kab. Lampung Utara</t>
  </si>
  <si>
    <t>PT. BPR Nusantara Bona Pasogit 16</t>
  </si>
  <si>
    <t>Slovakian Koruna</t>
  </si>
  <si>
    <t>SKK</t>
  </si>
  <si>
    <t>Kab. Lampung Barat</t>
  </si>
  <si>
    <t>PT. BPR Gita Makmur Utama</t>
  </si>
  <si>
    <t>Slovenia Tolar</t>
  </si>
  <si>
    <t>SIT</t>
  </si>
  <si>
    <t>Kab. Tulang Bawang</t>
  </si>
  <si>
    <t>PT. BPR Dana Rajabally</t>
  </si>
  <si>
    <t>Solomon Islands Dollar</t>
  </si>
  <si>
    <t>SBD</t>
  </si>
  <si>
    <t>Kab. Tanggamus</t>
  </si>
  <si>
    <t>PT. BPR Gajah Mungkur d/h Tunggal Dara</t>
  </si>
  <si>
    <t>Somali Schilling</t>
  </si>
  <si>
    <t>SOS</t>
  </si>
  <si>
    <t>Kab. Lampung Timur</t>
  </si>
  <si>
    <t>PT. BPR Artha Aceh Sejahtera</t>
  </si>
  <si>
    <t>Spanish Peseta (convertiable Peseta Acc)</t>
  </si>
  <si>
    <t>ESP</t>
  </si>
  <si>
    <t>Kab. Way Kanan</t>
  </si>
  <si>
    <t>PT. BPR Gebu Kujang Kinantan</t>
  </si>
  <si>
    <t>ESB</t>
  </si>
  <si>
    <t>Kab. Pesawaran</t>
  </si>
  <si>
    <t>PT. BPR Binadana Makmur</t>
  </si>
  <si>
    <t>Sri  Langka Rupee</t>
  </si>
  <si>
    <t>LKR</t>
  </si>
  <si>
    <t>Kab. Pringsewu</t>
  </si>
  <si>
    <t>PT. BPR Kedu Arthasetia</t>
  </si>
  <si>
    <t>St.  Helena Pound</t>
  </si>
  <si>
    <t>SHP</t>
  </si>
  <si>
    <t>Kab. Tulang Bawang Barat</t>
  </si>
  <si>
    <t>PT. BPR Sisibahari Dana</t>
  </si>
  <si>
    <t>Sudanese Pound</t>
  </si>
  <si>
    <t>SDP</t>
  </si>
  <si>
    <t>Kab. Mesuji</t>
  </si>
  <si>
    <t>PT. BPR Wirosari Ijo</t>
  </si>
  <si>
    <t>Sudanese Dinar</t>
  </si>
  <si>
    <t>SDD</t>
  </si>
  <si>
    <t>Kota Bandar Lampung</t>
  </si>
  <si>
    <t>PT. BPR Ardhie Gede</t>
  </si>
  <si>
    <t>Surinam Guilder</t>
  </si>
  <si>
    <t>SRG</t>
  </si>
  <si>
    <t>Kota Metro</t>
  </si>
  <si>
    <t>PT. BPR Pondok Meja Indah</t>
  </si>
  <si>
    <t>Surinam Dollar</t>
  </si>
  <si>
    <t>SRD</t>
  </si>
  <si>
    <t>PT. BPR Sowan Utama</t>
  </si>
  <si>
    <t>Swaziland Lilangeni</t>
  </si>
  <si>
    <t>SZL</t>
  </si>
  <si>
    <t>Provinsi Kalimantan Selatan</t>
  </si>
  <si>
    <t>PT. BPR Matahari Artadaya</t>
  </si>
  <si>
    <t>Swedish Krone</t>
  </si>
  <si>
    <t>SEK</t>
  </si>
  <si>
    <t>Kab. Banjar</t>
  </si>
  <si>
    <t>PT. BPR Antar Guna</t>
  </si>
  <si>
    <t>Syrian Pound</t>
  </si>
  <si>
    <t>SYP</t>
  </si>
  <si>
    <t>Kab. Tanah Laut</t>
  </si>
  <si>
    <t>PT. BPR Tri Harta Indah</t>
  </si>
  <si>
    <t>Taiwan Dollar</t>
  </si>
  <si>
    <t>TWD</t>
  </si>
  <si>
    <t>Kab. Tapin</t>
  </si>
  <si>
    <t>PT. BPR Jadi Manunggal Abadi</t>
  </si>
  <si>
    <t>Tajikistan Somoni</t>
  </si>
  <si>
    <t>TJS</t>
  </si>
  <si>
    <t>Kab. Hulu Sungai Selatan</t>
  </si>
  <si>
    <t>PT BPR DP Taspen</t>
  </si>
  <si>
    <t>Tanzanian Shilling</t>
  </si>
  <si>
    <t>TZS</t>
  </si>
  <si>
    <t>Kab. Hulu Sungai Tengah</t>
  </si>
  <si>
    <t>PT. BPR Dau Lestari</t>
  </si>
  <si>
    <t>Thai Bath</t>
  </si>
  <si>
    <t>THB</t>
  </si>
  <si>
    <t>Kab. Hulu Sungai Utara</t>
  </si>
  <si>
    <t>PT. BPR Pulau Intan Sejahtera</t>
  </si>
  <si>
    <t>Tonga Pa'anga</t>
  </si>
  <si>
    <t>TOP</t>
  </si>
  <si>
    <t>Kab. Barito Kuala</t>
  </si>
  <si>
    <t>PT. BPR Artha Jaya Citeureup</t>
  </si>
  <si>
    <t>Trinidad &amp; Tobago Dollar</t>
  </si>
  <si>
    <t>TTD</t>
  </si>
  <si>
    <t>Kab. Kota Baru</t>
  </si>
  <si>
    <t>PT. BPR Danamitra Surya</t>
  </si>
  <si>
    <t>Tunisian Dinar</t>
  </si>
  <si>
    <t>TND</t>
  </si>
  <si>
    <t>Kab. Tabalong</t>
  </si>
  <si>
    <t>PT. BPR Panca Danarakyat</t>
  </si>
  <si>
    <t>Turkish Lira</t>
  </si>
  <si>
    <t>TRY</t>
  </si>
  <si>
    <t>Kab.Tanah Bumbu</t>
  </si>
  <si>
    <t>PT. BPR Dau Anugerah</t>
  </si>
  <si>
    <t>Turkmenistan Manat</t>
  </si>
  <si>
    <t>TMM</t>
  </si>
  <si>
    <t>Kab. Balangan</t>
  </si>
  <si>
    <t>PT. BPR Artha Moro</t>
  </si>
  <si>
    <t>Ugandan Shilling</t>
  </si>
  <si>
    <t>UGX</t>
  </si>
  <si>
    <t>Kota Banjarmasin</t>
  </si>
  <si>
    <t>PT. BPR Artha Kurnia Raharja</t>
  </si>
  <si>
    <t>Ukrainian Hryvna</t>
  </si>
  <si>
    <t>UAH</t>
  </si>
  <si>
    <t>Kota Banjarbaru</t>
  </si>
  <si>
    <t>PT. BPR Cipta Dana Mulia</t>
  </si>
  <si>
    <t>UAE Dirham</t>
  </si>
  <si>
    <t>AED</t>
  </si>
  <si>
    <t>PT. BPR Tulus Puji Rejeki</t>
  </si>
  <si>
    <t>Uruguay Peso</t>
  </si>
  <si>
    <t>UYU</t>
  </si>
  <si>
    <t>Provinsi Kalimantan Barat</t>
  </si>
  <si>
    <t>PT. BPR Indoartha Bintang Mulia</t>
  </si>
  <si>
    <t>Uzbekistan Sum</t>
  </si>
  <si>
    <t>UZS</t>
  </si>
  <si>
    <t>Kab. Pontianak</t>
  </si>
  <si>
    <t>PT. BPR Centra Kreditama</t>
  </si>
  <si>
    <t>Vanuatu Vatu</t>
  </si>
  <si>
    <t>VUV</t>
  </si>
  <si>
    <t>Kab. Sambas</t>
  </si>
  <si>
    <t>PT. BPR Mandiri Dhanasejahtera</t>
  </si>
  <si>
    <t>Venezuelan Bolivar</t>
  </si>
  <si>
    <t>VEB</t>
  </si>
  <si>
    <t>Kab. Ketapang</t>
  </si>
  <si>
    <t>PT BPR Indomitra Artha Pertiwi</t>
  </si>
  <si>
    <t>Vietnam Dong</t>
  </si>
  <si>
    <t>VND</t>
  </si>
  <si>
    <t>Kab. Sanggau</t>
  </si>
  <si>
    <t>PT. BPR Artha Pamenang Wates</t>
  </si>
  <si>
    <t>Yemeni Rial</t>
  </si>
  <si>
    <t>YER</t>
  </si>
  <si>
    <t>Kab. Sintang</t>
  </si>
  <si>
    <t>PT. BPR Artha Sentana Hardja</t>
  </si>
  <si>
    <t>Yugoslav Dinar</t>
  </si>
  <si>
    <t>YUM</t>
  </si>
  <si>
    <t>Kab. Kapuas Hulu</t>
  </si>
  <si>
    <t>PT. BPR Artha Pamenang Warujayeng</t>
  </si>
  <si>
    <t>Greek Drachma</t>
  </si>
  <si>
    <t>GRD</t>
  </si>
  <si>
    <t>Kab. Bengkayang</t>
  </si>
  <si>
    <t>PT. BPR Teguh Ayusuastika</t>
  </si>
  <si>
    <t>Zambian Kwacha</t>
  </si>
  <si>
    <t>ZMK</t>
  </si>
  <si>
    <t>Kab. Landak</t>
  </si>
  <si>
    <t>PT. BPR Karya Kurnia Utama</t>
  </si>
  <si>
    <t>Zimbabwe Dollar</t>
  </si>
  <si>
    <t>ZWD</t>
  </si>
  <si>
    <t>Kab. Sekadau</t>
  </si>
  <si>
    <t>PT. BPR Puri Artha Pacitan</t>
  </si>
  <si>
    <t>Special Drawing Right</t>
  </si>
  <si>
    <t>XDR</t>
  </si>
  <si>
    <t>Kab. Melawi</t>
  </si>
  <si>
    <t>PT. BPR Arthaprima Danajasa</t>
  </si>
  <si>
    <t>Silver</t>
  </si>
  <si>
    <t>XAG</t>
  </si>
  <si>
    <t>Kab. Kayong Utara</t>
  </si>
  <si>
    <t>PT. BPR Binalanggeng Mulia</t>
  </si>
  <si>
    <t>Gold</t>
  </si>
  <si>
    <t>XAU</t>
  </si>
  <si>
    <t>Kab. Kubu Raya</t>
  </si>
  <si>
    <t>PT. BPR Olympindo Primadana</t>
  </si>
  <si>
    <t>Kota Pontianak</t>
  </si>
  <si>
    <t>PT. BPR Nusantara Bona Pasogit 34</t>
  </si>
  <si>
    <t>Form 04</t>
  </si>
  <si>
    <t>Kota Singkawang</t>
  </si>
  <si>
    <t>PD BPR Bank Salatiga</t>
  </si>
  <si>
    <t>Klasifikasi Surat Berharga</t>
  </si>
  <si>
    <t>PT BPR Kemuning Mitra Cemerlang</t>
  </si>
  <si>
    <t>Tersedia untuk Dijual</t>
  </si>
  <si>
    <t>Provinsi Kalimantan Timur</t>
  </si>
  <si>
    <t>PT. BPR Prima Dadi Arta</t>
  </si>
  <si>
    <t>Dimiliki Hingga Jatuh Tempo</t>
  </si>
  <si>
    <t>Kab. Kutai Kartanegara</t>
  </si>
  <si>
    <t>PT BPR Ophir</t>
  </si>
  <si>
    <t>Kab. Berau</t>
  </si>
  <si>
    <t>PT. BPR Samarason</t>
  </si>
  <si>
    <t>Form 05</t>
  </si>
  <si>
    <t>Kab. Pasir</t>
  </si>
  <si>
    <t>PT BPR Nusa Utara</t>
  </si>
  <si>
    <t>Penempatan pada Bank Lain</t>
  </si>
  <si>
    <t>Kab. Bulungan</t>
  </si>
  <si>
    <t>PT BPR Nusantara Bona Pasogit 33</t>
  </si>
  <si>
    <t>Giro</t>
  </si>
  <si>
    <t>Kab. Kutai Barat</t>
  </si>
  <si>
    <t>PT BPR Bintang Ekonomi Sejahtera</t>
  </si>
  <si>
    <t>Tabungan Umum</t>
  </si>
  <si>
    <t>Kab. Kutai Timur</t>
  </si>
  <si>
    <t>PT. BPR Klepu Mitra Kencana</t>
  </si>
  <si>
    <t>Tabungan Khusus</t>
  </si>
  <si>
    <t>Kab. Nunukan</t>
  </si>
  <si>
    <t>PT. BPR Makmur Merata</t>
  </si>
  <si>
    <t>Deposito Umum</t>
  </si>
  <si>
    <t>Kab. Malinau</t>
  </si>
  <si>
    <t>PT. BPR Universitas Gajah Mada</t>
  </si>
  <si>
    <t>Deposito Khusus</t>
  </si>
  <si>
    <t>Kab. Penajam Paser Utara</t>
  </si>
  <si>
    <t>PT. BPR Sayma Karya</t>
  </si>
  <si>
    <t>Sertifikat Deposito</t>
  </si>
  <si>
    <t>Kab. Tana Tidung</t>
  </si>
  <si>
    <t>PT. BPR Mitradana Madani</t>
  </si>
  <si>
    <t>Kota Samarinda</t>
  </si>
  <si>
    <t>PT. BPR Mitra Telagasari Utama</t>
  </si>
  <si>
    <t>Kota Balikpapan</t>
  </si>
  <si>
    <t>PT. BPR Nusa Galang Makmur</t>
  </si>
  <si>
    <t>Kualitas Penempatan pada Bank Lain</t>
  </si>
  <si>
    <t>Kota Tarakan</t>
  </si>
  <si>
    <t>PD. BPR BKPD Cilamaya</t>
  </si>
  <si>
    <t>Lancar</t>
  </si>
  <si>
    <t>Kota Bontang</t>
  </si>
  <si>
    <t>KOP. BPR Artos Parahyangan</t>
  </si>
  <si>
    <t>Kurang Lancar</t>
  </si>
  <si>
    <t>PD. BPR Kota Sukabumi</t>
  </si>
  <si>
    <t>Macet</t>
  </si>
  <si>
    <t>Provinsi Kalimantan Tengah</t>
  </si>
  <si>
    <t>PT BPR Kredit Mandiri Jabar</t>
  </si>
  <si>
    <t>Kab. Kapuas</t>
  </si>
  <si>
    <t>KOP BPR Tanjung Raya</t>
  </si>
  <si>
    <t>Form 05 | Form 11 | Form 12| Form 13</t>
  </si>
  <si>
    <t>Kab. Kotawaringin Barat</t>
  </si>
  <si>
    <t>PT. BPR Nusamba Plered</t>
  </si>
  <si>
    <t>Alasan Diblokir</t>
  </si>
  <si>
    <t>Kab. Kotawaringin Timur</t>
  </si>
  <si>
    <t>PT. BPR Nusamba Sukaraja</t>
  </si>
  <si>
    <t>Escrow Account</t>
  </si>
  <si>
    <t>Kab. Barito Selatan</t>
  </si>
  <si>
    <t>PT. BPR Nusamba Tanjungsari</t>
  </si>
  <si>
    <t>Cash Collateral</t>
  </si>
  <si>
    <t>Kab. Barito Utara</t>
  </si>
  <si>
    <t>KOP. BPR Bara Ujungberung</t>
  </si>
  <si>
    <t>Alasan Diblokir Lainnya</t>
  </si>
  <si>
    <t>Kab. Murung Raya</t>
  </si>
  <si>
    <t>PT. BPR Trisurya Tata Artha</t>
  </si>
  <si>
    <t>Kab. Barito Timur</t>
  </si>
  <si>
    <t>PT. BPR Artha Margahayu</t>
  </si>
  <si>
    <t>Kab. Gunung Mas</t>
  </si>
  <si>
    <t>PT. BPR Nehemia</t>
  </si>
  <si>
    <t>Status BMPK</t>
  </si>
  <si>
    <t>Kab. Pulang Pisau</t>
  </si>
  <si>
    <t>PT. BPR Sinar Mas Pelita</t>
  </si>
  <si>
    <t>Tidak Melanggar dan Tidak Melampaui</t>
  </si>
  <si>
    <t>Kab. Seruyan</t>
  </si>
  <si>
    <t>PT. BPR Bina Sono Artha</t>
  </si>
  <si>
    <t>Melanggar Individu</t>
  </si>
  <si>
    <t>Kab. Katingan</t>
  </si>
  <si>
    <t>PT. BPR Adhierresa</t>
  </si>
  <si>
    <t>Melanggar Kelompok</t>
  </si>
  <si>
    <t>Kab. Sukamara</t>
  </si>
  <si>
    <t>PT. BPR Sindhur Arta Mulia Kencana</t>
  </si>
  <si>
    <t>Melanggar Individu dan Kelompok</t>
  </si>
  <si>
    <t>Kab. Lamandau</t>
  </si>
  <si>
    <t>PT. BPR Artha Sari Sentosa</t>
  </si>
  <si>
    <t>Melampaui Individu</t>
  </si>
  <si>
    <t>Kota Palangkaraya</t>
  </si>
  <si>
    <t>PT. BPR Sehat Ekonomi</t>
  </si>
  <si>
    <t>Melampaui Kelompok</t>
  </si>
  <si>
    <t>PD. BPR Amuntai Selatan</t>
  </si>
  <si>
    <t>Melampaui Individu dan Kelompok</t>
  </si>
  <si>
    <t>23</t>
  </si>
  <si>
    <t>Provinsi Sulawesi Tengah</t>
  </si>
  <si>
    <t>PD. BPR Amuntai Tengah</t>
  </si>
  <si>
    <t>Kab. Donggala</t>
  </si>
  <si>
    <t>PD. BPR Amuntai Utara</t>
  </si>
  <si>
    <t>Form 06</t>
  </si>
  <si>
    <t>Kab. Poso</t>
  </si>
  <si>
    <t>PD. BPR Tapin Selatan</t>
  </si>
  <si>
    <t>Jenis Kredit</t>
  </si>
  <si>
    <t>Kab. Parimo/Banggai</t>
  </si>
  <si>
    <t>PD. BPR Tapin Tengah</t>
  </si>
  <si>
    <t>Pembiayaan Bersama (Sindikasi)</t>
  </si>
  <si>
    <t>Kab. Toli-Toli</t>
  </si>
  <si>
    <t>PD. BPR Binuang</t>
  </si>
  <si>
    <t>Disalurkan melalui bank/lembaga keuangan lain secara channeling</t>
  </si>
  <si>
    <t>Kab. Banggai Kepulauan</t>
  </si>
  <si>
    <t>PD. BPR Candi Laras Utara</t>
  </si>
  <si>
    <t>Langsung kepada debitur BPR yang bersangkutan</t>
  </si>
  <si>
    <t>Kab. Morowali</t>
  </si>
  <si>
    <t>PD. BPR Simpang Empat</t>
  </si>
  <si>
    <t>Kerjasama Dengan Lembaga Keuangan Bukan Bank untuk Disalurkan Kembali kepada UMKM</t>
  </si>
  <si>
    <t>Kab. Buol</t>
  </si>
  <si>
    <t>PD. BPR Sungai Tabuk</t>
  </si>
  <si>
    <t>Disalurkan Melalui Lembaga Keuangan Lain</t>
  </si>
  <si>
    <t>Kab. Tojo Una-Una</t>
  </si>
  <si>
    <t>PT. BPR Rizky Barokah</t>
  </si>
  <si>
    <t xml:space="preserve">Jenis Kredit Lainnya </t>
  </si>
  <si>
    <t>Kab. Parigi Moutong</t>
  </si>
  <si>
    <t>PT. BPR Artha Mekar Sokaraja</t>
  </si>
  <si>
    <t>Kab. Sigi</t>
  </si>
  <si>
    <t>PT. BPR Surya Yudha</t>
  </si>
  <si>
    <t>Status Restrukturisasi</t>
  </si>
  <si>
    <t>Kota Palu</t>
  </si>
  <si>
    <t>PT. BPR Pulau Punjung</t>
  </si>
  <si>
    <t>Tidak direstrukturisasi</t>
  </si>
  <si>
    <t xml:space="preserve">PT BPR Mutiara Nagari </t>
  </si>
  <si>
    <t>Restrukturisasi 1</t>
  </si>
  <si>
    <t>Provinsi Sulawesi Selatan</t>
  </si>
  <si>
    <t>PT. BPR Gema Pesisir</t>
  </si>
  <si>
    <t>Restrukturisasi 2</t>
  </si>
  <si>
    <t>Kab. Pinrang</t>
  </si>
  <si>
    <t>PT. BPR Gunung Talang</t>
  </si>
  <si>
    <t>Restrukturisasi 3</t>
  </si>
  <si>
    <t>Kab. Gowa</t>
  </si>
  <si>
    <t>PT. BPR Lengayang</t>
  </si>
  <si>
    <t>Kab. Wajo</t>
  </si>
  <si>
    <t>PT. BPR Pariangan</t>
  </si>
  <si>
    <r>
      <rPr>
        <sz val="10"/>
        <color theme="1"/>
        <rFont val="Calibri"/>
        <family val="2"/>
      </rPr>
      <t xml:space="preserve">Form 06 | </t>
    </r>
    <r>
      <rPr>
        <sz val="10"/>
        <color rgb="FFFF0000"/>
        <rFont val="Calibri"/>
        <family val="2"/>
      </rPr>
      <t>Form 22</t>
    </r>
  </si>
  <si>
    <t>Kab. Bone</t>
  </si>
  <si>
    <t>PT. BPR Tilatang Kamang</t>
  </si>
  <si>
    <t>Jenis Penggunaan</t>
  </si>
  <si>
    <t>Kab. Tana Toraja</t>
  </si>
  <si>
    <t>PT. BPR Suliki Gunung Mas</t>
  </si>
  <si>
    <t>Modal kerja</t>
  </si>
  <si>
    <t>Kab. Maros</t>
  </si>
  <si>
    <t>PT. BPR Harau</t>
  </si>
  <si>
    <t>Investasi</t>
  </si>
  <si>
    <t>Kab. Luwu</t>
  </si>
  <si>
    <t>PT BPR Cincin Permata Andalas</t>
  </si>
  <si>
    <t xml:space="preserve">KPR yang agunannya diikat dengan hak tanggungan I </t>
  </si>
  <si>
    <t>Kab. Sinjai</t>
  </si>
  <si>
    <t>PT. BPR Tridanasakti</t>
  </si>
  <si>
    <t>KPR selain yang dimaksud dalam huruf a. di atas</t>
  </si>
  <si>
    <t>Kab. Bulukumba</t>
  </si>
  <si>
    <t>PT. BPR Suryakusuma Kranggan</t>
  </si>
  <si>
    <t>Kredit pemilikan kendaraan bermotor</t>
  </si>
  <si>
    <t>Kab. Bantaeng</t>
  </si>
  <si>
    <t>PT. BPR Multidhana Bersama</t>
  </si>
  <si>
    <t>Kredit Konsumsi lainnya</t>
  </si>
  <si>
    <t>Kab. Jeneponto</t>
  </si>
  <si>
    <t>PT. BPR Hipmi Jaya</t>
  </si>
  <si>
    <t>Kab. Selayar</t>
  </si>
  <si>
    <t>PT. BPR Malifut Danatama</t>
  </si>
  <si>
    <t>Kab. Takalar</t>
  </si>
  <si>
    <t>PD. BPR Sukabumi</t>
  </si>
  <si>
    <t>Keterkaitan Kredit</t>
  </si>
  <si>
    <t>Kab. Barru</t>
  </si>
  <si>
    <t>PT BPR Ukabima BMMS</t>
  </si>
  <si>
    <t>Terkait dalam rangka kesejahteraan</t>
  </si>
  <si>
    <t>Kab. Sidenreng Rappang</t>
  </si>
  <si>
    <t>PT. BPR Labuhan Dana Sentosa</t>
  </si>
  <si>
    <t>Terkait Lainnya</t>
  </si>
  <si>
    <t>Kab. Pangkajene Kepulauan</t>
  </si>
  <si>
    <t>PT. BPR Solider</t>
  </si>
  <si>
    <t>Kab. Soppeng (d/h Watansoppeng)</t>
  </si>
  <si>
    <t>PT. BPR Sembada</t>
  </si>
  <si>
    <t>Kab. Enrekang</t>
  </si>
  <si>
    <t>PD. BPR LKK Mustaqim Sukamakmur</t>
  </si>
  <si>
    <t>Kab. Luwu Timur (d/h Luwu Selatan)</t>
  </si>
  <si>
    <t>PD. BPR Raharja Wanayasa</t>
  </si>
  <si>
    <t>Sumber Dana Pelunasan</t>
  </si>
  <si>
    <t>Kab. Luwu Utara</t>
  </si>
  <si>
    <t>PD. BPR Martapura</t>
  </si>
  <si>
    <t>Gaji/Honor</t>
  </si>
  <si>
    <t>Kab. Toraja Utara</t>
  </si>
  <si>
    <t>PD. BPR Astambul</t>
  </si>
  <si>
    <t>Usaha - Subsidi</t>
  </si>
  <si>
    <t>Kota Makassar</t>
  </si>
  <si>
    <t>PD. BPR Labuan Amas Selatan</t>
  </si>
  <si>
    <t>Usaha - Non subsidi</t>
  </si>
  <si>
    <t>Kota Pare-Pare</t>
  </si>
  <si>
    <t>PD. BPR Tapin Utara</t>
  </si>
  <si>
    <t>Lainnya - Subsidi</t>
  </si>
  <si>
    <t>Kota Palopo</t>
  </si>
  <si>
    <t>PD. BPR Kandangan</t>
  </si>
  <si>
    <t>Lainnya - Non subsidi</t>
  </si>
  <si>
    <t>PT. BPR Nusamba Singaparna</t>
  </si>
  <si>
    <t>Provinsi Sulawesi Utara</t>
  </si>
  <si>
    <t>PD. BPR Sungai Pandan</t>
  </si>
  <si>
    <t>Kab. Minahasa</t>
  </si>
  <si>
    <t>PT. BPR Nusamma Cisalak</t>
  </si>
  <si>
    <t>Periode Pembayaran</t>
  </si>
  <si>
    <t>Kab. Bolaang Mongondow</t>
  </si>
  <si>
    <t>PD. BPR Haruai</t>
  </si>
  <si>
    <t>Harian</t>
  </si>
  <si>
    <t>Kab. Kepulauan Sangihe</t>
  </si>
  <si>
    <t>PT. BPR Nauli Danaraya</t>
  </si>
  <si>
    <t>Mingguan</t>
  </si>
  <si>
    <t>Kab. kepulauan Talaud</t>
  </si>
  <si>
    <t>PD. BPR Kelua</t>
  </si>
  <si>
    <t>Bulanan</t>
  </si>
  <si>
    <t>Kab. Minahasa Selatan</t>
  </si>
  <si>
    <t>PT. BPR Panjawan Mitrausaha</t>
  </si>
  <si>
    <t>Triwulanan</t>
  </si>
  <si>
    <t>Kab. Minahasa Utara</t>
  </si>
  <si>
    <t>PD. BPR Muara Uya</t>
  </si>
  <si>
    <t>Semesteran</t>
  </si>
  <si>
    <t>Kab. Minahasa Tenggara</t>
  </si>
  <si>
    <t>PT. BPR Bumitani Mandiri</t>
  </si>
  <si>
    <t>Tahunan</t>
  </si>
  <si>
    <t>Kab. Bolaang Mongondow Utara</t>
  </si>
  <si>
    <t>PD BPR Bank Jombang</t>
  </si>
  <si>
    <t>Sekaligus</t>
  </si>
  <si>
    <t>Kab. Kepulauan Sitaro</t>
  </si>
  <si>
    <t>PT. BPR Karyajatnika Sadaya</t>
  </si>
  <si>
    <t>Setiap saat</t>
  </si>
  <si>
    <t>Kab. Bolang Manngondow Selatan</t>
  </si>
  <si>
    <t>PD. BPR Bank Jepara Artha</t>
  </si>
  <si>
    <t>Kab. Bolang Manngondow Timur</t>
  </si>
  <si>
    <t>PT. BPR Raga Sakti</t>
  </si>
  <si>
    <r>
      <rPr>
        <sz val="10"/>
        <color theme="1"/>
        <rFont val="Calibri"/>
        <family val="2"/>
      </rPr>
      <t xml:space="preserve">Form 06 | </t>
    </r>
    <r>
      <rPr>
        <sz val="10"/>
        <color rgb="FFFF0000"/>
        <rFont val="Calibri"/>
        <family val="2"/>
      </rPr>
      <t>Form 22</t>
    </r>
  </si>
  <si>
    <t>Kota Manado</t>
  </si>
  <si>
    <t>PT. BPR Rajadana Menganti</t>
  </si>
  <si>
    <t>Kualitas</t>
  </si>
  <si>
    <t>Kota Kotamobagu</t>
  </si>
  <si>
    <t>PT. BPR Darbeni Rizki</t>
  </si>
  <si>
    <t>Kota Bitung</t>
  </si>
  <si>
    <t>PD BPR Bank Karanganyar</t>
  </si>
  <si>
    <t>Dalam Perhatian Khusus</t>
  </si>
  <si>
    <t>Kota. Tomohon</t>
  </si>
  <si>
    <t>PD. BPR LPK Cimerak</t>
  </si>
  <si>
    <t>PD. BPR Rokan Hilir</t>
  </si>
  <si>
    <t>Diragukan</t>
  </si>
  <si>
    <t>Provinsi Gorontalo</t>
  </si>
  <si>
    <t>PT BPR Karya Utama Jabar</t>
  </si>
  <si>
    <t>Kab. Gorontalo</t>
  </si>
  <si>
    <t>PD. BPR BKPD Cijulang</t>
  </si>
  <si>
    <t>Kab. Bualemo</t>
  </si>
  <si>
    <t>PD. BPR LPK Bekasi</t>
  </si>
  <si>
    <t>Kab. Bonebolango</t>
  </si>
  <si>
    <t>PD. BPR Serang</t>
  </si>
  <si>
    <t>Kategori Usaha</t>
  </si>
  <si>
    <t>Kab. Pohuwato</t>
  </si>
  <si>
    <t>PD. BPR Gemilang</t>
  </si>
  <si>
    <t>Mikro</t>
  </si>
  <si>
    <t>Kota Gorontalo</t>
  </si>
  <si>
    <t>PD. BPR BKPD Lakbok</t>
  </si>
  <si>
    <t>Kecil</t>
  </si>
  <si>
    <t>Kab. Gorontalo Utara</t>
  </si>
  <si>
    <t>PD. BPR BKPD Pangandaran</t>
  </si>
  <si>
    <t>Menengah</t>
  </si>
  <si>
    <t>PD.BPR NTB MATARAM</t>
  </si>
  <si>
    <t>Selain Mikro, Kecil dan Menengah</t>
  </si>
  <si>
    <t>Provinsi Sulawesi Barat</t>
  </si>
  <si>
    <t>PD. BPR BP Kota Cirebon</t>
  </si>
  <si>
    <t>Kab. Polewali Mandar</t>
  </si>
  <si>
    <t>PT. BPR Hisobhan</t>
  </si>
  <si>
    <t>Form 06.1</t>
  </si>
  <si>
    <t>Kab. Majene</t>
  </si>
  <si>
    <t>PT BPR Mitra Harmoni Indramayu</t>
  </si>
  <si>
    <t>Pihak Penilai</t>
  </si>
  <si>
    <t>Kab. Mamasa</t>
  </si>
  <si>
    <t>PT. BPR Pura Artha Kencana Jatipuro</t>
  </si>
  <si>
    <t>Penilai Independen</t>
  </si>
  <si>
    <t>Kab. Mamuju Utara</t>
  </si>
  <si>
    <t>PT BPR Muria Harta Nusantara</t>
  </si>
  <si>
    <t>Internal BPR</t>
  </si>
  <si>
    <t>Kota Mamuju</t>
  </si>
  <si>
    <t>PT BPR Hayura Artalola</t>
  </si>
  <si>
    <t>PD. BPR LPK Panyingkiran</t>
  </si>
  <si>
    <t>Form 08</t>
  </si>
  <si>
    <t>Provinsi Sulawesi Tenggara</t>
  </si>
  <si>
    <t>PT. BPR Mahkota Artha Sejahtera</t>
  </si>
  <si>
    <t>Jenis Aset Tetap, Inventaris dan Aset Tidak Berwujud</t>
  </si>
  <si>
    <t>Kab. Buton</t>
  </si>
  <si>
    <t>PT BPR Cipatujah Jawa Barat</t>
  </si>
  <si>
    <t>Aset Tetap dan Inventaris : Tanah</t>
  </si>
  <si>
    <t>Kab. Muna</t>
  </si>
  <si>
    <t>PT. BPR Sebaru Sejahtera Lestari</t>
  </si>
  <si>
    <t>Aset Tetap dan Inventaris : Bangunan</t>
  </si>
  <si>
    <t>Kab. Kolaka</t>
  </si>
  <si>
    <t>PT. BPR Eka Prasetya</t>
  </si>
  <si>
    <t>Aset Tetap dan Inventaris : Peralatan dan Perlengkapan</t>
  </si>
  <si>
    <t>Kab. Wakatobi</t>
  </si>
  <si>
    <t>PT. BPR Kuta Bumi Sidomukti</t>
  </si>
  <si>
    <t>Aset Tetap dan Inventaris : Kendaraan</t>
  </si>
  <si>
    <t>104</t>
  </si>
  <si>
    <t>Kab. Konawe</t>
  </si>
  <si>
    <t>PD. BPR Arjawinangun</t>
  </si>
  <si>
    <t>Aset Tetap dan Inventaris : Lainnya</t>
  </si>
  <si>
    <t>199</t>
  </si>
  <si>
    <t>Kab. Konawe Selatan</t>
  </si>
  <si>
    <t>PD. BPR Astanajapura</t>
  </si>
  <si>
    <t>Aset Tidak Berwujud : Program aplikasi (software)</t>
  </si>
  <si>
    <t>201</t>
  </si>
  <si>
    <t>Kab. Bombana</t>
  </si>
  <si>
    <t>PD. BPR LPK Cantigi Kulon</t>
  </si>
  <si>
    <t>Aset Tidak Berwujud : Lainnya</t>
  </si>
  <si>
    <t>299</t>
  </si>
  <si>
    <t>Kab. Kolaka Utara</t>
  </si>
  <si>
    <t>PD. BPR Babakan</t>
  </si>
  <si>
    <t>Aset Tidak Berwujud: Goodwill</t>
  </si>
  <si>
    <t>202 (Aset Tidak Berwujud: Goodwill)</t>
  </si>
  <si>
    <t>Kab. Buton Utara</t>
  </si>
  <si>
    <t>PD. BPR LPK Arahan Kidul</t>
  </si>
  <si>
    <t>Kab. Konawe Utara</t>
  </si>
  <si>
    <t>PD. BPR LPK Kroya</t>
  </si>
  <si>
    <t>Sumber Perolehan</t>
  </si>
  <si>
    <t>Kota Bau-Bau</t>
  </si>
  <si>
    <t>PD. BPR LPK Sukra</t>
  </si>
  <si>
    <t>Sewa Pembiayaan</t>
  </si>
  <si>
    <t>Kota Kendari</t>
  </si>
  <si>
    <t>PD. BPR Beber</t>
  </si>
  <si>
    <t>PD. BPR LPK Bongas</t>
  </si>
  <si>
    <t>Provinsi Nusa Tenggara Barat</t>
  </si>
  <si>
    <t>PD. BPR LPK Balongan</t>
  </si>
  <si>
    <t>Sumber Perolehan Lainnya</t>
  </si>
  <si>
    <t>Kab. Lombok Barat</t>
  </si>
  <si>
    <t>PD. BPR BP Kab. Blora</t>
  </si>
  <si>
    <t>Kab. Lombok Tengah</t>
  </si>
  <si>
    <t xml:space="preserve">PT BPR Kredit Mandiri Indonesia </t>
  </si>
  <si>
    <t>Kab. Lombok Timur</t>
  </si>
  <si>
    <t>PT BPR Hambangun Artha Selaras</t>
  </si>
  <si>
    <t>Status Aset Tetap, Inventaris dan Aset Tidak Berwujud</t>
  </si>
  <si>
    <t>Kab. Sumbawa</t>
  </si>
  <si>
    <t>PT BPR Intan Jabar</t>
  </si>
  <si>
    <t>Dijaminkan</t>
  </si>
  <si>
    <t>Kab. Bima</t>
  </si>
  <si>
    <t>PD. BPR Cirebon Barat</t>
  </si>
  <si>
    <t>Tidak Dijaminkan</t>
  </si>
  <si>
    <t>Kab. Dompu</t>
  </si>
  <si>
    <t>PD. BPR Cirebon Selatan</t>
  </si>
  <si>
    <t>Kab. Sumbawa Barat</t>
  </si>
  <si>
    <t>PD. BPR Cirebon Utara</t>
  </si>
  <si>
    <t>Form 11</t>
  </si>
  <si>
    <t>Kab. Lombok Utara</t>
  </si>
  <si>
    <t>PD. BPR Ciwaringin</t>
  </si>
  <si>
    <t>Jenis Tabungan</t>
  </si>
  <si>
    <t>Kota Mataram</t>
  </si>
  <si>
    <t>PD. BPR Gegesik</t>
  </si>
  <si>
    <t>Tabungan yang dapat ditarik sewaktu-waktu</t>
  </si>
  <si>
    <t>Kota. Bima</t>
  </si>
  <si>
    <t>PT BPR Cianjur Jabar</t>
  </si>
  <si>
    <t>Tabungan berjangka</t>
  </si>
  <si>
    <t>PD. BPR Kapetakan</t>
  </si>
  <si>
    <t>Provinsi Bali</t>
  </si>
  <si>
    <t>PD. BPR Karangsembung</t>
  </si>
  <si>
    <t>Form 13</t>
  </si>
  <si>
    <t>Kab. Buleleng</t>
  </si>
  <si>
    <t>PT. BPR Nusa Intim Sentani</t>
  </si>
  <si>
    <t>Jenis Simpanan dari Bank Lain</t>
  </si>
  <si>
    <t>Kab. Jembrana</t>
  </si>
  <si>
    <t>PD. BPR Klangenan</t>
  </si>
  <si>
    <t>Tabungan</t>
  </si>
  <si>
    <t>Kab. Tabanan</t>
  </si>
  <si>
    <t>PD. BPR BKPD Kuningan</t>
  </si>
  <si>
    <t>Deposito</t>
  </si>
  <si>
    <t>Kab. Badung</t>
  </si>
  <si>
    <t>PD. BPR Lemahabang</t>
  </si>
  <si>
    <t>Kab. Gianyar</t>
  </si>
  <si>
    <t>PD BPR BKK Purwokerto</t>
  </si>
  <si>
    <t>Form 15</t>
  </si>
  <si>
    <t>Kab. Klungkung</t>
  </si>
  <si>
    <t>PD. BPR Palimanan</t>
  </si>
  <si>
    <t>Jenis Aset yang Dihapusbuku</t>
  </si>
  <si>
    <t>Kab. Bangli</t>
  </si>
  <si>
    <t>PD. BPR Plumbon</t>
  </si>
  <si>
    <t>Kredit yang diberikan</t>
  </si>
  <si>
    <t>Kab. Karangasem</t>
  </si>
  <si>
    <t>PD BPR Majalengka</t>
  </si>
  <si>
    <t>Penempatan pada bank lain</t>
  </si>
  <si>
    <t>Kota Denpasar</t>
  </si>
  <si>
    <t>PD. BPR Sumber</t>
  </si>
  <si>
    <t>PD. BPR Susukan</t>
  </si>
  <si>
    <t>Jenis Agunan Diambil Alih</t>
  </si>
  <si>
    <t>Provinsi Nusa Tenggara Timur</t>
  </si>
  <si>
    <t>PD. BPR Waled</t>
  </si>
  <si>
    <t>Emas perhiasan</t>
  </si>
  <si>
    <t>Kab. Kupang</t>
  </si>
  <si>
    <t>PD. BPR Weru</t>
  </si>
  <si>
    <t>Tanah dan/atau Bangunan</t>
  </si>
  <si>
    <t>Kab. Timor-Tengah Selatan</t>
  </si>
  <si>
    <t>PT. BPR Citra Darian</t>
  </si>
  <si>
    <t>Resi gudang</t>
  </si>
  <si>
    <t>Kab. Timor-Tengah Utara</t>
  </si>
  <si>
    <t>PT. BPR Gunung Kawi</t>
  </si>
  <si>
    <t>Tempat usaha/los/kios/lapak/</t>
  </si>
  <si>
    <t>Kab. Belu</t>
  </si>
  <si>
    <t>PT. BPR Gunung Kinibalu</t>
  </si>
  <si>
    <t>Kendaraan bermotor/kapal/perahu bermotor/alat berat/mesin yang menjadi kesatuan dengan tanah</t>
  </si>
  <si>
    <t>Kab. Alor</t>
  </si>
  <si>
    <t>PT BPR Araya Arta d/h Gunung Merapi Kebumen</t>
  </si>
  <si>
    <t>99</t>
  </si>
  <si>
    <t>Kab. Flores Timur</t>
  </si>
  <si>
    <t>PT. BP Gunung Merbabu</t>
  </si>
  <si>
    <t>Kab. Sikka</t>
  </si>
  <si>
    <t>PD. BPR BKK Banjarharjo</t>
  </si>
  <si>
    <t>Kab. Ende</t>
  </si>
  <si>
    <t>PT. BPR Semeru</t>
  </si>
  <si>
    <t>PSP</t>
  </si>
  <si>
    <t>Kab. Ngada</t>
  </si>
  <si>
    <t>PD BPR Bank Kebumen</t>
  </si>
  <si>
    <t>Kab. Manggarai</t>
  </si>
  <si>
    <t>PD BPR Kendali Artha</t>
  </si>
  <si>
    <t>Non PSP</t>
  </si>
  <si>
    <t>Kab. Sumba Timur</t>
  </si>
  <si>
    <t>PD. BPR BP Kab. Kudus</t>
  </si>
  <si>
    <t>Kab. Sumba Barat</t>
  </si>
  <si>
    <t>PD. BPR BAPAS 69</t>
  </si>
  <si>
    <t>Kab. Lembata</t>
  </si>
  <si>
    <t>PD. BPR BKK Tulung</t>
  </si>
  <si>
    <t>Wilayah Kerja</t>
  </si>
  <si>
    <t>Kab. Rote</t>
  </si>
  <si>
    <t>PD BPR Bank Purworejo</t>
  </si>
  <si>
    <t>Kab. Manggarai Barat</t>
  </si>
  <si>
    <t>PD. BPR BP Kab. Rembang</t>
  </si>
  <si>
    <t>021</t>
  </si>
  <si>
    <t>Kab. Sumba Tengah</t>
  </si>
  <si>
    <t>PD. BPR BP Kab. Temanggung</t>
  </si>
  <si>
    <t>Kantor OJK Cirebon</t>
  </si>
  <si>
    <t>Kab. Sumba Barat Daya</t>
  </si>
  <si>
    <t>PD BPR Bank Wonosobo</t>
  </si>
  <si>
    <t>Kantor OJK Tasikmalaya</t>
  </si>
  <si>
    <t>Kab. Manggarai Timur</t>
  </si>
  <si>
    <t>PD. BPR BANK PASAR KOTA SEMARANG</t>
  </si>
  <si>
    <t>Kab. Nagekeo</t>
  </si>
  <si>
    <t>PT. BPR Krida Harta Salatiga</t>
  </si>
  <si>
    <t>Kota Kupang</t>
  </si>
  <si>
    <t>PT. BPR Mulyo Lumintu</t>
  </si>
  <si>
    <t>Kantor OJK Solo</t>
  </si>
  <si>
    <t>Kab. Sabu Raijua</t>
  </si>
  <si>
    <t>PT. BPR Pasar Boja</t>
  </si>
  <si>
    <t>Kantor OJK Purwokerto</t>
  </si>
  <si>
    <t>034</t>
  </si>
  <si>
    <t>PT. BPR Weleri Makmur</t>
  </si>
  <si>
    <t>Kantor OJK Tegal</t>
  </si>
  <si>
    <t>035</t>
  </si>
  <si>
    <t>Provinsi Maluku</t>
  </si>
  <si>
    <t>PT. BPR Nusamba Cepiring</t>
  </si>
  <si>
    <t>Kab. Maluku Tengah</t>
  </si>
  <si>
    <t>PT. BPR Nusamba Pecangaan Jepara</t>
  </si>
  <si>
    <t>Kantor OJK Malang</t>
  </si>
  <si>
    <t>Kab. Maluku Tenggara</t>
  </si>
  <si>
    <t>PD BPR Bank Magelang</t>
  </si>
  <si>
    <t>Kantor OJK Jember</t>
  </si>
  <si>
    <t>043</t>
  </si>
  <si>
    <t>Kab. Maluku Tenggara Barat</t>
  </si>
  <si>
    <t>PT. BPR Weleri Jayapersada</t>
  </si>
  <si>
    <t>Kantor OJK Kediri</t>
  </si>
  <si>
    <t>044</t>
  </si>
  <si>
    <t>Kab Buru</t>
  </si>
  <si>
    <t>PT. BPR Inti Ambarawa Sejahtera</t>
  </si>
  <si>
    <t>051</t>
  </si>
  <si>
    <t>Kota Seram Bagian Barat</t>
  </si>
  <si>
    <t>PT. BPR Ambarawa Persada</t>
  </si>
  <si>
    <t>Kantor OJK Provinsi Aceh</t>
  </si>
  <si>
    <t>Kota Seram Bagian Timur</t>
  </si>
  <si>
    <t>PT. BPR Restu Mranggen Makmur</t>
  </si>
  <si>
    <t>Kantor OJK Provinsi Sumatera Barat</t>
  </si>
  <si>
    <t>053</t>
  </si>
  <si>
    <t>Kota Kepulauan Aru</t>
  </si>
  <si>
    <t>KOP. BPR Wedariyaksa</t>
  </si>
  <si>
    <t>Kantor OJK Provinsi Riau</t>
  </si>
  <si>
    <t>Kab. Maluku Barat Daya</t>
  </si>
  <si>
    <t>PT. BPR Tayu Dutapersada</t>
  </si>
  <si>
    <t>Kantor OJK Provinsi Kepulauan Riau</t>
  </si>
  <si>
    <t>055</t>
  </si>
  <si>
    <t>Kab. Buru Selatan</t>
  </si>
  <si>
    <t>PD. BPR BKK Grogol</t>
  </si>
  <si>
    <t>Kota Ambon</t>
  </si>
  <si>
    <t>PT. BPR Arthanugraha Makmursejahtera</t>
  </si>
  <si>
    <t>062</t>
  </si>
  <si>
    <t>Kota Tual</t>
  </si>
  <si>
    <t>PT. BPR Dutabhakti Insani</t>
  </si>
  <si>
    <t>Kantor OJK Provinsi Sulawesi Tengah</t>
  </si>
  <si>
    <t>063</t>
  </si>
  <si>
    <t>PT. BPR Agung Sejahtera</t>
  </si>
  <si>
    <t>Kantor OJK Provinsi Sulawesi Tenggara</t>
  </si>
  <si>
    <t>064</t>
  </si>
  <si>
    <t>Provinsi Papua</t>
  </si>
  <si>
    <t>PT. BPR Rudo Indobank</t>
  </si>
  <si>
    <t>Kantor OJK Provinsi Maluku</t>
  </si>
  <si>
    <t>Kab. Jayapura</t>
  </si>
  <si>
    <t>PT. BPR Artha Mertoyudan</t>
  </si>
  <si>
    <t>Kantor OJK Provinsi Papua</t>
  </si>
  <si>
    <t>Kab. Biak Numfor</t>
  </si>
  <si>
    <t>PD. BPR LPK Sawangan</t>
  </si>
  <si>
    <t>Kab. Yapen-Waropen</t>
  </si>
  <si>
    <t>PT. BPR Artha Mranggenjaya</t>
  </si>
  <si>
    <t>Kantor OJK Provinsi Jambi</t>
  </si>
  <si>
    <t>072</t>
  </si>
  <si>
    <t>Kab. Merauke</t>
  </si>
  <si>
    <t>PD. BPR LPK Parung Panjang</t>
  </si>
  <si>
    <t>Kantor OJK Provinsi Bengkulu</t>
  </si>
  <si>
    <t>073</t>
  </si>
  <si>
    <t>Kab. Paniai</t>
  </si>
  <si>
    <t>PD. BPR LPK Pancoran Mas</t>
  </si>
  <si>
    <t>Kantor OJK Provinsi Lampung</t>
  </si>
  <si>
    <t>Kab. Jayawijaya</t>
  </si>
  <si>
    <t>PT. BPR Dhanatani Cepiring</t>
  </si>
  <si>
    <t>Kab. Nabire</t>
  </si>
  <si>
    <t>PD. BPR LPK Leuwiliang</t>
  </si>
  <si>
    <t>Kantor OJK Provinsi Nusa Tenggara Timur</t>
  </si>
  <si>
    <t>Kab. Mimika</t>
  </si>
  <si>
    <t>PT. BPR Gunung Rizki Pusaka Utama</t>
  </si>
  <si>
    <t>Kantor OJK Provinsi Nusa Tenggara Barat</t>
  </si>
  <si>
    <t>Kab. Puncak Jaya</t>
  </si>
  <si>
    <t>PD. BPR LPK Citeureup</t>
  </si>
  <si>
    <t>091</t>
  </si>
  <si>
    <t>Kab. Sarmi</t>
  </si>
  <si>
    <t>PD. BPR LPK Malingping</t>
  </si>
  <si>
    <t>Kab. Keerom</t>
  </si>
  <si>
    <t>PT BPR Cepu Nasionalbank</t>
  </si>
  <si>
    <t>Kantor OJK Provinsi Kalimantan Barat</t>
  </si>
  <si>
    <t>093</t>
  </si>
  <si>
    <t>Kab. Pegunungan Bintang</t>
  </si>
  <si>
    <t>PD. BPR LPK Warunggunung</t>
  </si>
  <si>
    <t>Kantor OJK Provinsi Kalimantan Tengah</t>
  </si>
  <si>
    <t>Kab. Yahukimo</t>
  </si>
  <si>
    <t>PT. BPR Kembang Parama</t>
  </si>
  <si>
    <t>Kab. Tolikara</t>
  </si>
  <si>
    <t>PD. BPR LPK Cipanas</t>
  </si>
  <si>
    <t>Kab. Waropen</t>
  </si>
  <si>
    <t>PD BPR PK Saketi</t>
  </si>
  <si>
    <t>Keterangan perubahan kepengurusan</t>
  </si>
  <si>
    <t>Kab. Boven Digoel</t>
  </si>
  <si>
    <t>PT. BPR Gunung Slamet</t>
  </si>
  <si>
    <t>Pengangkatan baru</t>
  </si>
  <si>
    <t>Kab. Mappi</t>
  </si>
  <si>
    <t>PD. BPR BKK Wonosobo</t>
  </si>
  <si>
    <t>Pengangkatan kembali</t>
  </si>
  <si>
    <t>Kab. Asmat</t>
  </si>
  <si>
    <t>PT. BPR Gunung Simping Artha</t>
  </si>
  <si>
    <t>Perubahan jabatan</t>
  </si>
  <si>
    <t>Kab. Supiori</t>
  </si>
  <si>
    <t>PT. BPR Citanduy Artha</t>
  </si>
  <si>
    <t>Tidak berubah</t>
  </si>
  <si>
    <t>Kab. Mamberamo Raya</t>
  </si>
  <si>
    <t>PT. BPR Artha Kaliwungu</t>
  </si>
  <si>
    <t>Kab. Dogiyai</t>
  </si>
  <si>
    <t>PT. BPR Arthama Cerah Weleri</t>
  </si>
  <si>
    <t>Kab. Lanny Jaya</t>
  </si>
  <si>
    <t>PD. BPR BKK Temanggung</t>
  </si>
  <si>
    <t>Keterangan terkait Organ Pelaksana</t>
  </si>
  <si>
    <t>Kab. Mamberamo Tengah</t>
  </si>
  <si>
    <t>PT. BPR Dana Mitra Sentosa</t>
  </si>
  <si>
    <t xml:space="preserve"> Pengangkatan </t>
  </si>
  <si>
    <t>Kab. Nduga Tengah</t>
  </si>
  <si>
    <t>PT. BPR Artamas</t>
  </si>
  <si>
    <t xml:space="preserve"> Perubahan jabatan</t>
  </si>
  <si>
    <t>Kab. Yalimo</t>
  </si>
  <si>
    <t>PD. BPR BKK Kota Semarang</t>
  </si>
  <si>
    <t xml:space="preserve"> Tidak berubah</t>
  </si>
  <si>
    <t>Kab. Puncak</t>
  </si>
  <si>
    <t>PT. BPR Bumi Sediaguna</t>
  </si>
  <si>
    <t>Kab. Intan Jaya</t>
  </si>
  <si>
    <t>PD. BPR Puspakencana</t>
  </si>
  <si>
    <t>Kab. Deiyai</t>
  </si>
  <si>
    <t>PD. BPR Bank Pemalang</t>
  </si>
  <si>
    <t>Keterangan Data Kantor</t>
  </si>
  <si>
    <t>Kota Jayapura</t>
  </si>
  <si>
    <t>PD BPR Bank Tegal Gotong Royong</t>
  </si>
  <si>
    <t>Pembukaan KC</t>
  </si>
  <si>
    <t>PD. BPR BP Kota Tegal</t>
  </si>
  <si>
    <t>Pembukaan KC yg berasal dari peningkatan status kantor kas</t>
  </si>
  <si>
    <t>Provinsi Maluku Utara</t>
  </si>
  <si>
    <t>PT. BPR Nusamba Adiwerna</t>
  </si>
  <si>
    <t>Pemindahan alamat</t>
  </si>
  <si>
    <t>Kab. Halmahera Tengah</t>
  </si>
  <si>
    <t>PT. BPR Sahabat Tata</t>
  </si>
  <si>
    <t>Kab. Halmahera Utara</t>
  </si>
  <si>
    <t>PD. BPR BKK Purworejo</t>
  </si>
  <si>
    <t>Pembukaan KC yg berasal dari peningkatan status sentra keuangan khusus</t>
  </si>
  <si>
    <t>Kab. Halmahera Timur</t>
  </si>
  <si>
    <t>PT. BPR Nusumma Jateng</t>
  </si>
  <si>
    <t>Kab. Halmahera Barat</t>
  </si>
  <si>
    <t>PT. BPR Bina Sejahtera Insani</t>
  </si>
  <si>
    <t>Ket. Penyebab Berhenti Menjabat</t>
  </si>
  <si>
    <t>Kab. Halmahera Selatan</t>
  </si>
  <si>
    <t>PT. BPR Bank Desa Guna Daya</t>
  </si>
  <si>
    <t>Pengunduran diri</t>
  </si>
  <si>
    <t>Kab. Kepulauan Sula</t>
  </si>
  <si>
    <t>PT. BP Gunung Lawu</t>
  </si>
  <si>
    <t>Pemberhentian</t>
  </si>
  <si>
    <t>Kab. Pulau Morotai</t>
  </si>
  <si>
    <t>PD BPR Bank Boyolali</t>
  </si>
  <si>
    <t>Meninggal dunia</t>
  </si>
  <si>
    <t>Kota Ternate</t>
  </si>
  <si>
    <t>PD. BPR Bank Daerah Karanganyar</t>
  </si>
  <si>
    <t>Kota Tidore Kepulauan</t>
  </si>
  <si>
    <t>PD BPR Bank Klaten</t>
  </si>
  <si>
    <t>Form 0012</t>
  </si>
  <si>
    <t>PD. BP Kabupaten Dati II Sukoharjo</t>
  </si>
  <si>
    <t>Jenis Kantor dan Kegiatan Pelayanan Kas</t>
  </si>
  <si>
    <t>Provinsi Irian Jaya Barat</t>
  </si>
  <si>
    <t>PD.BPR Bank Solo</t>
  </si>
  <si>
    <t>Kantor Cabang</t>
  </si>
  <si>
    <t>Kab. Sorong</t>
  </si>
  <si>
    <t>KOP. BP Patma</t>
  </si>
  <si>
    <t>Kantor Kas</t>
  </si>
  <si>
    <t>Kab. Fak-Fak</t>
  </si>
  <si>
    <t>PT. BPR Rejeki Insani</t>
  </si>
  <si>
    <t>Kas Keliling</t>
  </si>
  <si>
    <t>Kab. Manokwari</t>
  </si>
  <si>
    <t>PT. BPR Solobaru Permai</t>
  </si>
  <si>
    <t>Titik Pembayaran</t>
  </si>
  <si>
    <t>Kab. Sorong Selatan</t>
  </si>
  <si>
    <t>PT. BPR Sukadana</t>
  </si>
  <si>
    <t>ATM</t>
  </si>
  <si>
    <t>Kab. Raja Ampat</t>
  </si>
  <si>
    <t>PT. BPR Nusamba Ampel</t>
  </si>
  <si>
    <t>EDC</t>
  </si>
  <si>
    <t>Kab. Kaimana</t>
  </si>
  <si>
    <t>PD. BPR BKK Kota Magelang</t>
  </si>
  <si>
    <t>Kantor Wilayah</t>
  </si>
  <si>
    <t>Kab. Teluk Bintuni</t>
  </si>
  <si>
    <t>PT. BPR Delanggu Raya</t>
  </si>
  <si>
    <t>Sentra Keuangan Khusus</t>
  </si>
  <si>
    <t>Kab. Teluk Wondama</t>
  </si>
  <si>
    <t>PT BPR Ceper</t>
  </si>
  <si>
    <t>Kab. Tembrauw</t>
  </si>
  <si>
    <t>PT. BPR Cita Dewi</t>
  </si>
  <si>
    <t>Kab. Maybrat</t>
  </si>
  <si>
    <t>PT. BPR Restu Artha Abadi</t>
  </si>
  <si>
    <t>Form 0011</t>
  </si>
  <si>
    <t>Kota Sorong</t>
  </si>
  <si>
    <t>PT. BPR Dana Mitra Sakti</t>
  </si>
  <si>
    <t>Keterangan Data KK dan KPK</t>
  </si>
  <si>
    <t>PT. BPR Danamas Pratama</t>
  </si>
  <si>
    <r>
      <rPr>
        <sz val="10"/>
        <color theme="1"/>
        <rFont val="Calibri"/>
        <family val="2"/>
      </rPr>
      <t xml:space="preserve">Pembukaan </t>
    </r>
    <r>
      <rPr>
        <sz val="10"/>
        <color rgb="FFFF0000"/>
        <rFont val="Calibri"/>
        <family val="2"/>
      </rPr>
      <t>kantor wilayah,</t>
    </r>
    <r>
      <rPr>
        <sz val="10"/>
        <color theme="1"/>
        <rFont val="Calibri"/>
        <family val="2"/>
      </rPr>
      <t xml:space="preserve"> kantor kas </t>
    </r>
    <r>
      <rPr>
        <sz val="10"/>
        <color rgb="FFFF0000"/>
        <rFont val="Calibri"/>
        <family val="2"/>
      </rPr>
      <t>atau sentra keuangan khusus</t>
    </r>
    <r>
      <rPr>
        <sz val="10"/>
        <color theme="1"/>
        <rFont val="Calibri"/>
        <family val="2"/>
      </rPr>
      <t xml:space="preserve">, pelaksanaan kas keliling, pelaksanaan titik pembayaran, dan/atau penggunaan/penambahan </t>
    </r>
    <r>
      <rPr>
        <sz val="10"/>
        <color rgb="FFFF0000"/>
        <rFont val="Calibri"/>
        <family val="2"/>
      </rPr>
      <t>TPE</t>
    </r>
    <r>
      <rPr>
        <sz val="10"/>
        <color theme="1"/>
        <rFont val="Calibri"/>
        <family val="2"/>
      </rPr>
      <t xml:space="preserve"> yang dikelola sendiri. </t>
    </r>
  </si>
  <si>
    <t>DI LUAR INDONESIA</t>
  </si>
  <si>
    <t>PT BPR Arta Utama</t>
  </si>
  <si>
    <t xml:space="preserve">Pembukaan kantor kas yang berasal dari penurunan status kantor cabang. </t>
  </si>
  <si>
    <t>PT. BPR Kusuma Sumbing</t>
  </si>
  <si>
    <r>
      <rPr>
        <sz val="10"/>
        <color theme="1"/>
        <rFont val="Calibri"/>
        <family val="2"/>
      </rPr>
      <t xml:space="preserve">Pemindahan alamat </t>
    </r>
    <r>
      <rPr>
        <sz val="10"/>
        <color rgb="FFFF0000"/>
        <rFont val="Calibri"/>
        <family val="2"/>
      </rPr>
      <t>kantor wilayah, kantor kas atau sentra keuangan khusus,</t>
    </r>
    <r>
      <rPr>
        <sz val="10"/>
        <color theme="1"/>
        <rFont val="Calibri"/>
        <family val="2"/>
      </rPr>
      <t xml:space="preserve"> titik pembayaran, dan/atau lokasi </t>
    </r>
    <r>
      <rPr>
        <sz val="10"/>
        <color rgb="FFFF0000"/>
        <rFont val="Calibri"/>
        <family val="2"/>
      </rPr>
      <t>TPE</t>
    </r>
    <r>
      <rPr>
        <sz val="10"/>
        <color theme="1"/>
        <rFont val="Calibri"/>
        <family val="2"/>
      </rPr>
      <t xml:space="preserve">. </t>
    </r>
  </si>
  <si>
    <t>PT. BPR Mertoyudan Makmur</t>
  </si>
  <si>
    <t>Sektor Ekonomi</t>
  </si>
  <si>
    <t>PT. BPR Ulima Djumpa Marom</t>
  </si>
  <si>
    <t xml:space="preserve">Pembukaan kantor kas yang berasal dari penurunan status sentra keuangan khusus. </t>
  </si>
  <si>
    <t>Pertanian Padi</t>
  </si>
  <si>
    <t>011110</t>
  </si>
  <si>
    <t>PD. BPR BKK Kebumen</t>
  </si>
  <si>
    <t>Pembukaan sentra keuangan khusus yang berasal dari peningkatan kantor kas</t>
  </si>
  <si>
    <t>Pertanian Palawija Jagung</t>
  </si>
  <si>
    <t>011121</t>
  </si>
  <si>
    <t>PT. BPR Lugano</t>
  </si>
  <si>
    <t>Pembukaan sentra keuangan khusus yang berasal dari penurunan kantor cabang</t>
  </si>
  <si>
    <t>Pertanian Palawija Ketela pohon</t>
  </si>
  <si>
    <t>011122</t>
  </si>
  <si>
    <t>PT. BPR Sumber Ekonomi</t>
  </si>
  <si>
    <t>Pertanian Palawija Ubi  jalar</t>
  </si>
  <si>
    <t>011123</t>
  </si>
  <si>
    <t>PT. BPR Kedung Arto</t>
  </si>
  <si>
    <t>* Update Referensi Pengembangan APOLO 2022</t>
  </si>
  <si>
    <t>Pertanian Palawija Umbi-umbian lainnya</t>
  </si>
  <si>
    <t>011124</t>
  </si>
  <si>
    <t>PT. BPR Bhakti Daya Ekonomi</t>
  </si>
  <si>
    <t>Pertanian Palawija Kacang tanah</t>
  </si>
  <si>
    <t>011125</t>
  </si>
  <si>
    <t>PT BPR Madani Sejahtera Abadi</t>
  </si>
  <si>
    <t>Pertanian Palawija Kedele</t>
  </si>
  <si>
    <t>011126</t>
  </si>
  <si>
    <t>PD. BPR Bank Bantul</t>
  </si>
  <si>
    <t>Pertanian Palawija Kacang-kacangan lainnya</t>
  </si>
  <si>
    <t>011129</t>
  </si>
  <si>
    <t>PD BPR Bank Daerah Gunungkidul</t>
  </si>
  <si>
    <t>Perkebunan Tebu dan Tanaman Pemanis Lainnya</t>
  </si>
  <si>
    <t>011130</t>
  </si>
  <si>
    <t>PD. BPR BP Kulon Progo</t>
  </si>
  <si>
    <t>Tabungan Khusus pada Lembaga Pengayom</t>
  </si>
  <si>
    <t>Perkebunan Tembakau</t>
  </si>
  <si>
    <t>011140</t>
  </si>
  <si>
    <t>PD. BPR Bank Sleman</t>
  </si>
  <si>
    <t>Tabungan Khusus pada BPR dan/atau BPRS Lain Untuk Penanggulangan Permasalahan Likuiditas</t>
  </si>
  <si>
    <t>Perkebunan Karet dan Penghasil Getah Lainnya</t>
  </si>
  <si>
    <t>011150</t>
  </si>
  <si>
    <t>PD. BPR Bank Jogja Kota Yogyakarta</t>
  </si>
  <si>
    <t>Perkebunan Tanaman Bahan Baku Tekstil dan Sejenisnya</t>
  </si>
  <si>
    <t>011160</t>
  </si>
  <si>
    <t>PT BPR Lestari Darmo Mulyo</t>
  </si>
  <si>
    <t>Deposito Khusus pada Lembaga Pengayom</t>
  </si>
  <si>
    <t>Perkebunan Tanaman Obat/Bahan Farmasi</t>
  </si>
  <si>
    <t>011170</t>
  </si>
  <si>
    <t>PT. BPR Shinta Daya</t>
  </si>
  <si>
    <t>Deposito Khusus pada BPR dan/atau BPRS Lain Untuk Penanggulangan Permasalahan Likuiditas</t>
  </si>
  <si>
    <t>Perkebunan Tanaman Minyak Atsiri</t>
  </si>
  <si>
    <t>011180</t>
  </si>
  <si>
    <t>PT. BPR Nusamba Banguntapan</t>
  </si>
  <si>
    <t>Perkebunan Tanaman Lainnya yang Tidak Diklasifikasikan di Tempat Lain</t>
  </si>
  <si>
    <t>011190</t>
  </si>
  <si>
    <t>PT. BPR Nusamba Temon</t>
  </si>
  <si>
    <t>Penempatan Dana Sementara Dalam Rangka Kerja Sama Dengan Penyelenggara Layanan Pinjam Meminjam Uang Berbasis Teknologi Informasi (LPMUBTI)/Fintech Peer-to-Peer Lending (P2PL)</t>
  </si>
  <si>
    <t>Pertanian Hortikultura Sayuran yang dipanen Sekali Bawang Merah</t>
  </si>
  <si>
    <t>011211</t>
  </si>
  <si>
    <t>PT BPR Natasha Bintang Anugrah</t>
  </si>
  <si>
    <t>Pertanian Hortikultura Sayuran yang dipanen Sekali Lainnya</t>
  </si>
  <si>
    <t>011219</t>
  </si>
  <si>
    <t>PT. BPR Profidana Paramitra</t>
  </si>
  <si>
    <t>Pertanian Hortikultura Sayuran yang dipanen Lebih dari Sekali</t>
  </si>
  <si>
    <t>011220</t>
  </si>
  <si>
    <t>PT. BPR Danagung Bakti</t>
  </si>
  <si>
    <t>Pertanian Hortikultura Bunga-bungaan Anggrek</t>
  </si>
  <si>
    <t>011231</t>
  </si>
  <si>
    <t>PT BPR Nusumma Jogja</t>
  </si>
  <si>
    <t>Pertanian Hortikultura Bunga-bungaan Lainnya</t>
  </si>
  <si>
    <t>011239</t>
  </si>
  <si>
    <t>PT. BPR Arga Tata</t>
  </si>
  <si>
    <t>Pertanian Tanaman Hias Lainnya</t>
  </si>
  <si>
    <t>011240</t>
  </si>
  <si>
    <t>PT. BPR Wahana Sentra Artha</t>
  </si>
  <si>
    <t>Pembibitan dan Pembenihan Hortikultura Sayuran dan Bunga- bungaan</t>
  </si>
  <si>
    <t>011250</t>
  </si>
  <si>
    <t>PT. BPR Wijayamulya Santosa</t>
  </si>
  <si>
    <t>Tabungan khusus dari BPR lain untuk penanggulangan permasalahan likuditas</t>
  </si>
  <si>
    <t>Pertanian Buah-buahan Musiman Jeruk</t>
  </si>
  <si>
    <t>011311</t>
  </si>
  <si>
    <t>PT BPR Arthaguna Mandiri</t>
  </si>
  <si>
    <t>Deposito khusus dari BPR lain untuk rangka penanggulangan permasalahan likuditas</t>
  </si>
  <si>
    <t>Pertanian Buah-buahan Musiman Lainnya</t>
  </si>
  <si>
    <t>011319</t>
  </si>
  <si>
    <t>PT. BPR Bhumikarya Pala</t>
  </si>
  <si>
    <t>Pertanian Buah-buahan Sepanjang Tahun Pisang</t>
  </si>
  <si>
    <t>011321</t>
  </si>
  <si>
    <t>PT. BPR Citrahalim Persada</t>
  </si>
  <si>
    <t>Pertanian Buah-buahan Sepanjang Tahun Lainnya</t>
  </si>
  <si>
    <t>011329</t>
  </si>
  <si>
    <t>PT. BPR Danagung Ramulti</t>
  </si>
  <si>
    <t>Perkebunan Kelapa</t>
  </si>
  <si>
    <t>011330</t>
  </si>
  <si>
    <t>PT. BPR Citrahalim Raharja</t>
  </si>
  <si>
    <t>Perkebunan Kelapa Sawit</t>
  </si>
  <si>
    <t>011340</t>
  </si>
  <si>
    <t>PT. BPR Restu Mandiri Makmur</t>
  </si>
  <si>
    <t>Pembiayaan bersama (sindikasi)</t>
  </si>
  <si>
    <t>Perkebunan Tanaman Kopi</t>
  </si>
  <si>
    <t>011351</t>
  </si>
  <si>
    <t>KOP. BPR Jetis</t>
  </si>
  <si>
    <t>Disalurkan melalui Bank Lain</t>
  </si>
  <si>
    <t>Perkebunan Tanaman Teh</t>
  </si>
  <si>
    <t>011352</t>
  </si>
  <si>
    <t>KOP. BPR Cahaya Bumi Artha</t>
  </si>
  <si>
    <t>Perkebunan Tanaman Coklat (Kakao)</t>
  </si>
  <si>
    <t>011353</t>
  </si>
  <si>
    <t>PT BPR Arta Nawa</t>
  </si>
  <si>
    <t>Kerjasama dengan lembaga keuangan non bank untuk disalurkan kembali kepada UMKM</t>
  </si>
  <si>
    <t>Perkebunan Jambu Mete</t>
  </si>
  <si>
    <t>011360</t>
  </si>
  <si>
    <t>PT. BPR Prima Kredit Utama</t>
  </si>
  <si>
    <t>Disalurkan dalam rangka kerja sama dengan LPMUBTI/fintech P2PL</t>
  </si>
  <si>
    <t>Perkebunan Lada</t>
  </si>
  <si>
    <t>011370</t>
  </si>
  <si>
    <t>PT. BP Bhakti</t>
  </si>
  <si>
    <t>Perkebunan Cengkeh</t>
  </si>
  <si>
    <t>011380</t>
  </si>
  <si>
    <t>PT. BPR Mega Artha Mustika</t>
  </si>
  <si>
    <t>Perkebunan Tanaman Rempah Panili</t>
  </si>
  <si>
    <t>011391</t>
  </si>
  <si>
    <t>PT. BPR Danamas</t>
  </si>
  <si>
    <t>Perkebunan Tanaman Rempah Pala</t>
  </si>
  <si>
    <t>011392</t>
  </si>
  <si>
    <t>PT. BP Guna Yatra</t>
  </si>
  <si>
    <t>Header</t>
  </si>
  <si>
    <t>Perkebunan Tanaman Rempah yang Tidak Diklasifikasikan di Tempat Lain</t>
  </si>
  <si>
    <t>011399</t>
  </si>
  <si>
    <t>PT. BPR Bina Maju Usaha</t>
  </si>
  <si>
    <t>Jenis Pelaporan</t>
  </si>
  <si>
    <t>Pembibitan dan Budidaya Sapi Potong</t>
  </si>
  <si>
    <t>012110</t>
  </si>
  <si>
    <t>PD BPR Bangkalan</t>
  </si>
  <si>
    <t>Laporan Berkala</t>
  </si>
  <si>
    <t>Pembibitan dan Budidaya Domba dan Kambing Potong</t>
  </si>
  <si>
    <t>012191</t>
  </si>
  <si>
    <t>PD. BPR Kabupaten Dati II Gresik</t>
  </si>
  <si>
    <t>Koreksi BPR</t>
  </si>
  <si>
    <t>Pembibitan dan Budidaya Ternak Perah</t>
  </si>
  <si>
    <t>012192</t>
  </si>
  <si>
    <t>PT. BPR Mitra Dana Utama</t>
  </si>
  <si>
    <t>Koreksi Pengawas</t>
  </si>
  <si>
    <t>Pembibitan dan Budidaya Babi</t>
  </si>
  <si>
    <t>012210</t>
  </si>
  <si>
    <t>PD BPR Bank Daerah Lamongan</t>
  </si>
  <si>
    <t>Koreksi KAP</t>
  </si>
  <si>
    <t>Pembibitan dan Budidaya Unggas</t>
  </si>
  <si>
    <t>012291</t>
  </si>
  <si>
    <t>PT. BPR Aswaja</t>
  </si>
  <si>
    <t>Kombinasi Pertanian Atau Perkebunan Dengan Peternakan (Mixed Farming)</t>
  </si>
  <si>
    <t>013000</t>
  </si>
  <si>
    <t>PT BPR Majatama</t>
  </si>
  <si>
    <t>Jasa Pertanian, Perkebunan dan Peternakan</t>
  </si>
  <si>
    <t>014000</t>
  </si>
  <si>
    <t>PT. BPR Trisurya Bumindo</t>
  </si>
  <si>
    <t>Jenis Kredit Program</t>
  </si>
  <si>
    <t>Perburuan Penangkapan dan Penangkaran Satwa Liar</t>
  </si>
  <si>
    <t>015000</t>
  </si>
  <si>
    <t>PT. BP Kosanda</t>
  </si>
  <si>
    <t>Kredit yang bukan merupakan kredit/pembiayaan dalam rangka program pemerintah</t>
  </si>
  <si>
    <t>Pengusahaan Hutan Tanaman</t>
  </si>
  <si>
    <t>020100</t>
  </si>
  <si>
    <t>PT. BPR Krian Nusantara</t>
  </si>
  <si>
    <t>Kredit Program Pemerintah - Kredit Usaha Rakyat</t>
  </si>
  <si>
    <t>Pengusahaan Hutan Alam</t>
  </si>
  <si>
    <t>020200</t>
  </si>
  <si>
    <t>PD. BPR Kota Kediri</t>
  </si>
  <si>
    <t>Kredit Program Pemerintah - Kredit Usaha Rakyat - Mikro</t>
  </si>
  <si>
    <t>Pengusahaan Hasil Hutan Selain Kayu</t>
  </si>
  <si>
    <t>020300</t>
  </si>
  <si>
    <t>PT. BP Kurnia Dadi Arta</t>
  </si>
  <si>
    <t>Kredit Program Pemerintah - Kredit Usaha Rakyat - Kecil</t>
  </si>
  <si>
    <t>Jasa Kehutanan</t>
  </si>
  <si>
    <t>020400</t>
  </si>
  <si>
    <t>PT. BPR Mitra Mulia Persada</t>
  </si>
  <si>
    <t>Kredit Program Pemerintah - Kredit Usaha Rakyat - Penempatan TKI</t>
  </si>
  <si>
    <t>Usaha Kehutanan Lainnya</t>
  </si>
  <si>
    <t>020500</t>
  </si>
  <si>
    <t>PT. BPR Argo Dana Ungaran</t>
  </si>
  <si>
    <t>Kredit Program Pemerintah - Kredit Usaha Rakyat - KUR Khusus</t>
  </si>
  <si>
    <t>Penangkapan Ikan Tuna</t>
  </si>
  <si>
    <t>050111</t>
  </si>
  <si>
    <t>PT.BPR SRIEKAYA</t>
  </si>
  <si>
    <t>Kredit Program Pemerintah - Kredit Usaha Rakyat - Super Mikro</t>
  </si>
  <si>
    <t>Penangkapan Ikan Lainnya</t>
  </si>
  <si>
    <t>050119</t>
  </si>
  <si>
    <t>PT. BPR Pitih Gumarang</t>
  </si>
  <si>
    <t>Kredit Program Pemerintah - Kredit Pemilikan Rumah Bersubsidi</t>
  </si>
  <si>
    <t>Penangkapan Udang Laut</t>
  </si>
  <si>
    <t>050121</t>
  </si>
  <si>
    <t>PT BPR Artha Buana</t>
  </si>
  <si>
    <t>Kredit Program Pemerintah - Lainnya</t>
  </si>
  <si>
    <t>Penangkapan Crustacea Lainnya di Laut</t>
  </si>
  <si>
    <t>050122</t>
  </si>
  <si>
    <t>PT. BPR Restu Artha Makmur</t>
  </si>
  <si>
    <t>Perikanan Lainnya</t>
  </si>
  <si>
    <t>050190</t>
  </si>
  <si>
    <t>PD. BPR Karimun</t>
  </si>
  <si>
    <t>Budidaya Biota Laut Udang</t>
  </si>
  <si>
    <t>050211</t>
  </si>
  <si>
    <t>PT. BPR Dana Utama</t>
  </si>
  <si>
    <t>Sektor Kredit Usaha Rakyat</t>
  </si>
  <si>
    <t>Budidaya Biota Laut Tuna</t>
  </si>
  <si>
    <t>050212</t>
  </si>
  <si>
    <t>PT BPR Wijaya Prima</t>
  </si>
  <si>
    <t>KUR sektor pariwisata</t>
  </si>
  <si>
    <t>Budidaya Biota Laut Rumput Laut</t>
  </si>
  <si>
    <t>050213</t>
  </si>
  <si>
    <t>PT. BPR Mandiri Artha Abadi</t>
  </si>
  <si>
    <t>KUR untuk usaha pertambangan garam rakyat</t>
  </si>
  <si>
    <t>Budidaya Biota Laut Lainnya</t>
  </si>
  <si>
    <t>050219</t>
  </si>
  <si>
    <t>PT. BPR Bintang Mitra</t>
  </si>
  <si>
    <t>KUR sektor pertanian, perburuan dan kehutanan</t>
  </si>
  <si>
    <t>Pembenihan Biota Laut</t>
  </si>
  <si>
    <t>050220</t>
  </si>
  <si>
    <t>PT. BPR Anugerah Harta Kaliwungu</t>
  </si>
  <si>
    <t>KUR sektor kelautan dan perikanan;</t>
  </si>
  <si>
    <t>Penangkapan Ikan di Perairan Umum</t>
  </si>
  <si>
    <t>050310</t>
  </si>
  <si>
    <t>PT. BPR Nusamba Brondong</t>
  </si>
  <si>
    <t>KUR sektor industri pengolahan</t>
  </si>
  <si>
    <t>Penangkapan Crustacea, Mollusca, dan Biota Lainnya di Perairan Umum</t>
  </si>
  <si>
    <t>050320</t>
  </si>
  <si>
    <t>PT. BPR Paro Tua</t>
  </si>
  <si>
    <t>KUR sektor konstruksi</t>
  </si>
  <si>
    <t>Budidaya Biota Air Tawar Udang</t>
  </si>
  <si>
    <t>050411</t>
  </si>
  <si>
    <t xml:space="preserve">PT BPR Sejahtera Kendari </t>
  </si>
  <si>
    <t>KUR sektor jasa produksi</t>
  </si>
  <si>
    <t>Budidaya Biota Air Tawar Lainnya</t>
  </si>
  <si>
    <t>050419</t>
  </si>
  <si>
    <t>PT. BPR Danakerja Putra</t>
  </si>
  <si>
    <t>KUR sektor produksi lainnya</t>
  </si>
  <si>
    <t>Budidaya Biota Air Payau  Udang</t>
  </si>
  <si>
    <t>050421</t>
  </si>
  <si>
    <t>PT BPR Sejahtera Baubau</t>
  </si>
  <si>
    <t>KUR kepada Sektor Lainnya</t>
  </si>
  <si>
    <t>Budidaya Biota Air Payau  Lainnya</t>
  </si>
  <si>
    <t>050429</t>
  </si>
  <si>
    <t>PT. BPR Arta Swasembada Mojokerto</t>
  </si>
  <si>
    <t>Pembenihan Biota Air Tawar dan  Air Payau</t>
  </si>
  <si>
    <t>050490</t>
  </si>
  <si>
    <t>PT. BPR Benta Tesa</t>
  </si>
  <si>
    <t>Jasa Sarana Produksi Perikanan Laut</t>
  </si>
  <si>
    <t>050510</t>
  </si>
  <si>
    <t>PT. BPR Ukabima Lestari</t>
  </si>
  <si>
    <t>Kualitas Surat Berharga</t>
  </si>
  <si>
    <t>Jasa Sarana Produksi Perikanan Darat</t>
  </si>
  <si>
    <t>050580</t>
  </si>
  <si>
    <t>PT. BPR Sumber Usahawan Bersama</t>
  </si>
  <si>
    <t>Jasa Perikanan Lainnya</t>
  </si>
  <si>
    <t>050590</t>
  </si>
  <si>
    <t>PT. BPR Ronabasa</t>
  </si>
  <si>
    <t>Pertambangan Batubara, Penggalian Gambut, dan Gasifikasi Batubara</t>
  </si>
  <si>
    <t>PT. BPR Taman Dhana</t>
  </si>
  <si>
    <t>Pembuatan Briket Batubara</t>
  </si>
  <si>
    <t>PT. BPR Paro Laba</t>
  </si>
  <si>
    <t>Pertambangan Minyak dan Gas Bumi</t>
  </si>
  <si>
    <t>PT. BPR Ganda Lata</t>
  </si>
  <si>
    <t>Pengusahaan Tenaga Panas Bumi</t>
  </si>
  <si>
    <t>PT. BPR Surabaya Lestari</t>
  </si>
  <si>
    <t>Jenis</t>
  </si>
  <si>
    <t>Jasa Pertambangan Minyak dan Gas Bumi</t>
  </si>
  <si>
    <t>PT. BPR Ratna Artha Pusaka</t>
  </si>
  <si>
    <t>Surat Berharga yang diterbitkan Bank Indonesia</t>
  </si>
  <si>
    <t>Pertambangan Bijih Uranium dan Thorium</t>
  </si>
  <si>
    <t>PT. BPR Danamas Makmur</t>
  </si>
  <si>
    <t>Surat Berharga yang diterbitkan Pemerintah</t>
  </si>
  <si>
    <t>Pertambangan Pasir Besi dan Bijih Besi</t>
  </si>
  <si>
    <t>PT. BPR Perdana Lintas Khatulistiwa</t>
  </si>
  <si>
    <t>Surat Berharga yang diterbitkan Pemerintah Daerah</t>
  </si>
  <si>
    <t>Pertambangan Bijih Timah</t>
  </si>
  <si>
    <t>PT. BPR Arta Waru Surya</t>
  </si>
  <si>
    <t>Pertambangan Bijih Bauksit</t>
  </si>
  <si>
    <t>PT BPR Barelang Mandiri</t>
  </si>
  <si>
    <t>Form 04 | Form 16</t>
  </si>
  <si>
    <t>Pertambangan Bijih Tembaga</t>
  </si>
  <si>
    <t>PT. BPR Danaputra Sakti</t>
  </si>
  <si>
    <t>Lembaga Pemeringkat</t>
  </si>
  <si>
    <t>Pertambangan Bijih Nikel</t>
  </si>
  <si>
    <t>PT. BPR Semarang Margatama Gunadana</t>
  </si>
  <si>
    <t>Pertambangan Emas</t>
  </si>
  <si>
    <t>PT. BPR Pandaan Arta Jaya</t>
  </si>
  <si>
    <t>Pertambangan Perak</t>
  </si>
  <si>
    <t>PT. BPR Olympindo Sejahtera</t>
  </si>
  <si>
    <t>Bahan Galian Lainnya yang Tidak Mengandung Bijih Besi</t>
  </si>
  <si>
    <t>PD. BPR Tanggo Rajo</t>
  </si>
  <si>
    <t>Penggalian Batu-batuan, Tanah Liat  dan Pasir</t>
  </si>
  <si>
    <t>PT. BPR Adil Jaya Artha</t>
  </si>
  <si>
    <t>Pertambangan Mineral, Bahan Kimia dan Bahan Pupuk</t>
  </si>
  <si>
    <t>PT. BPR Surya Dana Karya</t>
  </si>
  <si>
    <t>Ekstraksi Garam</t>
  </si>
  <si>
    <t>PT. BPR Hara Lata Kolaka</t>
  </si>
  <si>
    <t>Form 21</t>
  </si>
  <si>
    <t>Pertambangan dan Penggalian Lainnya</t>
  </si>
  <si>
    <t>PT. BPR Sepanjang Sumber Dharma Artha</t>
  </si>
  <si>
    <t>Jenis Aset Keuangan Lainnya</t>
  </si>
  <si>
    <t>Industri Pemotongan Hewan</t>
  </si>
  <si>
    <t>PT. BPR Sulawesi Mandiri</t>
  </si>
  <si>
    <t>Tagihan Fraud</t>
  </si>
  <si>
    <t>Industri Pengolahan dan Pengawetan Daging</t>
  </si>
  <si>
    <t>PT. BPR Taman Adimakmur</t>
  </si>
  <si>
    <t>Tagihan Lainnya</t>
  </si>
  <si>
    <t>Industri Pengolahan dan Pengawetan Ikan dan Biota Perairan Lainnya</t>
  </si>
  <si>
    <t>PT. BPR Danagung Abadi</t>
  </si>
  <si>
    <t>Industri Pengolahan, Pengawetan Buah-buahan dan Sayuran</t>
  </si>
  <si>
    <t>PT BPR Satyadhana Artha</t>
  </si>
  <si>
    <t>Form 20</t>
  </si>
  <si>
    <t>Industri Minyak Mentah (Minyak Makan) dari Nabati dan Hewani</t>
  </si>
  <si>
    <t>PT. BPR Pemberdayaan Ekonomi Rakyat</t>
  </si>
  <si>
    <t>Jenis Properti Terbengkalai</t>
  </si>
  <si>
    <t>lndustri Minyak Goreng dari Kelapa</t>
  </si>
  <si>
    <t>PT. BPR Buana Dana Makmur</t>
  </si>
  <si>
    <t>Tanah</t>
  </si>
  <si>
    <t>Industri Minyak Goreng dari Kelapa Sawit Mentah</t>
  </si>
  <si>
    <t>PT. BPR Pundi Masyarakat</t>
  </si>
  <si>
    <t>Bangunan</t>
  </si>
  <si>
    <t>Industri Minyak Goreng dari Biji Kelapa Sawit</t>
  </si>
  <si>
    <t>PT. BPR Sinardana Buana</t>
  </si>
  <si>
    <t>Tanah dan Bangunan</t>
  </si>
  <si>
    <t>Industri Susu dan Makanan dari Susu</t>
  </si>
  <si>
    <t>PT. BPR Suar Data</t>
  </si>
  <si>
    <t>Industri Penggilingan Padi dan Penyosohan Beras</t>
  </si>
  <si>
    <t>PT. BPR Bumi Sanggabuana</t>
  </si>
  <si>
    <t>Form 19</t>
  </si>
  <si>
    <t>lndustri Kopra</t>
  </si>
  <si>
    <t>PT. BPR Pataru Laba</t>
  </si>
  <si>
    <t>Metode Penyertaan</t>
  </si>
  <si>
    <t>Industri Penggilingan Lainnya</t>
  </si>
  <si>
    <t>PT. BPR Bandataman</t>
  </si>
  <si>
    <t>Biaya Perolehan</t>
  </si>
  <si>
    <t>Industri Tepung dan Pati</t>
  </si>
  <si>
    <t>PT. BPR Citra Dana Mandiri</t>
  </si>
  <si>
    <t>Metode Ekuitas</t>
  </si>
  <si>
    <t>Industri Pakan Ternak</t>
  </si>
  <si>
    <t>PT. BPR Sumber Arthawaru Agung</t>
  </si>
  <si>
    <t>Industri Makanan Lainnya</t>
  </si>
  <si>
    <t>PT. BPR Nusumma Jatim</t>
  </si>
  <si>
    <t>Industri Roti  dan Sejenisnya</t>
  </si>
  <si>
    <t>PT BPR Utama Kita Mandiri</t>
  </si>
  <si>
    <t>Kualitas Penyertaan Modal</t>
  </si>
  <si>
    <t>Industri Gula dan Pengolahan Gula</t>
  </si>
  <si>
    <t>PT. BPR Central Niaga</t>
  </si>
  <si>
    <t>Industri Coklat dan Kernbang Gula</t>
  </si>
  <si>
    <t>PT. BPR Artha Senapati</t>
  </si>
  <si>
    <t>Industri Makaroni, Mie, Spagheti, Bihun, So'un dan Sejenisnya</t>
  </si>
  <si>
    <t>PT. BPR Paro Dana</t>
  </si>
  <si>
    <t>Industri Pengolahan Teh</t>
  </si>
  <si>
    <t>PT. BPR Surasari Hutama</t>
  </si>
  <si>
    <t>Industri Pengolahan  Kopi</t>
  </si>
  <si>
    <t>PT. BPR Banksar Dana Loka</t>
  </si>
  <si>
    <t>lndustri Kecap</t>
  </si>
  <si>
    <t>PT. BPR G e n t e n g</t>
  </si>
  <si>
    <t>lndustri Tempe dan Tahu</t>
  </si>
  <si>
    <t>PT. BPR Intidana Sukses Makmur</t>
  </si>
  <si>
    <t>Tujuan Penyertaan</t>
  </si>
  <si>
    <t>lndustri Makanan yang Tidak Diklasifikasikan di Tempat Lain</t>
  </si>
  <si>
    <t>PT. BPR Inti Danita</t>
  </si>
  <si>
    <t>Dalam Rangka Investasi - Penyertaan pada Lembaga Penunjang</t>
  </si>
  <si>
    <t>Industri Minuman</t>
  </si>
  <si>
    <t>PT. BPR Restu Klaten Makmur</t>
  </si>
  <si>
    <t>lndustri Pengeringan dan Pengolahan Tembakau</t>
  </si>
  <si>
    <t>PT. BPR Saranasukses Gemah Ripah</t>
  </si>
  <si>
    <t>Industri Rokok</t>
  </si>
  <si>
    <t>PT. BPR Payung Negeri Bestari</t>
  </si>
  <si>
    <t>Industri Bumbu Rokok Serta Kelengkapan Rokok Lainnya</t>
  </si>
  <si>
    <t>PT BPR Dhasatra Artha Sempurna</t>
  </si>
  <si>
    <t>Industri Pemintalan, Pertenunan, Pengolahan Akhir Tekstil</t>
  </si>
  <si>
    <t>PT. BPR Artha Tual</t>
  </si>
  <si>
    <t>Form 06.02</t>
  </si>
  <si>
    <t>Industri Barang Jadi Tekstil dan Permadani</t>
  </si>
  <si>
    <t>PT. BPR Bintang Mas Maesan</t>
  </si>
  <si>
    <t>Sandi Bank Peserta Sindikasi</t>
  </si>
  <si>
    <t>Industri Perajutan Industri Perajutan</t>
  </si>
  <si>
    <t>PT. BPR Sumber Arta</t>
  </si>
  <si>
    <t>Arranger</t>
  </si>
  <si>
    <t>Industri Kapuk</t>
  </si>
  <si>
    <t>PT. BPR Artha Mukti Santosa</t>
  </si>
  <si>
    <t>Anggota Sindikasi</t>
  </si>
  <si>
    <t>Industri Pakaian Jadi dan perlengkapannya, Kecuali Pakaian Jadi Berbulu</t>
  </si>
  <si>
    <t>PT. BPR Jwalita</t>
  </si>
  <si>
    <t>Industri Pakaian Jadi Barang Jadi dari Kulit Berbulu dan Pencelupan Bulu</t>
  </si>
  <si>
    <t>PT. BPR Porong Lestari</t>
  </si>
  <si>
    <t>Form 11.00 | Form 12.00</t>
  </si>
  <si>
    <t>Industri Kulit dan Barang dari Kulit (Termasuk Kulit Buatan)</t>
  </si>
  <si>
    <t>PT. BPR Artha Tanah Mas</t>
  </si>
  <si>
    <t>Jenis PEP</t>
  </si>
  <si>
    <t>Industri Alas Kaki</t>
  </si>
  <si>
    <t>PT. BPR Mitra Arta Mulia</t>
  </si>
  <si>
    <t>PEP</t>
  </si>
  <si>
    <t>Industri Penggergajian dan Pengawetan Kayu, Rotan, Bambu, dan Sejenisnya</t>
  </si>
  <si>
    <t>PT. BPR Mitra Niaga Banggai</t>
  </si>
  <si>
    <t>Bukan PEP</t>
  </si>
  <si>
    <t>Industri Kayu Lapis, Veneer, dan Sejenisnya</t>
  </si>
  <si>
    <t>PT. BPR Danumas Binadhana</t>
  </si>
  <si>
    <t>Industri Anyam-anyaman, Kerajinan, Ukiran dari Kayu, dan Industri Barang Lain dari Kayu</t>
  </si>
  <si>
    <t>PT. BPR Nova Trijaya</t>
  </si>
  <si>
    <t>Industri Bubur Kertas (Pulp), Kertas dan Karton/Paper Board</t>
  </si>
  <si>
    <t>PT. BPR Intan Kita</t>
  </si>
  <si>
    <t>Risiko Nasabah</t>
  </si>
  <si>
    <t>Industri Kemasan dan Kotak dari Kertas dan Karton</t>
  </si>
  <si>
    <t>PT. BPR Mitra Central Dana</t>
  </si>
  <si>
    <t>Rendah</t>
  </si>
  <si>
    <t>Industri Barang dari Kertas dan Kartan yang Tidak Diklasifikasikan di Tempat Lain</t>
  </si>
  <si>
    <t>PT. BPR Parlaungan</t>
  </si>
  <si>
    <t>Sedang</t>
  </si>
  <si>
    <t>Industri Penerbitan</t>
  </si>
  <si>
    <t>PT. BPR Artha Karya Perdana</t>
  </si>
  <si>
    <t>Tinggi</t>
  </si>
  <si>
    <t>Industri Percetakan dan Kegiatan yang Berkaitan Dengan Pencetakan Termasuk Reproduksi / Cetak Ulang)</t>
  </si>
  <si>
    <t>PT. BPR Kota Pasuruan</t>
  </si>
  <si>
    <t>Reproduksi Media Rekaman, Film, dan Video</t>
  </si>
  <si>
    <t>PT. BPR Putera Dana</t>
  </si>
  <si>
    <t>Industri Barang-barang dari Batubara</t>
  </si>
  <si>
    <t>PT. BPR Bumi Masyarakat Sejahtera</t>
  </si>
  <si>
    <t>Status Data</t>
  </si>
  <si>
    <t>Industri Pengilangan Minyak Bumi, Pengolahan Gas Bumi, dan Industri Barang-barang dari Hasil Pengilangan Minyak Bumi</t>
  </si>
  <si>
    <t>PT. BPR Multi Artha Mas Sejahtera</t>
  </si>
  <si>
    <t>Terdapat pengkinian di bulan berjalan</t>
  </si>
  <si>
    <t>Pengolahan Bahan Bakar Nuklir (Nuclear Fuel)</t>
  </si>
  <si>
    <t>PT. BPR Central Pitoby</t>
  </si>
  <si>
    <t>Tidak terdapat pengkinian di bulan berjalan</t>
  </si>
  <si>
    <t>Industri Kimia Dasar, Kecuali Pupuk</t>
  </si>
  <si>
    <t>PT. BPR Pamekasan Purapersada</t>
  </si>
  <si>
    <t>Industri Pupuk</t>
  </si>
  <si>
    <t>PT. BPR Dinamika Bangun Arta</t>
  </si>
  <si>
    <t>Form 00.01 | Form 00.06</t>
  </si>
  <si>
    <t>Industri Plastik dan Karet Buatan</t>
  </si>
  <si>
    <t>PT. BPR Artha Swasembada Mojosari</t>
  </si>
  <si>
    <t>Status Perubahan</t>
  </si>
  <si>
    <t>Industri Bahan Baku Pemberantas Hama dan Pemberantas Hama Termasuk Zat  Pengatur Tumbuh</t>
  </si>
  <si>
    <t>PT. BPR Catur Artha Jaya</t>
  </si>
  <si>
    <t>Penambahan Baru</t>
  </si>
  <si>
    <t>Industri Cat, Pernis dan Lak</t>
  </si>
  <si>
    <t>PT BPR Artha Anugrah Kencana</t>
  </si>
  <si>
    <t>Perubahan Modal Dasar</t>
  </si>
  <si>
    <t>Industri Farmasi dan Jamu</t>
  </si>
  <si>
    <t>PT. BPR Arta Muktigraha</t>
  </si>
  <si>
    <t>Perubahan yang mengakibatkan PSP</t>
  </si>
  <si>
    <t>Industri Sabun dan Bahan Pembersih Keperluan Rumah Tangga, Kosmetik dan Sejenisnya</t>
  </si>
  <si>
    <t>PT. BPR Abrin Centra Artha</t>
  </si>
  <si>
    <t>Perubahan yang tidak mengakibatkan PSP</t>
  </si>
  <si>
    <t>Industri Minyak Atsiri</t>
  </si>
  <si>
    <t>PT. BPR Damata Arthanugraha</t>
  </si>
  <si>
    <t>Tidak Berubah</t>
  </si>
  <si>
    <t>Industri Bahan Kimia dan Barang Kimia Lainnya</t>
  </si>
  <si>
    <t>PT. BPR Intan Surya</t>
  </si>
  <si>
    <t>Industri Serat Buatan</t>
  </si>
  <si>
    <t>PT BPR Armindo Kencana</t>
  </si>
  <si>
    <t>Industri Pengasapan Karet</t>
  </si>
  <si>
    <t>PT. BPR Kencana Graha</t>
  </si>
  <si>
    <t>Industri Remilling Karet</t>
  </si>
  <si>
    <t>PT. BPR Sumber Dhana Makmur</t>
  </si>
  <si>
    <t>Industri Karet Remah (Crumb Rubber)</t>
  </si>
  <si>
    <t>PT. BPR Mitra Lestari</t>
  </si>
  <si>
    <t>Jenis Identitas</t>
  </si>
  <si>
    <t>Industri Barang-barang lain dari Karet</t>
  </si>
  <si>
    <t>PT. BPR Dharma Indra</t>
  </si>
  <si>
    <t>Kartu Tanda Penduduk</t>
  </si>
  <si>
    <t>Industri Barang dari Plastik</t>
  </si>
  <si>
    <t>PT. BPR Buana Agribisnis</t>
  </si>
  <si>
    <t>Paspor</t>
  </si>
  <si>
    <t>Industri Gelas dan Barang dari Gelas</t>
  </si>
  <si>
    <t>PT. BPR Arta Taman Dayu</t>
  </si>
  <si>
    <t>Kartu Izin Tinggal Terbatas/Kartu Izin Tinggal Tetap</t>
  </si>
  <si>
    <t>Industri Barang-barang dari Porselin</t>
  </si>
  <si>
    <t>PT. BPR Duta Kepulauan Riau</t>
  </si>
  <si>
    <t>Kartu Keluarga</t>
  </si>
  <si>
    <t>Industri Pengolahan Tanah Liat  / Keramik</t>
  </si>
  <si>
    <t>PT. BPR Harapan Sejahtera Malili</t>
  </si>
  <si>
    <t>Industri Semen, Kapur dan Gips, Serta Barang-barang dari Semen, dan Kapur</t>
  </si>
  <si>
    <t>PT. BPR Bhaskara Pakto</t>
  </si>
  <si>
    <t>Industri Barang-barang dari Batu</t>
  </si>
  <si>
    <t>PT. BPR Dana Sanggau Mandiri</t>
  </si>
  <si>
    <t>Industri Barang-barang dari Asbes</t>
  </si>
  <si>
    <t>PT. BPR Eka Dana Utama</t>
  </si>
  <si>
    <t>Jenis Kelamin</t>
  </si>
  <si>
    <t>Industri Barang-barang  Galian Bukan Logam Lainnya</t>
  </si>
  <si>
    <t>PT. BPR Bromo Mandiri</t>
  </si>
  <si>
    <t>Laki-Laki</t>
  </si>
  <si>
    <t>Industri Logam Dasar Besi dan Baja</t>
  </si>
  <si>
    <t>PT. BPR Estetika Artha Guna</t>
  </si>
  <si>
    <t>Perempuan</t>
  </si>
  <si>
    <t>Industri Logam Dasar Bukan Besi</t>
  </si>
  <si>
    <t>PT. BPR Duta Adiarta</t>
  </si>
  <si>
    <t>Industri Pengecoran Besi dan Baja</t>
  </si>
  <si>
    <t>PT. BPR Dampit</t>
  </si>
  <si>
    <t>Industri pengecoran Logam Bukan Besi dan Baja</t>
  </si>
  <si>
    <t>PT. BPR Eka Dana Mandiri</t>
  </si>
  <si>
    <t>Sifat Kredit</t>
  </si>
  <si>
    <t>Industri Barang-barang  Logam Siap Pasang Untuk Bangunan, Pembuatan Tangki, dan Generator Uap</t>
  </si>
  <si>
    <t>PT. BPR Gunung Arjuna</t>
  </si>
  <si>
    <t>Pengambilalihan piutang</t>
  </si>
  <si>
    <t>Industri Alat-alat Pertanian, Pertukangan, Pemotong, dan Peralatan lainnya dari Logam</t>
  </si>
  <si>
    <t>PT. BPR Tresna Niaga</t>
  </si>
  <si>
    <t>Industri Barang Logam yang Tidak Diklasifikasikan di Tempat Lain</t>
  </si>
  <si>
    <t xml:space="preserve">PT BPR Lestari Jatim </t>
  </si>
  <si>
    <t>Industri Mesin-mesin Umum</t>
  </si>
  <si>
    <t>PT. BPR Haneda Mitra Usaha</t>
  </si>
  <si>
    <t>Industri Mesin Pertanian dan Kehutanan, Serta Jasa Penunjang Pemeliharaan dan Perbaikannya</t>
  </si>
  <si>
    <t>PT. BPR Gunung Ringgit</t>
  </si>
  <si>
    <t>Jenis Aset Produktif</t>
  </si>
  <si>
    <t>Industri Mesin-mesin Untuk Pertambangan, Penggalian dan Konstruksi</t>
  </si>
  <si>
    <t>PT. BPR Artha Kanjuruan Pemkab Malang</t>
  </si>
  <si>
    <t>Kredit</t>
  </si>
  <si>
    <t>lndustri Mesin Untuk Pengolahan Makanan, Minuman dan Tembakau</t>
  </si>
  <si>
    <t>PT. BPR Mandiri Artha Niaga Prima</t>
  </si>
  <si>
    <t>Penempatan Pada Bank Lain</t>
  </si>
  <si>
    <t>Industri Mesin-mesin Tekstil, Produk Tekstil, dan Barang-barang dari Kulit</t>
  </si>
  <si>
    <t>PD. BPR BP Kab. Dati II Lumajang</t>
  </si>
  <si>
    <t>Industri Mesin-mesin Khusus Lainnya</t>
  </si>
  <si>
    <t>PT. BPR Sejahtera Batam</t>
  </si>
  <si>
    <t>Form 04.00|05.00|06.00|16.00|18.00</t>
  </si>
  <si>
    <t>Industri Peralatan Rumah Tangga yang Tidak Diklasifikasikan di Tempat Lain</t>
  </si>
  <si>
    <t>PT. BPR Kerta Arthamandiri</t>
  </si>
  <si>
    <t>Klasifikasi Aset Keuangan</t>
  </si>
  <si>
    <t>Industri Mesin dan Peralatan Kantor, Akuntansi, dan Pengolahan Data</t>
  </si>
  <si>
    <t>PD. BPR Tugu Artha Malang</t>
  </si>
  <si>
    <t>Diukur pada Nilai Wajar Melalui Laba Rugi</t>
  </si>
  <si>
    <t>Industri Motor Listrik, Generator, dan Transformator</t>
  </si>
  <si>
    <t>PT. BPR Inti Dana Sentosa</t>
  </si>
  <si>
    <t>Diukur pada Nilai Wajar Melalui Penghasilan Komprehensif Lain</t>
  </si>
  <si>
    <t>Industri Peralatan Pengontrol dan Pendistribusian Listrik</t>
  </si>
  <si>
    <t>PT. BPR Sumber Arto</t>
  </si>
  <si>
    <t>Diukur pada Biaya Perolehan Diamortisasi</t>
  </si>
  <si>
    <t>Industri Kabel Listrik dan Telepon</t>
  </si>
  <si>
    <t>PT. BPR Artha Prima Perkasa</t>
  </si>
  <si>
    <t>Industri Akumulator Listrik dan Batu Baterai</t>
  </si>
  <si>
    <t>PT. BPR Trikarya Waranugraha</t>
  </si>
  <si>
    <t>Industri Bola Lampu Pijar dan Lampu Penerangan</t>
  </si>
  <si>
    <t>PT. BPR Tumpang Arthasarana</t>
  </si>
  <si>
    <t>Industri Peralatan Listrik yang Tidak Diklasifikasikan di Tempat lain</t>
  </si>
  <si>
    <t>PT. BPR Batara Wajo</t>
  </si>
  <si>
    <t>Industri Tabung dan Katup Elektronik Serta Komponen Elektronik lainnya</t>
  </si>
  <si>
    <t>PT. BPR Dhana Lestari</t>
  </si>
  <si>
    <t>Industri Alat Transmisi Komunikasi</t>
  </si>
  <si>
    <t>PT. BPR Surungan Nauli</t>
  </si>
  <si>
    <t>Industri Radio, Televisi, Alat-alat Rekaman Suara dan Gambar, dan Sejenisnya</t>
  </si>
  <si>
    <t>PT. BPR Centraldjaja Pratama</t>
  </si>
  <si>
    <t>Industri Peralatan Kedokteran, dan Peralatan Untuk Mengukur, Memeriksa, Menguji, dan Bagian Lainnya, Kecuali Alat-alat Optik</t>
  </si>
  <si>
    <t>KBPR Pancadana</t>
  </si>
  <si>
    <t>Industri Instrumen Optik dan Peralatan Fotografi</t>
  </si>
  <si>
    <t>PT. BPR Semeru Swasti</t>
  </si>
  <si>
    <t>Industri Jam, Lonceng, dan Sejenisnya</t>
  </si>
  <si>
    <t>PT. BPR Dwi Cahaya Nusaperkasa</t>
  </si>
  <si>
    <t>Industri Kendaraan Bermotor Roda Empat Atau Lebih</t>
  </si>
  <si>
    <t>PT. BPR Antar Parama</t>
  </si>
  <si>
    <t>Industri Karoseri Kendaraan Bermotor Roda Empat Atau Lebih</t>
  </si>
  <si>
    <t>PT. BPR Wisman Perkasa</t>
  </si>
  <si>
    <t>Industri Perlengkapan dan Komponen Kendaraan Bermotor Roda Empat Atau Lebih</t>
  </si>
  <si>
    <t>PT. BPR Depo Mitra Mandiri</t>
  </si>
  <si>
    <t>Industri Pembuatan dan Perbaikan Kapal dan Perahu</t>
  </si>
  <si>
    <t>PT. BPR Sentral Arta Jaya</t>
  </si>
  <si>
    <t>Industri Kereta Api, Bagian-bagian dan Perlengkapannya, Serta Perbaikan Kereta Api</t>
  </si>
  <si>
    <t>PT. BPR Yuka Jaya</t>
  </si>
  <si>
    <t>Industri Pesawat Terbang dan Perlengkapannya Serta Perbaikan Pesawat Terbang</t>
  </si>
  <si>
    <t>PT. BPR Benua Kraksaan</t>
  </si>
  <si>
    <t>Industri Kendaraan Bermotor Roda Dua dan Tiga Serta Komponen dan Perlengkapannya</t>
  </si>
  <si>
    <t>PT. BPR Angga Perkasa</t>
  </si>
  <si>
    <t>Industri Alat Angkut yang Tidak Diklasifikasikan di Tempat Lain</t>
  </si>
  <si>
    <t>PT. BPR Arta Haksaprima</t>
  </si>
  <si>
    <t>Industri Furnitur</t>
  </si>
  <si>
    <t>PT. BPR Purwosari Anugerah</t>
  </si>
  <si>
    <t>Industri Pengolahan Lainnya</t>
  </si>
  <si>
    <t>PT. BPR Charis Utama</t>
  </si>
  <si>
    <t>Daur Ulang Barang-barang Logam</t>
  </si>
  <si>
    <t>PT. BPR Megakerta Swadiri</t>
  </si>
  <si>
    <t>Daur Ulang Barang-barang Bukan logam</t>
  </si>
  <si>
    <t>PT. BPR Dinar Pusaka</t>
  </si>
  <si>
    <t>Ketenagalistrikan Pedesaan</t>
  </si>
  <si>
    <t>PT. BPR Masyarakat Mandiri</t>
  </si>
  <si>
    <t>Ketenagalistrikan Lainnya</t>
  </si>
  <si>
    <t>PT. BPR Gema Nusa</t>
  </si>
  <si>
    <t>Gas</t>
  </si>
  <si>
    <t>PT. BPR Sentral Arta Asia</t>
  </si>
  <si>
    <t>Uap dan  Air Panas</t>
  </si>
  <si>
    <t>PT. BPR Sedulur Arthamakmur</t>
  </si>
  <si>
    <t>Pengadaan dan Penyaluran Air Bersih</t>
  </si>
  <si>
    <t>PT. BPR Sadhya Muktiparama</t>
  </si>
  <si>
    <t>Penyiapan Tanah Pemukiman Transmigrasi (PTPT)</t>
  </si>
  <si>
    <t>KBPR Kalimasada</t>
  </si>
  <si>
    <t>Pencetakan Lahan Sawah</t>
  </si>
  <si>
    <t>PT BPR Utomo Widodo</t>
  </si>
  <si>
    <t>Penyiapan Lahan Lainnya</t>
  </si>
  <si>
    <t>PT. BPR Anugerah Paktomas</t>
  </si>
  <si>
    <t>Konstruksi Gedung dan Bangunan Sipil</t>
  </si>
  <si>
    <t>PT. BPR Bina Reksa Karyaartha</t>
  </si>
  <si>
    <t>Konstruksi Perumahan Sederhana - Bank Tabungan Negara</t>
  </si>
  <si>
    <t>PT. BD Dhaha Ekonomi</t>
  </si>
  <si>
    <t>Konstruksi Perumahan Sederhana - Perumnas</t>
  </si>
  <si>
    <t>PT. BP Dharma Raga</t>
  </si>
  <si>
    <t>Konstruksi Perumahan Sederhana - Lainnya Tipe  s.d. 21</t>
  </si>
  <si>
    <t>PD. BPR Kabupaten Dati II Madiun</t>
  </si>
  <si>
    <t>Konstruksi Perumahan Sederhana - Lainnya Tipe  22  s.d. 70</t>
  </si>
  <si>
    <t>PD BPR Bank Daerah Kab. Kediri</t>
  </si>
  <si>
    <t>Konstruksi Perumahan  Menengah, Besar, Mewah (Tipe  Diatas 70)</t>
  </si>
  <si>
    <t>PD. BP Pemda Kota Madiun</t>
  </si>
  <si>
    <t>Konstruksi Gedung Perkantoran</t>
  </si>
  <si>
    <t>KOP. BP Tunas Artha</t>
  </si>
  <si>
    <t>Konstruksi Gedung Industri</t>
  </si>
  <si>
    <t>KOP. BP Wijaya Kusuma</t>
  </si>
  <si>
    <t>Konstruksi Gedung Perbelanjaan Pasar Inpres</t>
  </si>
  <si>
    <t>PT. BPR Artha Pamenang</t>
  </si>
  <si>
    <t>Konstruksi Gedung Perbelanjaan Lainnya</t>
  </si>
  <si>
    <t>PT. BPR Nusamba Ngunut</t>
  </si>
  <si>
    <t>Konstruksi Gedung Lainnya</t>
  </si>
  <si>
    <t>PT. BPR Nusamba Wlingi</t>
  </si>
  <si>
    <t>Bangunan Jalan Raya</t>
  </si>
  <si>
    <t>PT. BPR Sumberdhana Anda</t>
  </si>
  <si>
    <t>Bangunan Jalan Tol</t>
  </si>
  <si>
    <t>PT. BPR Artha Panggung Perkasa</t>
  </si>
  <si>
    <t>Bangunan Jalan Jembatan dan Landasan</t>
  </si>
  <si>
    <t>PT. BPR Ngunut Arta</t>
  </si>
  <si>
    <t>Bangunan Jalan dan Jembatan Kereta Api</t>
  </si>
  <si>
    <t>PT. BPR Bintang Tulungagung</t>
  </si>
  <si>
    <t>Bangunan Pengairan (Irigasi)</t>
  </si>
  <si>
    <t>PT. BPR Ekadharma Bhina Raharja</t>
  </si>
  <si>
    <t>Bangunan Dermaga (Pelabuhan)</t>
  </si>
  <si>
    <t>PT BPR Artha Samudera Indonesia</t>
  </si>
  <si>
    <t>Bangunan Sipil  Lainnya</t>
  </si>
  <si>
    <t>KOP. BPR Babadan</t>
  </si>
  <si>
    <t>Konstruksi Bangunan Listrik Pedesaan</t>
  </si>
  <si>
    <t>KOP. BPR Arta Kencana</t>
  </si>
  <si>
    <t>Konstruksi Bangunan Elektrikal dan Komunikasi Lainnya</t>
  </si>
  <si>
    <t>PT BPR Artha Nugraha</t>
  </si>
  <si>
    <t>Konstruksi Khusus</t>
  </si>
  <si>
    <t>PT. BPR Ambulu Dhanaartha</t>
  </si>
  <si>
    <t>Instalasi Gedung</t>
  </si>
  <si>
    <t>PT. BPR Blambangan Makmur</t>
  </si>
  <si>
    <t>Instalasi Bangunan Sipil</t>
  </si>
  <si>
    <t>PT. BPR Cinde Wilis</t>
  </si>
  <si>
    <t>Penyelesaian Konstruksi Gedung</t>
  </si>
  <si>
    <t>PT. BPR Jember Lestari</t>
  </si>
  <si>
    <t>Penghancur Bangunan Dengan Operatornya</t>
  </si>
  <si>
    <t>PT. BPR Karunia Pakto</t>
  </si>
  <si>
    <t>Penjualan Mobil</t>
  </si>
  <si>
    <t>PT. BPR Mahkota Reksaguna Artha</t>
  </si>
  <si>
    <t>Penjualan Suku Cadang dan Aksesoris Mobil</t>
  </si>
  <si>
    <t>PT. BPR Bappuri</t>
  </si>
  <si>
    <t>Penjualan Sepeda Motor</t>
  </si>
  <si>
    <t>PT. BPR Rogojampi Artha Niaga</t>
  </si>
  <si>
    <t>Penjualan Suku Cadang dan Aksesoris Sepeda Motor</t>
  </si>
  <si>
    <t>PT. BPR Swadhanamas Pakto</t>
  </si>
  <si>
    <t>Perdagangan Eceran Bahan Bakar Kendaraan</t>
  </si>
  <si>
    <t>PT. BPR Wilis Putra Utama</t>
  </si>
  <si>
    <t>Perdagangan Besar Berdasarkan Balas Jasa (Fee) Atau Kontrak</t>
  </si>
  <si>
    <t>PT. BPR Nusamba Genteng</t>
  </si>
  <si>
    <t>Perdagangan Jagung</t>
  </si>
  <si>
    <t>PT. BPR Nusamba Rambipuji</t>
  </si>
  <si>
    <t>Perdagangan Tembakau</t>
  </si>
  <si>
    <t>PT. BPR Rambi Artha Putra</t>
  </si>
  <si>
    <t>Perdagangan Karet</t>
  </si>
  <si>
    <t>PT. BPR Tridana Kencana</t>
  </si>
  <si>
    <t>Perdagangan Cengkeh</t>
  </si>
  <si>
    <t>PT. BPR Tanggul Arto</t>
  </si>
  <si>
    <t>Perdagangan Lada</t>
  </si>
  <si>
    <t>PT. BPR Gunung Modal Usaha</t>
  </si>
  <si>
    <t>Perdagangan Kelapa dan Kelapa Sawit</t>
  </si>
  <si>
    <t>PT. BPR Balung Artha Guna</t>
  </si>
  <si>
    <t>Perdagangan Kapas</t>
  </si>
  <si>
    <t>PT. BPR Bima Hayu Pratama</t>
  </si>
  <si>
    <t>Perdagangan Besar Dalam Negeri Hasil Pertanian  Lainnya</t>
  </si>
  <si>
    <t>PT. BPR Bintang Niaga</t>
  </si>
  <si>
    <t>Perdagangan Besar Dalam Negeri Binatang Hidup</t>
  </si>
  <si>
    <t>PT. BPR Rini Bhaktinusa</t>
  </si>
  <si>
    <t>Perdagangan Besar Dalam Negeri Hasil Perikanan</t>
  </si>
  <si>
    <t>PT BPR Anugerahdharma Yuwana Jember</t>
  </si>
  <si>
    <t>Perdagangan Kayu</t>
  </si>
  <si>
    <t>PT. BPR Cahaya Artha Bali</t>
  </si>
  <si>
    <t>Perdagangan Besar Dalam Negeri Hasil Kehutanan dan Perburuan Lainnya</t>
  </si>
  <si>
    <t>PT. BPR Wahyu Niramala d/h Candi Amertha</t>
  </si>
  <si>
    <t>Perdagangan Dalam Negeri Beras</t>
  </si>
  <si>
    <t>KOP. BPR Surya Kencana</t>
  </si>
  <si>
    <t>Perdagangan Dalam Negeri Gula</t>
  </si>
  <si>
    <t>KOP. BPR Eka Usaha</t>
  </si>
  <si>
    <t>Perdagangan Dalam Negeri Kopi</t>
  </si>
  <si>
    <t>KOP. BPR Tanggul Makmur</t>
  </si>
  <si>
    <t>Perdagangan Dalam Negeri Teh</t>
  </si>
  <si>
    <t>PT. BPR Bukit Tanjung</t>
  </si>
  <si>
    <t>Perdagangan Dalam Negeri Garam</t>
  </si>
  <si>
    <t>PT. BPR Dalung</t>
  </si>
  <si>
    <t>Perdagangan Dalam Negeri Minyak Kelapa Sawit</t>
  </si>
  <si>
    <t>PT. BPR Sari Dananiaga</t>
  </si>
  <si>
    <t>Perdagangan Dalam Negeri Kopra</t>
  </si>
  <si>
    <t>PD. BPR Bank Buleleng Empat Lima</t>
  </si>
  <si>
    <t>Perdagangan Dalam Negeri Rokok</t>
  </si>
  <si>
    <t>PT. BPR Indra Candra d/h MAI BP Indra</t>
  </si>
  <si>
    <t>Perdagangan Dalam Negeri Makanan, Minuman dan Tembakau Lainnya</t>
  </si>
  <si>
    <t>PD. BPR BP Kabupaten Bangli</t>
  </si>
  <si>
    <t>Perdagangan Besar Tekstil, Pakaian Jadi, dan Kulit</t>
  </si>
  <si>
    <t xml:space="preserve">PT BPR Karya Artha Sejahtera Indonesia </t>
  </si>
  <si>
    <t>Perdagangan Besar Barang-barang Keperluan Rumah Tangga lainnya</t>
  </si>
  <si>
    <t>PT. BPR Kusuma Mandala</t>
  </si>
  <si>
    <t>Perdagangan Besar Bahan Bakar Gas, Cair, dan Padat, Serta Produk Sejenis</t>
  </si>
  <si>
    <t>PT. BPR Kertha Warga</t>
  </si>
  <si>
    <t>Perdagangan Besar Logam dan Bijih Logam</t>
  </si>
  <si>
    <t>PT. BPR Amerta Sari</t>
  </si>
  <si>
    <t>Perdagangan Dalam Negeri Semen</t>
  </si>
  <si>
    <t>PT. BPR Parasari</t>
  </si>
  <si>
    <t>Perdagangan Dalam Negeri Besi Beton</t>
  </si>
  <si>
    <t>PT. BPR Pasar Raya Kuta</t>
  </si>
  <si>
    <t>Perdagangan Dalam Negeri Bahan-bahan Konstruksi Lainnya</t>
  </si>
  <si>
    <t>PT. BPR Pedungan</t>
  </si>
  <si>
    <t>Perdagangan Dalam Negeri Pupuk dan Obat Hama</t>
  </si>
  <si>
    <t>PT. BPR Penebel</t>
  </si>
  <si>
    <t>Perdagangan Dalam Negeri Barang Antara Lainnya</t>
  </si>
  <si>
    <t>PT. BPR Sangeh</t>
  </si>
  <si>
    <t>Perdagangan Besar Mesin-mesin, Suku Cadang dan Perlengkapannya</t>
  </si>
  <si>
    <t>PT. BPR Bank Desa Sanur</t>
  </si>
  <si>
    <t>Perdagangan Dalam Negeri Kertas Koran</t>
  </si>
  <si>
    <t>PT. BPR HARDYS MITRA INDONESIA</t>
  </si>
  <si>
    <t>Perdagangan Dalam Negeri yang Tidak Diklasifikasikan di Tempat Lain</t>
  </si>
  <si>
    <t>PT. BPR Sari Sedana</t>
  </si>
  <si>
    <t>Perdagangan Eceran Berbagai Macam Barang yang Didominasi Makanan, Minuman dan Tembakau</t>
  </si>
  <si>
    <t>PT. BPR Sedana Murni</t>
  </si>
  <si>
    <t>Perdagangan Eceran Berbagai Macam Barang yang Didominasi Oleh Barang Bukan Makanan, Minuman dan Tembakau</t>
  </si>
  <si>
    <t>PT. BPR Sedana Yasa</t>
  </si>
  <si>
    <t>Perdagangan Eceran Komoditi Makanan dari Hasil Pertanian</t>
  </si>
  <si>
    <t>PT. BPR Legian</t>
  </si>
  <si>
    <t>Perdagangan Eceran Komoditi Makanan, Minuman, Atau Tembakau Hasil Industri Pengolahan</t>
  </si>
  <si>
    <t>PT. BPR Tri Dharma Putri</t>
  </si>
  <si>
    <t>Perdagangan Eceran Bahan Kimia, Farmasi, Kosmetik, dan Alat Laboratorium</t>
  </si>
  <si>
    <t>PT. BPR Merta Amarta d/h BP Trinadi</t>
  </si>
  <si>
    <t>Perdagangan Eceran Tekstil, Pakaian Jadi, Alas Kaki, dan Barang Keperluan Pribadi</t>
  </si>
  <si>
    <t>PT. BPR Pasar Umum</t>
  </si>
  <si>
    <t>Perdagangan Eceran Perlengkapan Rumah Tangga dan Perlengkapan Dapur</t>
  </si>
  <si>
    <t>PT. BPR Pande Artha Dewata</t>
  </si>
  <si>
    <t>Perdagangan Eceran Bahan Konstruksi</t>
  </si>
  <si>
    <t>PD. BPR Werdhi Sedana</t>
  </si>
  <si>
    <t>Perdagangan Eceran Bahan Bakar dan Minyak Pelumas</t>
  </si>
  <si>
    <t>PT. BPR Nusamba Kubutambahan</t>
  </si>
  <si>
    <t>Perdagangan Eceran Kertas, Barang-barang dari Kertas, Alat Tulis, Barang Cetakan, Alat Olahraga, Alat Musik, Alat Fotografi, Komputer</t>
  </si>
  <si>
    <t>PT. BPR Nusamba Manggis</t>
  </si>
  <si>
    <t>Perdagangan Eceran Mesin-mesin (Kecuali Mobil  dan Sepeda Motor) dan Suku Cadang (Onderdil), Termasuk Alat-alat Transportasi</t>
  </si>
  <si>
    <t>PT. BPR Nusamba Mengwi</t>
  </si>
  <si>
    <t>Perdagangan Eceran Barang-barang Kerajinan, Mainan Anak-anak, dan Lukisan</t>
  </si>
  <si>
    <t>PT. BPR Nusamba Tegalalang</t>
  </si>
  <si>
    <t>Perdagangan Eceran Komoditi Lainnya (Bukan Makanan, Minuman, Atau Tembakau)</t>
  </si>
  <si>
    <t>PT. BPR Krisna Yuna Dana</t>
  </si>
  <si>
    <t>Perdagangan Eceran Barang Bekas</t>
  </si>
  <si>
    <t>PT. BPR Pusaka</t>
  </si>
  <si>
    <t>Perdagangan Eceran Kaki Lima Komoditi dari Hasil Pertanian</t>
  </si>
  <si>
    <t>PT. BPR Sadhu Artha</t>
  </si>
  <si>
    <t>Perdagangan Eceran Kaki Lima Komoditi Makanan, Minuman Hasil Industri Pengolahan</t>
  </si>
  <si>
    <t>PT. BPR Puskusa Balidwipa d/h Giri A</t>
  </si>
  <si>
    <t>Perdagangan Eceran Kaki Lima Bahan Kimia, Frmasi, Kosmetik, dan Alat Laboratorium</t>
  </si>
  <si>
    <t>PT. BPR Ayunulus</t>
  </si>
  <si>
    <t>Perdagangan Eceran Kaki Lima Tekstil, Pakaian Jadi, Alas Kaki, dan Barang Keperluan Pribadi</t>
  </si>
  <si>
    <t>PT. BPR Tata Anjungsari</t>
  </si>
  <si>
    <t>Perdagangan Eceran Kaki Lima Perlengkapan Rumah Tangga dan Perlengkapan Dapur</t>
  </si>
  <si>
    <t>PT. BPR Widhi Prima Asih</t>
  </si>
  <si>
    <t>Perdagangan Eceran Kaki Lima Bahan Bakar dan Pelumas</t>
  </si>
  <si>
    <t>PT BPR Bunga Sutra Mas</t>
  </si>
  <si>
    <t>Perdagangan Eceran Kaki Lirna Kertas, Barang-Barang dari Kertas, Alat Tulis, Barang Cetakan, Alat Olah Raga, Alat Musik, Alat Fotografi, dan Komputer</t>
  </si>
  <si>
    <t>PT. BPR Tapa</t>
  </si>
  <si>
    <t>Perdagangan Eceran Kaki Lima barang-barang kerajinan, mainan anak-anak, dan Iukisan</t>
  </si>
  <si>
    <t>PT BPR Sandi Raya Utama</t>
  </si>
  <si>
    <t>Perdagangan Eceran Kaki Lima Barang-Barang Bekas</t>
  </si>
  <si>
    <t>PT. BPR Luhur Pucaksari</t>
  </si>
  <si>
    <t>Perdagangan Eceran Kaki Lima Lainnya</t>
  </si>
  <si>
    <t>PT. BPR Karya Sari Sedana</t>
  </si>
  <si>
    <t>Perdagangan Eceran Melalui Media</t>
  </si>
  <si>
    <t>PT. BPR Sari Werdhi Sedana</t>
  </si>
  <si>
    <t>Perdagangan Eceran Keliling</t>
  </si>
  <si>
    <t>PT. BPR Sari Wira Tama</t>
  </si>
  <si>
    <t>Perdagangan Ekspor Berdasarkan Balas Jasa (Fee) Atau Kontrak</t>
  </si>
  <si>
    <t>PT. BPR Sukawati Pancakanti</t>
  </si>
  <si>
    <t>Perdagangan Ekspor Biji Kelapa Sawit</t>
  </si>
  <si>
    <t>PT. BPR Suadana</t>
  </si>
  <si>
    <t>Perdagangan Ekspor Hasil Tanaman Pangan dan Perkebunan</t>
  </si>
  <si>
    <t>PT. BPR Nur Abadi</t>
  </si>
  <si>
    <t>Perdagangan Ekspor Bahan Baku Hasil Pertanian Lainnya</t>
  </si>
  <si>
    <t>PT. BPR Sri Artha Lestari</t>
  </si>
  <si>
    <t>Perdagangan Ekspor Binatang Hidup</t>
  </si>
  <si>
    <t>PT. BPR Maha Bhoga Marga</t>
  </si>
  <si>
    <t>Perdagangan Ekspor Hasil Perikanan</t>
  </si>
  <si>
    <t>PT BPR Sri Partha Bali</t>
  </si>
  <si>
    <t>Perdagangan Ekspor Kayu</t>
  </si>
  <si>
    <t>PT. BPR Artha Bali Jaya</t>
  </si>
  <si>
    <t>Perdagangan Ekspor Rotan</t>
  </si>
  <si>
    <t>PT. BPR Antenk</t>
  </si>
  <si>
    <t>Perdagangan Ekspor Hasil Hutan Selain Kayu dan Rotan</t>
  </si>
  <si>
    <t>PT. BPR Tish</t>
  </si>
  <si>
    <t>Perdagangan Ekspor Udang Olahan</t>
  </si>
  <si>
    <t>PT. BPR Ashi</t>
  </si>
  <si>
    <t>Perdagangan Ekspor Teh</t>
  </si>
  <si>
    <t>PT. BPR Sinar Kuta</t>
  </si>
  <si>
    <t>Perdagangan Ekspor Kopi  Bubuk</t>
  </si>
  <si>
    <t>PT. BPR Jaya Kerti</t>
  </si>
  <si>
    <t>Perdagangan Ekspor Tembakau</t>
  </si>
  <si>
    <t>PT. BPR Bali Sinar Menara</t>
  </si>
  <si>
    <t>Perdagangan Ekspor Makanan dan Minuman Lainnya</t>
  </si>
  <si>
    <t>PT. BPR Bali Dewata d/h Trilaksana Dharm</t>
  </si>
  <si>
    <t>Perdagangan Ekspor Tekstil</t>
  </si>
  <si>
    <t>PT. BPR Mambal</t>
  </si>
  <si>
    <t>Perdagangan Ekspor Pakaian Jadi</t>
  </si>
  <si>
    <t>PT. BPR Saraswati Ekabumi</t>
  </si>
  <si>
    <t>Perdagangan Ekspor Kulit</t>
  </si>
  <si>
    <t>PT. BPR Artha Adyamurthi</t>
  </si>
  <si>
    <t>Perdagangan Ekspor Barang-barang Keperluan Rumah Tangga Lainnya</t>
  </si>
  <si>
    <t>PT. BPR Sewu Bali</t>
  </si>
  <si>
    <t>Perdagangan Ekspor Bahan Bakar Gas, Cair, dan Padat Serta Produk Lainnya</t>
  </si>
  <si>
    <t>PT. BPR Restu Dewata</t>
  </si>
  <si>
    <t>Perdagangan Ekspor Bijih Timah</t>
  </si>
  <si>
    <t>PT. BPR Adi Sedana Ayu</t>
  </si>
  <si>
    <t>Perdagangan Ekspor Bijih Logam Selain Timah</t>
  </si>
  <si>
    <t>PT. BPR Prima Dewata</t>
  </si>
  <si>
    <t>Perdagangan Ekspor Batu Bara</t>
  </si>
  <si>
    <t>PT. BPR Prisma Bali d/h Dhanijaya Bumiar</t>
  </si>
  <si>
    <t>Perdagangan Ekspor Logam dan Bijih Logam (hasil Pertambangan dan Penggalian) Lainnya</t>
  </si>
  <si>
    <t>PT. BPR Bumi Prima Dana</t>
  </si>
  <si>
    <t>Perdagangan Ekspor Kayu Lapis</t>
  </si>
  <si>
    <t>PT. BPR Artha Rengganis</t>
  </si>
  <si>
    <t>Perdagangan Ekspor Bahan-bahan Konstruksi (kecuali Bahan Hasil Penggalian) Lainnya</t>
  </si>
  <si>
    <t>PT. BPR Kintamani Perdana</t>
  </si>
  <si>
    <t>Perdagangan Ekspor Produk Antara (Intermediate Products), Barang- barang Bekas dan Sisa-sisa Tak Terpakai (Scrap)</t>
  </si>
  <si>
    <t>PT. BPR Sinar Kuta Mulia</t>
  </si>
  <si>
    <t>Perdagangan Ekspor Mesin-mesin, Suku Cadang dan Perlengkapannya</t>
  </si>
  <si>
    <t>PT. BPR Dharmawarga Utama</t>
  </si>
  <si>
    <t>Perdagangan Ekspor Kayu Gergajian</t>
  </si>
  <si>
    <t>PT BPR Calliste Bestari</t>
  </si>
  <si>
    <t>Perdagangan Ekspor Kopi  Bijian</t>
  </si>
  <si>
    <t>PT. BPR Jero Anom</t>
  </si>
  <si>
    <t>PT. BPR Cahaya Bina Putra</t>
  </si>
  <si>
    <t>Perdagangan Ekspor Karet</t>
  </si>
  <si>
    <t>PT. BPR Kita Centradana</t>
  </si>
  <si>
    <t>Perdagangan Ekspor Lada</t>
  </si>
  <si>
    <t>PT. BPR Sinar Puteramas</t>
  </si>
  <si>
    <t>Perdagangan Ekspor Minyak Kelapa Sawit Mentah</t>
  </si>
  <si>
    <t>PT. BPR Siwi Sedana</t>
  </si>
  <si>
    <t>Perdagangan Ekspor Minyak Biji Kelapa Sawit</t>
  </si>
  <si>
    <t>PT. BPR Segara Anak Kencana</t>
  </si>
  <si>
    <t>Perdagangan Ekspor Bungkil Kopra</t>
  </si>
  <si>
    <t>PT. BPR Samas</t>
  </si>
  <si>
    <t>Perdagangan Ekspor Hasil Pertanian, Perkebunan, dan Kehutanan Lainnya</t>
  </si>
  <si>
    <t>PT. BPR Sari Dinarkencana</t>
  </si>
  <si>
    <t>Perdagangan Ekspor Hewan yang Sudah Diolah</t>
  </si>
  <si>
    <t>PT. BPR Ramot Ganda</t>
  </si>
  <si>
    <t>Perdagangan Ekspor Bahan Makanan Lainnya</t>
  </si>
  <si>
    <t>PT. BPR Wiranadi</t>
  </si>
  <si>
    <t>Perdagangan Ekspor Hasil Tambang Setengah Jadi</t>
  </si>
  <si>
    <t>PT. BPR Danayasa</t>
  </si>
  <si>
    <t>Perdagangan Ekspor Barang Setengah Jadi Lainnya</t>
  </si>
  <si>
    <t>PT. BPR Tanjung Abdi Swadaya</t>
  </si>
  <si>
    <t>Perdagangan Ekspor Barang Kerajinan dari Kayu dan Rotan</t>
  </si>
  <si>
    <t>PT. BPR Luhur Damai</t>
  </si>
  <si>
    <t>Perdagangan Ekspor Barang Kerajinan selain dari Kayu dan Rotan</t>
  </si>
  <si>
    <t>PT. BPR Porsea Jaya</t>
  </si>
  <si>
    <t>Perdagangan Ekspor Jasa Konstruksi</t>
  </si>
  <si>
    <t>PT. BPR Dana Ganda</t>
  </si>
  <si>
    <t>Perdagangan Ekspor yang Tidak Diklasifikasikan di Tempat Lain</t>
  </si>
  <si>
    <t>PT. BPR Toelangan Dasa Nusantara</t>
  </si>
  <si>
    <t>Perdagangan Impor Berdasarkan Balas Jasa (Fee) Atau Kontrak</t>
  </si>
  <si>
    <t>PT BPR Surya Arthaguna Abadi</t>
  </si>
  <si>
    <t>Perdagangan Impor Cengkeh</t>
  </si>
  <si>
    <t>PT BPR Surya Artha Guna Mandiri</t>
  </si>
  <si>
    <t>Perdagangan Impor Biji Gandum</t>
  </si>
  <si>
    <t>PT. BPR Wlingi Pahala Pakto</t>
  </si>
  <si>
    <t>Perdagangan Impor Jagung</t>
  </si>
  <si>
    <t>KOP. BPR Sejahtera</t>
  </si>
  <si>
    <t>Perdagangan Impor Kacang Kedelai</t>
  </si>
  <si>
    <t>PT. BPR Sabee Meusampee</t>
  </si>
  <si>
    <t>Perdagangan Impor Bahan Baku Hasil Pertanian, dan Binatang Hidup Lainnya</t>
  </si>
  <si>
    <t>PT. BPR Karya Parhuta</t>
  </si>
  <si>
    <t>Perdagangan Impor Beras</t>
  </si>
  <si>
    <t>KOP. BPR Hasta Krida Jaya</t>
  </si>
  <si>
    <t>Perdagangan Impor Gula</t>
  </si>
  <si>
    <t>PT BPR Mulyo Raharjo</t>
  </si>
  <si>
    <t>Perdagangan Impor Makanan, Minuman, dan Tembakau Lainnya</t>
  </si>
  <si>
    <t>PT BPR Tunas Artha Jaya Abadi</t>
  </si>
  <si>
    <t>Perdagangan Impor Tekstil, Pakaian Jadi, dan Kulit</t>
  </si>
  <si>
    <t>PT. BPR Kertosono Saranaartha</t>
  </si>
  <si>
    <t>Perdagangan Impor Barang-barang Keperluan Rumah Tangga lainnya</t>
  </si>
  <si>
    <t>PT. BPR Arindomegah Abadi</t>
  </si>
  <si>
    <t>Perdagangan Impor Bahan Bakar Gas, Cair, dan Padat Serta Produk Sejenis</t>
  </si>
  <si>
    <t>PT. BPR Sukasada</t>
  </si>
  <si>
    <t>Perdagangan Impor Logam dan Bijih Logam</t>
  </si>
  <si>
    <t>PT BPR Rukun Karya Sari</t>
  </si>
  <si>
    <t>Perdagangan Impor Besi Beton</t>
  </si>
  <si>
    <t>KOP. BPR Bumi Arta</t>
  </si>
  <si>
    <t>Perdagangan Impor Bahan-bahan Konstruksi Lainnya</t>
  </si>
  <si>
    <t>PT BPR Bumi Jaya</t>
  </si>
  <si>
    <t>Perdagangan Impor Pupuk dan Obat Hama</t>
  </si>
  <si>
    <t>PT. BPR Vita Jasaguna</t>
  </si>
  <si>
    <t>Perdagangan Impor Farmasi</t>
  </si>
  <si>
    <t>PT. BPR Mojosari Pahalapakto</t>
  </si>
  <si>
    <t>Perdagangan Impor Barang Antara Lainnya</t>
  </si>
  <si>
    <t>PT. BPR Multi Arthanusa</t>
  </si>
  <si>
    <t>Perdagangan Impor Suku Cadang Industri</t>
  </si>
  <si>
    <t>PT. BPR Tjoekir Dasa Nusantara</t>
  </si>
  <si>
    <t>Perdagangan Impor Suku Cadang Mesin-mesin, Suku Cadang dan Perlengkapannya Lainnya</t>
  </si>
  <si>
    <t>PT. BPR Aji Caka</t>
  </si>
  <si>
    <t>Perdagangan Impor Lainnya</t>
  </si>
  <si>
    <t>PT. BPR Eka Bumi Artha</t>
  </si>
  <si>
    <t>Hotel Bintang</t>
  </si>
  <si>
    <t>PD BPR BP Kota Bandar Lampung</t>
  </si>
  <si>
    <t>Hotel Melati</t>
  </si>
  <si>
    <t>PT. BPR Swadaya Anugerah Utama</t>
  </si>
  <si>
    <t>Jasa Akomodasi Lainnya</t>
  </si>
  <si>
    <t>PT. BPR Dana Master Bahtera</t>
  </si>
  <si>
    <t>Restoran / Rumah Makan</t>
  </si>
  <si>
    <t>PT. BPR Bungamayang Agroloka</t>
  </si>
  <si>
    <t>Penyediaan Makan Minum Lainnya</t>
  </si>
  <si>
    <t>PT BPR Dwiartha Sagriya</t>
  </si>
  <si>
    <t>Angkutan Jalan Rel</t>
  </si>
  <si>
    <t>PT. BPR Cinta Manis Agroloka</t>
  </si>
  <si>
    <t>Angkutan Jalan Dalam Trayek Untuk Penumpang</t>
  </si>
  <si>
    <t>PT. BPR Agritans Batumarta</t>
  </si>
  <si>
    <t>Angkutan Jalan Tidak Dalam Trayek Untuk Penumpang</t>
  </si>
  <si>
    <t>PT. BPR Dana Nusantara</t>
  </si>
  <si>
    <t>Angkutan Jalan Untuk Barang</t>
  </si>
  <si>
    <t>PT. BPR Batanghari</t>
  </si>
  <si>
    <t>Angkutan Dengan Saluran Pipa</t>
  </si>
  <si>
    <t>PT. BPR Tulus Dadi</t>
  </si>
  <si>
    <t>Angkutan Laut Domestik</t>
  </si>
  <si>
    <t>PD. BP Kota Pontianak</t>
  </si>
  <si>
    <t>Angkutan Laut Internasional</t>
  </si>
  <si>
    <t>PT. BPR Lokadana Sentosa</t>
  </si>
  <si>
    <t>Angkutan Sungai dan Danau</t>
  </si>
  <si>
    <t>PT. BPR Mitratama Arthabuana</t>
  </si>
  <si>
    <t>Angkutan Penyeberangan Domestik</t>
  </si>
  <si>
    <t>PT. BPR Ingertad</t>
  </si>
  <si>
    <t>Angkutan Udara Berjadwal</t>
  </si>
  <si>
    <t>PT. BPR Dhanarta Dwiprima</t>
  </si>
  <si>
    <t>Angkutan Udara Tidak Berjadwal</t>
  </si>
  <si>
    <t>PT. BPR Centradana Kapuas</t>
  </si>
  <si>
    <t>Angkutan Udara Khusus</t>
  </si>
  <si>
    <t>PT. BPR Bayudhana</t>
  </si>
  <si>
    <t>Jasa Pelayanan Bongkar Muat Barang</t>
  </si>
  <si>
    <t>PT. BPR Parasari Sibang</t>
  </si>
  <si>
    <t>Pergudangan, Jasa Cold  Storage, dan Jasa Wilayah Berikat</t>
  </si>
  <si>
    <t>PT. BPR Saudara Kita d/h Pantura Jawa Ba</t>
  </si>
  <si>
    <t>Jasa Penunjang Angkutan Kecuali Jasa Bongkar Muat dan Pergudangan</t>
  </si>
  <si>
    <t>PT. BP Ronggolawe</t>
  </si>
  <si>
    <t>Jasa Perjalanan Wisata</t>
  </si>
  <si>
    <t>PT. BPR Mangatur Ganda</t>
  </si>
  <si>
    <t>Jasa Pengiriman dan Pengepakan</t>
  </si>
  <si>
    <t>PT. BPR Toeloengredjo Dasa Nusantara</t>
  </si>
  <si>
    <t>Pos Nasional, Unit Pelayanan Pos dan Jasa Kurir</t>
  </si>
  <si>
    <t>PT. BPR Artatama Sejahtera</t>
  </si>
  <si>
    <t>Jaringan Telekomunikasi</t>
  </si>
  <si>
    <t>PT. BPR Tanah Bandar</t>
  </si>
  <si>
    <t>Jasa Telekomunikasi</t>
  </si>
  <si>
    <t>PT. BPR Bumi Hayu</t>
  </si>
  <si>
    <t>Telekomunikasi Khusus</t>
  </si>
  <si>
    <t>PT. BPR Bhapertim Persada</t>
  </si>
  <si>
    <t>Perantara Moneter (Bank)</t>
  </si>
  <si>
    <t>PT. BPR Taman Artha Kencana</t>
  </si>
  <si>
    <t>Perantara Keuangan Lainnya (Non Bank) Leasing</t>
  </si>
  <si>
    <t>KOP Bank Pegawai Pensiunan Indonesia</t>
  </si>
  <si>
    <t>Perantara Keuangan Lainnya (Non Bank) Selain Leasing</t>
  </si>
  <si>
    <t>PT. BPR Maesa Waya</t>
  </si>
  <si>
    <t>Asuransi dan Dana Pensiun</t>
  </si>
  <si>
    <t>PT. BPR Amurang Utama</t>
  </si>
  <si>
    <t>Jasa Penunjang Perantara Keuangan Kecuali Asuransi dan Dana Pensiun</t>
  </si>
  <si>
    <t>PT BPR Millenia</t>
  </si>
  <si>
    <t>Jasa Penukaran Mata Uang atau Pedagang Valuta Asing (Money Changer)</t>
  </si>
  <si>
    <t>PT. BPR Mitrabina Arthamakmur</t>
  </si>
  <si>
    <t>Jasa Penunjang Perantara Keuangan Lainnya</t>
  </si>
  <si>
    <t>PT. BPR Pinang Artha</t>
  </si>
  <si>
    <t>Jasa Penunjang Asuransi dan dana Pensiun</t>
  </si>
  <si>
    <t>PT. BPR Ciledug Dhana Semesta</t>
  </si>
  <si>
    <t>Real Estate Perumahan Sederhana - Perumnas</t>
  </si>
  <si>
    <t>KOP. BP Abang Pasar</t>
  </si>
  <si>
    <t>Real Estate Perumahan Sederhana - Selain Perumnas s.d. Tipe  21</t>
  </si>
  <si>
    <t>PT. BPR Agrimakmur Lestari</t>
  </si>
  <si>
    <t>Real Estate Perumahan Sederhana - Selain Perumnas s.d. Tipe  22 s.d. 70</t>
  </si>
  <si>
    <t>PD. BP Kota Tk. II Ujung Pandang</t>
  </si>
  <si>
    <t>Real Estate Perumahan Menengah, Besar Atau Mewah (Tipe  Diatas 70)</t>
  </si>
  <si>
    <t>PT. BPR Taruna Jujur Sakti</t>
  </si>
  <si>
    <t>Real Estate Perumahan Flat / Apartemen</t>
  </si>
  <si>
    <t>PT BPR LPN Taeh Baruh</t>
  </si>
  <si>
    <t>Real Estate Gedung Perbelanjaan (Mal, Plaza)</t>
  </si>
  <si>
    <t>PT BPR LPN Padang Kuning</t>
  </si>
  <si>
    <t>Real Estate Gedung Perkantoran</t>
  </si>
  <si>
    <t>PT BPR Labuh Gunung</t>
  </si>
  <si>
    <t>Real Estate Gedung Rumah Toko  (Ruko) atau Rumah Kantor (Rukan)</t>
  </si>
  <si>
    <t>PT BPR Central Micro</t>
  </si>
  <si>
    <t>Real Estate Lainnya</t>
  </si>
  <si>
    <t>PT BPR MITRA USAHA MUARO PAITI</t>
  </si>
  <si>
    <t>Real Estate Atas Dasar Balas Jasa (Fee) Atau Kontrak</t>
  </si>
  <si>
    <t>PT. BPR Rangkiang Denai</t>
  </si>
  <si>
    <t>Kawasan Pariwisata dan Penyediaan Sarana Wisata Tirta Kawasan Pariwisata</t>
  </si>
  <si>
    <t>PT. BPR Modern Express</t>
  </si>
  <si>
    <t>Persewaan Alat Transportasi Darat</t>
  </si>
  <si>
    <t>BPR LPN Batang Palangki</t>
  </si>
  <si>
    <t>Persewaan Alat Transportasi Air</t>
  </si>
  <si>
    <t>BPR LPN Pasar Baru Durian</t>
  </si>
  <si>
    <t>Persewaan Alat Transportasi Udara</t>
  </si>
  <si>
    <t>BPR LPN Kubang</t>
  </si>
  <si>
    <t>Persewaan Mesin Pertanian dan Peralatannya</t>
  </si>
  <si>
    <t>PT BPR LPN Talawi Sakato</t>
  </si>
  <si>
    <t>Persewaan Mesin Konstruksi dan Teknik Sipil  dan Peralatannya</t>
  </si>
  <si>
    <t>PT BPR LPN Sungai Rumbai</t>
  </si>
  <si>
    <t>Persewaan Mesin Kantor dan Peralatannya (Termasuk Komputer)</t>
  </si>
  <si>
    <t>PT BPR LPN Tarantang</t>
  </si>
  <si>
    <t>Persewaan Mesin Lainnya dan Peralatannya yang Tidak Diklasifikasikan di Tempat Lain</t>
  </si>
  <si>
    <t>BPR LPN Kampung Dalam</t>
  </si>
  <si>
    <t>Persewaan Barang-barang Keperluan Rumah Tangga dan Pribadi yang Tidak Diklasifikasikan di Tempat Lain</t>
  </si>
  <si>
    <t>PT. BPR Dharma Nagari</t>
  </si>
  <si>
    <t>Jasa Konsultasi Piranti Keras (Hardware Consulting)</t>
  </si>
  <si>
    <t>PT. BPR Sungai Puar</t>
  </si>
  <si>
    <t>Jasa Konsultasi Piranti Lunak (Software Consulting)</t>
  </si>
  <si>
    <t>PT BPR LPN Panampung</t>
  </si>
  <si>
    <t>Pengolahan Data</t>
  </si>
  <si>
    <t>PT. BPR Padang Tarab</t>
  </si>
  <si>
    <t>Jasa Kegiatan Data Base</t>
  </si>
  <si>
    <t>PT. BPR Rangkiang Aur (Kamang Mudik)</t>
  </si>
  <si>
    <t>Perawatan dan Reparasi Mesin-mesin Kantor, Akuntansi, dan Komputer</t>
  </si>
  <si>
    <t>BPR LPN Magek</t>
  </si>
  <si>
    <t>Kegiatan Lain yang Berkaitan Dengan Komputer</t>
  </si>
  <si>
    <t>PT BPR Raga Dana Sejahtera</t>
  </si>
  <si>
    <t>Penelitian dan Pengembangan Ilmu Pengetahuan Alam dan  Teknologi</t>
  </si>
  <si>
    <t>PT BPR Mutiara Pesisir</t>
  </si>
  <si>
    <t>Penelitian dan Pengembangan Ilmu Pengetahuan Sosial dan Humaniora</t>
  </si>
  <si>
    <t>PT. BPR Gebu Harapan (Bayur)</t>
  </si>
  <si>
    <t>Jasa Hukum, Akuntansi dan Pembukuan, Konsultasi Pajak, Penelitian Pasar, dan Konsultasi Bisnis dan Manajemen</t>
  </si>
  <si>
    <t>PT. BPR Pembangunan Nagari (Manggopoh)</t>
  </si>
  <si>
    <t>Jasa Konsultasi Arsitek, Kegiatan Teknik dan Rekayasa, Serta Analisis dan Testing</t>
  </si>
  <si>
    <t>PT. BPR Cempaka Wadah Sejahtera</t>
  </si>
  <si>
    <t>Jasa Periklanan</t>
  </si>
  <si>
    <t>PT. BPR Mandar</t>
  </si>
  <si>
    <t>Jasa Perusahaan  Lainnya yang Tidak Diklasifikasikan di Tempat Lain</t>
  </si>
  <si>
    <t>PT. BPR Surya Katialo</t>
  </si>
  <si>
    <t>Administrasi Pemerintahan, dan Kebijaksanaan Ekonomi dan Sosial</t>
  </si>
  <si>
    <t>PT. BPR Piala Makmur</t>
  </si>
  <si>
    <t>Hubungan Luar Negeri, Pertahanan, dan Keamanan</t>
  </si>
  <si>
    <t>PT. BPR Rangkiang Nagari</t>
  </si>
  <si>
    <t>Jaminan Sosial Wajib</t>
  </si>
  <si>
    <t>PT BPR Solok Sakato</t>
  </si>
  <si>
    <t>Jasa Pendidikan Dasar</t>
  </si>
  <si>
    <t>PT BPR Lugas Dana Mandiri</t>
  </si>
  <si>
    <t>Jasa Pendidikan Menengah</t>
  </si>
  <si>
    <t>BPR LPN Saning Bakar</t>
  </si>
  <si>
    <t>Jasa Pendidikan Tinggi</t>
  </si>
  <si>
    <t>PT BPR Solok Selatan</t>
  </si>
  <si>
    <t>Jasa Pendidikan Lainnya</t>
  </si>
  <si>
    <t>PT BPR Sarantau Sasurambi</t>
  </si>
  <si>
    <t>Jasa Kesehatan Manusia - Rumah sakit</t>
  </si>
  <si>
    <t>BPR LPN Pekan Rabaa</t>
  </si>
  <si>
    <t>Jasa Kesehatan Manusia - Poliklinik / Rumah Bersalin</t>
  </si>
  <si>
    <t>PT BPR Gonjong Limo</t>
  </si>
  <si>
    <t>Jasa Kesehatan Manusia - Tempat Perawatan / Pengobatan</t>
  </si>
  <si>
    <t>PT BPR X Koto Singkarak</t>
  </si>
  <si>
    <t>Jasa Kesehatan Manusia - Profesi Dokter</t>
  </si>
  <si>
    <t>PT BPR Prima Mulia Anugrah</t>
  </si>
  <si>
    <t>Jasa Kesehatan Hewan</t>
  </si>
  <si>
    <t>PT. BPR Lubuk Raya Mandiri</t>
  </si>
  <si>
    <t>Jasa Kegiatan Sosial</t>
  </si>
  <si>
    <t>PT BPR Gudam</t>
  </si>
  <si>
    <t>Jasa Kebersihan</t>
  </si>
  <si>
    <t>PT BPR Batang Selo</t>
  </si>
  <si>
    <t>Organisasi Bisnis, Pengusaha dan Profesional</t>
  </si>
  <si>
    <t>BPR LPN Balerong Bunta</t>
  </si>
  <si>
    <t>Organisasi Buruh</t>
  </si>
  <si>
    <t>BPR LPN Pandai Sikek</t>
  </si>
  <si>
    <t>Organisasi Lainnya</t>
  </si>
  <si>
    <t>PT BPR Luhak Nan Tuo</t>
  </si>
  <si>
    <t>Kegiatan Perfilman, Radio, Televisi, dan Hiburan Lainnya</t>
  </si>
  <si>
    <t>PT. BPR Batipuh</t>
  </si>
  <si>
    <t>Kegiatan Kantor Berita</t>
  </si>
  <si>
    <t>PT BPR Malibu</t>
  </si>
  <si>
    <t>Perpustakaan, Arsip, Museum, dan Kegiatan Kebudayaan Lainnya</t>
  </si>
  <si>
    <t>PT BPR Cahaya Intan Mandiri</t>
  </si>
  <si>
    <t>Jasa Kegiatan Lainnya</t>
  </si>
  <si>
    <t>PT BPR LPN Padang Magek</t>
  </si>
  <si>
    <t>Jasa Perorangan yang Melayani Rumah Tangga</t>
  </si>
  <si>
    <t>BPR LPN Andalas Baruh Bukit</t>
  </si>
  <si>
    <t>Badan Internasional dan Badan Ekstra Internasional Lainnya</t>
  </si>
  <si>
    <t>PT BPR Pagaruyung</t>
  </si>
  <si>
    <t>Kegiatan yang Belum Jelas Batasannya Perorangan</t>
  </si>
  <si>
    <t>000001</t>
  </si>
  <si>
    <t>PT BPR Swadaya Anak Nagari</t>
  </si>
  <si>
    <t>Kegiatan yang Belum Jelas Batasannya Badan Usaha</t>
  </si>
  <si>
    <t>000002</t>
  </si>
  <si>
    <t>PT BPR Sembilan Mutiara</t>
  </si>
  <si>
    <t>Rumah Tangga untuk Pemilikan Rumah Tinggal</t>
  </si>
  <si>
    <t>001100</t>
  </si>
  <si>
    <t>PT. BPR Khatulistiwa Bonjol</t>
  </si>
  <si>
    <t>Rumah Tangga untuk Pemilikan Rumah Tinggal s.d. Tipe  21</t>
  </si>
  <si>
    <t>001110</t>
  </si>
  <si>
    <t>BPR LPN Kampung Manggis</t>
  </si>
  <si>
    <t>Rumah Tangga untuk Pemilikan Rumah Tinggal Tipe  22  s.d. 70</t>
  </si>
  <si>
    <t>001120</t>
  </si>
  <si>
    <t>PT BPR Baringin Padang Panjang Sakato</t>
  </si>
  <si>
    <t>Rumah Tangga untuk Pemilikan Rumah Tinggal Tipe  Diatas 70</t>
  </si>
  <si>
    <t>001130</t>
  </si>
  <si>
    <t>PT. BPR Koto Dalam</t>
  </si>
  <si>
    <t>Rumah Tangga untuk Pemilikan Flat atau Apartemen s.d. Tipe  21</t>
  </si>
  <si>
    <t>001210</t>
  </si>
  <si>
    <t>PT BPR Jorong Kampung Tangah</t>
  </si>
  <si>
    <t>Rumah Tangga untuk Pemilikan Flat atau Apartemen Tipe  22  s.d. 70</t>
  </si>
  <si>
    <t>001220</t>
  </si>
  <si>
    <t>PT BPR LA Mangau Sejahtera</t>
  </si>
  <si>
    <t>Rumah Tangga untuk Pemilikan Flat atau Apartemen Tipe  Diatas 70</t>
  </si>
  <si>
    <t>001230</t>
  </si>
  <si>
    <t>PT. BPR Ganto Nagari 1954</t>
  </si>
  <si>
    <t>Rumah Tangga untuk Pemilikan Rumah Toko  (Ruko) atau Rumah Kantor (Rukan)</t>
  </si>
  <si>
    <t>001300</t>
  </si>
  <si>
    <t>PT BPR Nagari Kasang</t>
  </si>
  <si>
    <t>Rumah Tangga untuk Pemilikan Mobil  Roda Empat</t>
  </si>
  <si>
    <t>002100</t>
  </si>
  <si>
    <t>PT BPR Cempaka Mitra Nagari</t>
  </si>
  <si>
    <t>Rumah Tangga untuk Pemilikan Sepeda Bermotor</t>
  </si>
  <si>
    <t>002200</t>
  </si>
  <si>
    <t>BPR LPN Tapan</t>
  </si>
  <si>
    <t>Rumah Tangga untuk Pemilikan Truk dan Kendaraan Bermotor Roda Enam atau Lebih</t>
  </si>
  <si>
    <t>002300</t>
  </si>
  <si>
    <t>PT BPR LPN Batang Tarusan</t>
  </si>
  <si>
    <t>Rumah Tangga untuk Pemilikan Kendaraan Bermotor Lainnya</t>
  </si>
  <si>
    <t>002900</t>
  </si>
  <si>
    <t>PT. BPR Batang Kapas</t>
  </si>
  <si>
    <t>Rumah Tangga untuk Pemilikan Furnitur dan Peralatan Rumah Tangga</t>
  </si>
  <si>
    <t>003100</t>
  </si>
  <si>
    <t>PT BPR Guguk Mas Makmur</t>
  </si>
  <si>
    <t>Rumah Tangga untuk Pemilikan  Televisi, Radio, dan  Alat Elektronik</t>
  </si>
  <si>
    <t>003200</t>
  </si>
  <si>
    <t>PT BPR Muaro Bodi</t>
  </si>
  <si>
    <t>Rumah Tangga untuk Pemilikan Komputer dan Alat Komunikasi</t>
  </si>
  <si>
    <t>003300</t>
  </si>
  <si>
    <t>PT. BPR Bukit Cati Pematang Panjang</t>
  </si>
  <si>
    <t>Rumah Tangga untuk Pemilikan Peralatan Lainnya</t>
  </si>
  <si>
    <t>003900</t>
  </si>
  <si>
    <t>PT BPR Sijunjung</t>
  </si>
  <si>
    <t>Rumah Tangga untuk Keperluan yang Tidak Diklasifikasikan di Tempat Lain - Rumah Tangga Untuk Keperluan Multiguna Beragunan Rumah Tinggal s.d Tipe  21</t>
  </si>
  <si>
    <t>004120</t>
  </si>
  <si>
    <t>PT. BPR Jayamora Krida</t>
  </si>
  <si>
    <t>Rumah Tangga untuk Keperluan yang Tidak Diklasifikasikan di Tempat Lain - Rumah Tangga Untuk Keperluan Multiguna Beragunan Rumah Tinggal Tipe  22  s.d 70</t>
  </si>
  <si>
    <t>004130</t>
  </si>
  <si>
    <t>PT. BPR Setia Natapala</t>
  </si>
  <si>
    <t>Rumah Tangga untuk Keperluan yang Tidak Diklasifikasikan di Tempat Lain - Rumah Tangga Untuk Keperluan Multiguna Beragunan Rumah Tinggal Tipe  diatas 70</t>
  </si>
  <si>
    <t>004140</t>
  </si>
  <si>
    <t>PT. BPR Naribi Perkasa</t>
  </si>
  <si>
    <t>Rumah Tangga untuk Keperluan yang Tidak Diklasifikasikan di Tempat Lain - Rumah Tangga Untuk Keperluan Multiguna Beragunan Apartemen s.d Tipe  21</t>
  </si>
  <si>
    <t>004150</t>
  </si>
  <si>
    <t>PT. BPR Artha Makmur Lestari</t>
  </si>
  <si>
    <t>Rumah Tangga untuk Keperluan yang Tidak Diklasifikasikan di Tempat Lain - Rumah Tangga Untuk Keperluan Multiguna Beragunan Apartemen Tipe  22  s.d 70</t>
  </si>
  <si>
    <t>004160</t>
  </si>
  <si>
    <t>PT. BPR Talabumi Ekapersada</t>
  </si>
  <si>
    <t>Rumah Tangga untuk Keperluan yang Tidak Diklasifikasikan di Tempat Lain - Rumah Tangga Untuk Keperluan Multiguna Beragunan Tipe  diatas 70</t>
  </si>
  <si>
    <t>004170</t>
  </si>
  <si>
    <t>PT. BPR Pinasungkulan</t>
  </si>
  <si>
    <t>Rumah Tangga untuk Keperluan yang Tidak Diklasifikasikan di Tempat Lain - Rumah Tangga Untuk Keperluan Multiguna Beragunan Ruko/Rukan</t>
  </si>
  <si>
    <t>004180</t>
  </si>
  <si>
    <t>PT. BPR Cileungsi Krida Sejahtera</t>
  </si>
  <si>
    <t>Rumah Tangga Untuk Keperluan Multiguna Lainnya</t>
  </si>
  <si>
    <t>004190</t>
  </si>
  <si>
    <t>PT BPR Nasional Nusantara</t>
  </si>
  <si>
    <t>Rumah Tangga Untuk Keperluan yang tidak diklasifikasikan di tempat lain</t>
  </si>
  <si>
    <t>004900</t>
  </si>
  <si>
    <t>PT. BPR Nusantara Bona Pasogit 2</t>
  </si>
  <si>
    <t>Bukan Lapangan Usaha Lainnya</t>
  </si>
  <si>
    <t>009000</t>
  </si>
  <si>
    <t>PT. BPR Danaberkah Lestari</t>
  </si>
  <si>
    <t>PT. BPR Niaga Mandiri</t>
  </si>
  <si>
    <t>PT. BPR Polin Jaya</t>
  </si>
  <si>
    <t>PT. BPR Artha Bersama</t>
  </si>
  <si>
    <t>PT. BPR Karunia</t>
  </si>
  <si>
    <t>PT. BPR Swadana Tridharma</t>
  </si>
  <si>
    <t>PT. BPR Tutur Ganda</t>
  </si>
  <si>
    <t>PT. BPR Sukma Kemang Agung</t>
  </si>
  <si>
    <t>PT. BPR Citra Bersada Abadi</t>
  </si>
  <si>
    <t>PT. BPR Gede Artaguna</t>
  </si>
  <si>
    <t>PT. BPR Genades Putranindo</t>
  </si>
  <si>
    <t>PT. BPR Bantoru Perintis</t>
  </si>
  <si>
    <t>PT. BPR Prabu Mitra</t>
  </si>
  <si>
    <t>PT. BPR Difobutama</t>
  </si>
  <si>
    <t>PT BPR Fidusia Civitas</t>
  </si>
  <si>
    <t>PT. BPR Sarana Utama Multidana</t>
  </si>
  <si>
    <t>PT. BPR Pularta Mandiri</t>
  </si>
  <si>
    <t>PT. BPR Dana Lestari</t>
  </si>
  <si>
    <t>PT. BPR Danasari Persada</t>
  </si>
  <si>
    <t>PT. BPR Arthamutiara Permai</t>
  </si>
  <si>
    <t>PT. BPR Cahaya Arthasejati</t>
  </si>
  <si>
    <t>PT. BPR Mutiara Jaya Sukses</t>
  </si>
  <si>
    <t>PT. BPR Markoni Saranajaya</t>
  </si>
  <si>
    <t>PT. BPR Tata Asia</t>
  </si>
  <si>
    <t>PT. BPR Mitra Karya</t>
  </si>
  <si>
    <t>PT. BPR Artharindo</t>
  </si>
  <si>
    <t>PT. BPR Karinamas Permai</t>
  </si>
  <si>
    <t>PT. BPR Aditama Arta</t>
  </si>
  <si>
    <t>PT. BPR Usaha Rakyat</t>
  </si>
  <si>
    <t>PT. BPR Kranji Krida Sejahtera</t>
  </si>
  <si>
    <t>PT. BPR Bangun Mitra Wadas</t>
  </si>
  <si>
    <t>PT. BPR Timika Dinamika Sarana</t>
  </si>
  <si>
    <t>PT. BPR Sekar</t>
  </si>
  <si>
    <t>PT. BPR Darmawan Adhiguna Lestari</t>
  </si>
  <si>
    <t>PT BPR Nusantara Bona Pasogit 12</t>
  </si>
  <si>
    <t>PT. BPR Alsaba Prima</t>
  </si>
  <si>
    <t>PT. BPR Cakra Danarta</t>
  </si>
  <si>
    <t>PT BPR Artha Mitra Kencana</t>
  </si>
  <si>
    <t>PT. BPR Central Artha Rezeki</t>
  </si>
  <si>
    <t>PT. BPR Datagita Mustika</t>
  </si>
  <si>
    <t>PT. BPR Tricipta Mandiri</t>
  </si>
  <si>
    <t>PT. BPR Sumber Pangasean</t>
  </si>
  <si>
    <t xml:space="preserve">PT BPR Bahtera Masyarakat Papua </t>
  </si>
  <si>
    <t>PT BPR Mitra Sejahtera Lestari</t>
  </si>
  <si>
    <t>PT. BPR Arta Jakarta</t>
  </si>
  <si>
    <t>PT. BPR Hosing Jaya</t>
  </si>
  <si>
    <t>PT. BPR Kreo Lestari</t>
  </si>
  <si>
    <t>PT. BPR Trisurya Binaartha</t>
  </si>
  <si>
    <t>PT BPR Vinski Mukti Arta</t>
  </si>
  <si>
    <t>PT BPR Mitra Daya Mandiri</t>
  </si>
  <si>
    <t>PT. BPR Bina Dian Citra</t>
  </si>
  <si>
    <t>PT. BPR Artadamas Mandiri</t>
  </si>
  <si>
    <t>PT. BPR Rifi Maligi</t>
  </si>
  <si>
    <t>PT. BPR Sehat Sejahtera</t>
  </si>
  <si>
    <t>PT BPR Gamon</t>
  </si>
  <si>
    <t>PT BPR Surya Kencana</t>
  </si>
  <si>
    <t>PT. BPR Berfasi Raharja</t>
  </si>
  <si>
    <t>PT. BPR Bekasi Binatanjung Makmur</t>
  </si>
  <si>
    <t>PT. BPR Cibitung Tanjungraya</t>
  </si>
  <si>
    <t>PT. BPR Varia Central Artha</t>
  </si>
  <si>
    <t>PT. BPR Arta Pundi Mekar</t>
  </si>
  <si>
    <t>PT. BPR Duta Pakuan Mandiri</t>
  </si>
  <si>
    <t>PT. BPR Sumber Lumbanmual</t>
  </si>
  <si>
    <t>PT. BPR Bumidhana Adigraha</t>
  </si>
  <si>
    <t>PT. BPR Arthakelola Cahayatama</t>
  </si>
  <si>
    <t>PT. BPR Prismaberlian Danarta</t>
  </si>
  <si>
    <t>PT. BPR Dian Faraqo Gemilang</t>
  </si>
  <si>
    <t>PT. BPR Bintara Pratama Sejahtera</t>
  </si>
  <si>
    <t>PT. BPR Gracia Mandiri</t>
  </si>
  <si>
    <t>PT. BPR Sinar Mitra Sejahtera</t>
  </si>
  <si>
    <t>PT. BPR Sumber Artha Rahayu</t>
  </si>
  <si>
    <t>PT. BPR Laksana Binacilegon</t>
  </si>
  <si>
    <t>PT. BPR Laksana Binacimanggis</t>
  </si>
  <si>
    <t>PT. BPR Laksana Lestari Serpong</t>
  </si>
  <si>
    <t>PT. BPR Artha Niaga Finatama</t>
  </si>
  <si>
    <t>PT. BPR Bumi Pendawa Raharja</t>
  </si>
  <si>
    <t>PT. BPR Nata Citraperdana</t>
  </si>
  <si>
    <t>PT. BPR Universal Karya Mandiri Puncak</t>
  </si>
  <si>
    <t>PT. BPR Pamanukan Bangunarta</t>
  </si>
  <si>
    <t>PT. BPR Artha Gandita</t>
  </si>
  <si>
    <t>PT. BPR Kertamulia</t>
  </si>
  <si>
    <t>PT. BPR Bumi Bandung Kencana</t>
  </si>
  <si>
    <t>PT. BPR Pangandaran</t>
  </si>
  <si>
    <t>PT. BPR Pola Dana</t>
  </si>
  <si>
    <t>PT. BPR Dipon Sejahtera</t>
  </si>
  <si>
    <t>PT. BPR Mustika Permai</t>
  </si>
  <si>
    <t>PT. BPR Permata Dhanawira</t>
  </si>
  <si>
    <t>PT. BPR Dhanagung Karang Ampel</t>
  </si>
  <si>
    <t>PT BPR Nusantara Bona Pasogit 11</t>
  </si>
  <si>
    <t>PT. BPR Mangun Pundiyasa</t>
  </si>
  <si>
    <t>PT. BPR Bahtera Masyarakat Jabar</t>
  </si>
  <si>
    <t>PT. BPR Emasnusantara Sentosa</t>
  </si>
  <si>
    <t>PT. BPR Lexi Pratama Mandiri d/h Pradipt</t>
  </si>
  <si>
    <t>PT BPR Sahabat Sejati</t>
  </si>
  <si>
    <t>PT. BPR Sahat Sentosa</t>
  </si>
  <si>
    <t>PT BPR Mitra Parahyangan</t>
  </si>
  <si>
    <t>PT BPR Mulia Yuganta Indonesia</t>
  </si>
  <si>
    <t>PT. BPR Banjar Arthasariguna</t>
  </si>
  <si>
    <t>PT. BPR Mekar Adidana</t>
  </si>
  <si>
    <t>PT. BPR Sarikusuma Surya</t>
  </si>
  <si>
    <t>PT. BPR Mitra Kanaka Santosa</t>
  </si>
  <si>
    <t>PT BPR Nusa</t>
  </si>
  <si>
    <t>PT. BPR Jujur Arghadana</t>
  </si>
  <si>
    <t>PT. BPR Supra Artapersada</t>
  </si>
  <si>
    <t>PT. BPR Arthia Sere</t>
  </si>
  <si>
    <t>PT. BPR Duta Pasundan</t>
  </si>
  <si>
    <t>PT. BPR Lambang Ganda</t>
  </si>
  <si>
    <t>PT. BPR Pundi Kencana Makmur</t>
  </si>
  <si>
    <t>PT BPR Mitra Kopjaya Mandiri</t>
  </si>
  <si>
    <t>PT. BPR Sumber Sibapudung</t>
  </si>
  <si>
    <t>PT. BPR Bandung Kidul</t>
  </si>
  <si>
    <t>PT. BPR Mranggen Mitrapersada</t>
  </si>
  <si>
    <t>PT. BPR Setia Karib Abadi</t>
  </si>
  <si>
    <t>PT. BPR Buana Artha Lestari</t>
  </si>
  <si>
    <t>PT. BPR Kartasura Makmur</t>
  </si>
  <si>
    <t>PT. BPR Artajaya Bhaktimulia</t>
  </si>
  <si>
    <t>PT. BPR Surya Y.kencana</t>
  </si>
  <si>
    <t>PD. BPR Artha Perwira</t>
  </si>
  <si>
    <t>PT. BPR Delta Sidoarjo</t>
  </si>
  <si>
    <t>PT. BPR Sabar Artha Prima</t>
  </si>
  <si>
    <t>PT. BPR Berlian Bumi Arta</t>
  </si>
  <si>
    <t>PT. BPR Arta Agung</t>
  </si>
  <si>
    <t>PT. BPR Hidup Artha Putra</t>
  </si>
  <si>
    <t>PT. BPR Mekar Nugraha Klepu</t>
  </si>
  <si>
    <t>PT. BPR Artha Parama</t>
  </si>
  <si>
    <t>PT BPR Dana Berkah Pusakatama</t>
  </si>
  <si>
    <t>PT. BPR Artha Kramat</t>
  </si>
  <si>
    <t>PT. BPR Lawu Artha</t>
  </si>
  <si>
    <t>PT. BPR Kartadhani Mulya</t>
  </si>
  <si>
    <t>PT BPR Satya Artha</t>
  </si>
  <si>
    <t>PT. BPR Jateng</t>
  </si>
  <si>
    <t>PT. BPR Danamitra Sejahtera</t>
  </si>
  <si>
    <t>PT. BPR Tirta Danarta</t>
  </si>
  <si>
    <t>PT. BPR Bumiayu Bangun Citra</t>
  </si>
  <si>
    <t>PT. BPR Kartasura Saribumi</t>
  </si>
  <si>
    <t>PT. BPR Sindu Adi</t>
  </si>
  <si>
    <t>PD BPR Bank Purwa Artha</t>
  </si>
  <si>
    <t>PT. BPR Dananta</t>
  </si>
  <si>
    <t>PT. BPR Arthayasa Ageng</t>
  </si>
  <si>
    <t>PT. BPR Gondangrejo</t>
  </si>
  <si>
    <t>PT. BPR Bina Arta Swadaya Yogyakarta</t>
  </si>
  <si>
    <t>PT. BPR Tawangmangu Jaya</t>
  </si>
  <si>
    <t>PT. BPR Danarakyat Sentosa</t>
  </si>
  <si>
    <t>PT BPR Mitra Pandanaran Mandiri</t>
  </si>
  <si>
    <t>PT. BPR Gamping Artha Raya</t>
  </si>
  <si>
    <t>PT BPR Mitra Budikusuma Mandiri</t>
  </si>
  <si>
    <t>PT BPR Hartasarana</t>
  </si>
  <si>
    <t>PT. BPR Karticentra Artha</t>
  </si>
  <si>
    <t>PT. BPR Grogol Joyo</t>
  </si>
  <si>
    <t>PD. BPR Giri Suka Dana</t>
  </si>
  <si>
    <t>PT. BPR Mlati Pundi Artha</t>
  </si>
  <si>
    <t>PT. BPR Sinar Garuda</t>
  </si>
  <si>
    <t>PT. BPR Mitra</t>
  </si>
  <si>
    <t>PT. BPR Yekti Insan Sembada</t>
  </si>
  <si>
    <t>PT BPR ALTO MAKMUR</t>
  </si>
  <si>
    <t>PT. BPR Eleska Artha</t>
  </si>
  <si>
    <t>PT. BPR Arta Yogyakarta</t>
  </si>
  <si>
    <t>PT. BPR Artha Mlatiindah</t>
  </si>
  <si>
    <t>PT. BPR Danamas Prima</t>
  </si>
  <si>
    <t>PT. BPR Antar Rumeksa Arta</t>
  </si>
  <si>
    <t>PD. BPR Djoko Tingkir</t>
  </si>
  <si>
    <t>PT BPR Mitra Pati Mandiri</t>
  </si>
  <si>
    <t>PT. BPR Arismentari Ayu</t>
  </si>
  <si>
    <t>PT. BPR Jatibarang Sediaguna</t>
  </si>
  <si>
    <t>PT. BPR Artha Mutiara</t>
  </si>
  <si>
    <t>PT. BPR Dhana Adiwerna</t>
  </si>
  <si>
    <t>PT. BPR Ambarketawang Persada</t>
  </si>
  <si>
    <t>PT. BPR Mitra Gema Mandiri</t>
  </si>
  <si>
    <t>PT. BPR Trihasta Prasodjo</t>
  </si>
  <si>
    <t>PT. BPR Artha Sambhara</t>
  </si>
  <si>
    <t>PT. BPR Kartikaartha Kencanajaya</t>
  </si>
  <si>
    <t>PT. BPR Taruna Adidaya Santosa</t>
  </si>
  <si>
    <t>PT. BPR Hartha Muriatama</t>
  </si>
  <si>
    <t>PT BPR Mitra Banaran Mandiri</t>
  </si>
  <si>
    <t>PT. BPR Sukadyarindang</t>
  </si>
  <si>
    <t>PT. BPR Asabahana Sejahtera</t>
  </si>
  <si>
    <t>PT. BPR Restu Klepu Makmur</t>
  </si>
  <si>
    <t>PT. BPR Juwana Arthasurya</t>
  </si>
  <si>
    <t>PT. BPR Kandimadu Arta</t>
  </si>
  <si>
    <t>PT. BPR Shinta Bhakti Wedi</t>
  </si>
  <si>
    <t>PT. BPR Kroya Bangunartha</t>
  </si>
  <si>
    <t>PT. BPR Wira Ardana Sejahtera</t>
  </si>
  <si>
    <t>PT. BPR Citra Artha Sedana</t>
  </si>
  <si>
    <t>PT. BPR Arthaguna Sejahtera</t>
  </si>
  <si>
    <t>PT. BPR Daya Perdana Nusantara</t>
  </si>
  <si>
    <t>PT. BPR Hitamajaya Argamandiri</t>
  </si>
  <si>
    <t>PT. BPR Soka Panca Artha</t>
  </si>
  <si>
    <t>PT. BPR Sinararta Sejahtera</t>
  </si>
  <si>
    <t>PT. BPR Dhana Mitratama</t>
  </si>
  <si>
    <t>PT BPR Arthapuspa Mega</t>
  </si>
  <si>
    <t>PT BPR Sinar Baru Perkasa</t>
  </si>
  <si>
    <t>PT. BPR Gunung Mas</t>
  </si>
  <si>
    <t>PD. BPR BKK Muntilan</t>
  </si>
  <si>
    <t>PD. BPR BKK Blora</t>
  </si>
  <si>
    <t>PD. BPR BKK Jepara Kota</t>
  </si>
  <si>
    <t>PD. BPR BKK Lasem</t>
  </si>
  <si>
    <t>PD. BPR BKK Kudus</t>
  </si>
  <si>
    <t>PD. BPR BKK Pati</t>
  </si>
  <si>
    <t>PD. BPR BKK Purwodadi</t>
  </si>
  <si>
    <t>PD. BPR BKK Kendal</t>
  </si>
  <si>
    <t>PD. BPR BKK Ungaran</t>
  </si>
  <si>
    <t>PD. BPR BKK Demak</t>
  </si>
  <si>
    <t>PT. BPR Persada Ganda</t>
  </si>
  <si>
    <t>PT. BPR Enggal Makmur Adi Santoso</t>
  </si>
  <si>
    <t>PT. BPR Sinarguna Sejahtera</t>
  </si>
  <si>
    <t>PT. BPR Sami Makmur d/h Pajang Raya</t>
  </si>
  <si>
    <t>PT. BPR Padat Ganda</t>
  </si>
  <si>
    <t>PT. BPR Sahabat Sedati</t>
  </si>
  <si>
    <t>PD. BPR BKK Kota Pekalongan</t>
  </si>
  <si>
    <t>PD. BPR BKK Kabupaten Pekalongan</t>
  </si>
  <si>
    <t>PD. BPR BKK Batang</t>
  </si>
  <si>
    <t>PD BPR BKK Kota Tegal</t>
  </si>
  <si>
    <t>PD BPR BKK Kab. Tegal</t>
  </si>
  <si>
    <t>PD. BPR BKK Taman</t>
  </si>
  <si>
    <t>PD. BPR BKK Wonogiri</t>
  </si>
  <si>
    <t>PD. BPR BKK Karangmalang</t>
  </si>
  <si>
    <t>PD. BPR BKK Tasikmadu</t>
  </si>
  <si>
    <t>PD BPR BKK Boyolali</t>
  </si>
  <si>
    <t>PD. BPR BKK Mandiraja</t>
  </si>
  <si>
    <t>PD. BPR BKK Purbalingga</t>
  </si>
  <si>
    <t>PD BPR BKK Cilacap</t>
  </si>
  <si>
    <t>PT. BPR Panji Aronta</t>
  </si>
  <si>
    <t>PT. BPR Mojoagung Pahalapakto</t>
  </si>
  <si>
    <t>PT. BPR Manuk Ayu</t>
  </si>
  <si>
    <t>PT. BPR Anglomas Indah</t>
  </si>
  <si>
    <t>PT. BPR Babat Lestari</t>
  </si>
  <si>
    <t>PT BPR Dana Raya Jawa Timur</t>
  </si>
  <si>
    <t>PT. BPR Ragasurya Nuansa</t>
  </si>
  <si>
    <t>PT. BPR Mentari Terang</t>
  </si>
  <si>
    <t>PT. BPR Sinar Wuluhan Artha</t>
  </si>
  <si>
    <t>PT. BPR Tanggul Mitra Karya</t>
  </si>
  <si>
    <t>PT. BPR Kalisat Arthawira</t>
  </si>
  <si>
    <t>PT. BPR Bangil Adyatama</t>
  </si>
  <si>
    <t>PT. BPR Dirgadhana Arthamas</t>
  </si>
  <si>
    <t>PT. BPR Aneka Dana Sejahtera</t>
  </si>
  <si>
    <t>PT. BPR Porong Idaman</t>
  </si>
  <si>
    <t>PT. BPR Restudhana Citrasejahtera</t>
  </si>
  <si>
    <t>PT. BPR Lumbung Artha Muntilanindo</t>
  </si>
  <si>
    <t>PT. BPR Sungkunandhana</t>
  </si>
  <si>
    <t>PT. BPR Ihuthan Ganda</t>
  </si>
  <si>
    <t>PT. BPR Rejeki Datang</t>
  </si>
  <si>
    <t>PT. BPR Ulintha Ganda</t>
  </si>
  <si>
    <t>PT. BPR Artha Asri Mulia</t>
  </si>
  <si>
    <t>PT. BPR Bagong Inti Marga</t>
  </si>
  <si>
    <t>PT. BPR Krian Wijaya</t>
  </si>
  <si>
    <t>PT. BPR Arthatama Caruban</t>
  </si>
  <si>
    <t>PT. BPR Sapadhana</t>
  </si>
  <si>
    <t>PT. BPR Hartaraya Ciptamulia</t>
  </si>
  <si>
    <t>PT. BPR Arta Seruni Surabaya</t>
  </si>
  <si>
    <t>PT BPR Harta Swadiri</t>
  </si>
  <si>
    <t>PT. BPR Rajekwesi</t>
  </si>
  <si>
    <t>PT. BPR Nagajayaraya Sentra Sentosa</t>
  </si>
  <si>
    <t>PT. BPR Nur Semesta Indah</t>
  </si>
  <si>
    <t>PT. BPR Surya Abadi Bersaudara</t>
  </si>
  <si>
    <t>PT. BPR Delta Bojonegoro</t>
  </si>
  <si>
    <t>PT. BPR Delta Gresik</t>
  </si>
  <si>
    <t>PT. BPR Artha Tuban Kencana</t>
  </si>
  <si>
    <t>PT. BPR Kridadhana Citranusa</t>
  </si>
  <si>
    <t>KBPR Amanah</t>
  </si>
  <si>
    <t>PT. BPR Kharisma Kusuma Lawang</t>
  </si>
  <si>
    <t>PT. BPR Kraton Suropati</t>
  </si>
  <si>
    <t>PT. BPR Wutama Artha Sejahtera</t>
  </si>
  <si>
    <t>PT. BPR Delta Singosari</t>
  </si>
  <si>
    <t>PT. BPR Delta Artha Kencana</t>
  </si>
  <si>
    <t>PT. BPR Delta Malang</t>
  </si>
  <si>
    <t>PT BPR Anugerahdharma Yuwana Bondowoso</t>
  </si>
  <si>
    <t>PT. BPR Delta Artha Panggung Situbondo</t>
  </si>
  <si>
    <t>PT. BPR Delta Artha Panggung Banyuwangi</t>
  </si>
  <si>
    <t>PT. BPR Delta Lamongan</t>
  </si>
  <si>
    <t>PT. BPR Agro Cipta Adiguna</t>
  </si>
  <si>
    <t>PT. BPR Kebomas</t>
  </si>
  <si>
    <t>PT. BPR Intan Nasional</t>
  </si>
  <si>
    <t>PT. BPR Sentra Dana Makmur</t>
  </si>
  <si>
    <t>PT BPR Anugerahdharma Yuwana Banyuwangi</t>
  </si>
  <si>
    <t>PT. BPR Mandiri Adiatra</t>
  </si>
  <si>
    <t>PT. BPR Terusan Jaya</t>
  </si>
  <si>
    <t>PT. BPR Arta Bangsal Utama</t>
  </si>
  <si>
    <t>PT. BPR Mitra Dhanaceswara</t>
  </si>
  <si>
    <t>PT. BPR Nusapanida Pandaan</t>
  </si>
  <si>
    <t>PT. BPR Bangil Idaman</t>
  </si>
  <si>
    <t>PT. BPR Artha Rahayu</t>
  </si>
  <si>
    <t>PT. BPR Djojo Mandiri Raya</t>
  </si>
  <si>
    <t>PT. BPR Karya Perdana Sejahtera</t>
  </si>
  <si>
    <t>PT. BPR Puridana Artamas</t>
  </si>
  <si>
    <t>PT. BPR Dharmasurya Aditika</t>
  </si>
  <si>
    <t>PT. BPR Caruban Indah</t>
  </si>
  <si>
    <t>KOP. BPR Semanding</t>
  </si>
  <si>
    <t>PT. BPR Permata Arta Surya</t>
  </si>
  <si>
    <t>PT BPR Buana Citra Sejahtera</t>
  </si>
  <si>
    <t>PT. BPR Bandung Adiartha</t>
  </si>
  <si>
    <t>PT. BPR Insumo Sumberarto</t>
  </si>
  <si>
    <t>PT. BPR Artha Dharma</t>
  </si>
  <si>
    <t>KOP. BPR Takeran</t>
  </si>
  <si>
    <t>PT. BPR Tanjung Tani</t>
  </si>
  <si>
    <t>PT. BPR Artha Wiwaha Arjuna</t>
  </si>
  <si>
    <t>PT. BPR Mahkota Mitrausaha</t>
  </si>
  <si>
    <t>PT. BPR Tanah Kondang</t>
  </si>
  <si>
    <t>PT BPR Artha Mandiri Sejahtera</t>
  </si>
  <si>
    <t>PT. BPR Tripakarti Dhanatama</t>
  </si>
  <si>
    <t>KOP. BPR Tawang Alun</t>
  </si>
  <si>
    <t>PT BPR Andalan Daerah</t>
  </si>
  <si>
    <t>PT. BPR Wahana Dhana Batu</t>
  </si>
  <si>
    <t>PT. BPR Candisaka Arta</t>
  </si>
  <si>
    <t>PT. BPR Mitra Majujaya Mandiri</t>
  </si>
  <si>
    <t>PT. BPR Mitra Cemawis Mandiri</t>
  </si>
  <si>
    <t>PT. BPR Puspa Kencana</t>
  </si>
  <si>
    <t>PT. BPR Arthamulya Bumimukti</t>
  </si>
  <si>
    <t>PT. BPR Buduran Delta Purnama</t>
  </si>
  <si>
    <t>PT. BPR Bumi Gora Jaya</t>
  </si>
  <si>
    <t>PT. BPR Puriseger Sentosa</t>
  </si>
  <si>
    <t>PT. BPR Delta Artha</t>
  </si>
  <si>
    <t>PT. BPR Sedayadhana Makmur</t>
  </si>
  <si>
    <t>PT. BPR Citra Halim Perdana</t>
  </si>
  <si>
    <t>PT. BPR Mitra Agung Mandiri</t>
  </si>
  <si>
    <t>PT. BPR Bumidinar Kencana</t>
  </si>
  <si>
    <t>PD. BPR BANK DAERAH TULUNGAGUNG</t>
  </si>
  <si>
    <t>PT BPR Mitra Catur Mandiri</t>
  </si>
  <si>
    <t>PT. BPR Anugerah Kusuma Singosari</t>
  </si>
  <si>
    <t>PT. BPR Indodana Hargotama</t>
  </si>
  <si>
    <t>PT. BPR Kimisanda</t>
  </si>
  <si>
    <t>PT. BPR Manuk Wari</t>
  </si>
  <si>
    <t>PT. BPR Manuk Walet</t>
  </si>
  <si>
    <t>PT. BPR Pujon Jayamakmur</t>
  </si>
  <si>
    <t>PT. BPR Kratonprima Abadi</t>
  </si>
  <si>
    <t>PT. BPR Bekonang Sukoharjo</t>
  </si>
  <si>
    <t>PT BPR Bangkit Prima Sejahtera</t>
  </si>
  <si>
    <t>PT. BPR Adiartha Reksacitra</t>
  </si>
  <si>
    <t>PT. BPR Sukorejo Makmur</t>
  </si>
  <si>
    <t>PT. BPR Mulya Sri Rejeki</t>
  </si>
  <si>
    <t>PT. BPR Purwoharjo Lestari</t>
  </si>
  <si>
    <t>PT. BPR Mitra Jaya Mandiri</t>
  </si>
  <si>
    <t>PT. BPR Sukowono Arthajaya</t>
  </si>
  <si>
    <t>PT. BPR Pareartorejo</t>
  </si>
  <si>
    <t>PT. BPR Batuartorejo</t>
  </si>
  <si>
    <t>PT. BPR Artha Ponorogo</t>
  </si>
  <si>
    <t>PT. BPR Wiradhana Putramas</t>
  </si>
  <si>
    <t>PT. BPR Artha Mitra Usaha</t>
  </si>
  <si>
    <t>PT. BPR Sentral Investasi d/h Gerbang Pr</t>
  </si>
  <si>
    <t>PT. BPR Anugerah Artasentosa Prima</t>
  </si>
  <si>
    <t>PT. BPR Harapan Saudara</t>
  </si>
  <si>
    <t>PT. BPR Mitra Ekonomi Andalas</t>
  </si>
  <si>
    <t>PT. BPR Bina Usaha dana</t>
  </si>
  <si>
    <t>PT. BPR Karpana Tasia</t>
  </si>
  <si>
    <t>PT. BPR Harapganda</t>
  </si>
  <si>
    <t>PT BPR Nusantara Bona Pasogit 26</t>
  </si>
  <si>
    <t>PT. BPR Rama Ganda</t>
  </si>
  <si>
    <t>PT. BPR Makmur Artha Sedaya</t>
  </si>
  <si>
    <t>PT. BPR Danatama Indonesia</t>
  </si>
  <si>
    <t>PT BPR Nusantara Bona Pasogit 14</t>
  </si>
  <si>
    <t>PT BPR Nature Primadana Capital</t>
  </si>
  <si>
    <t>PT BPR Kencana</t>
  </si>
  <si>
    <t>PT. BPR Efita Dana Sejahtera</t>
  </si>
  <si>
    <t>PT. BPR Nusumma Singaparna</t>
  </si>
  <si>
    <t>PT. BPR Dewangga Bali Artha</t>
  </si>
  <si>
    <t>PT. BPR Bank Kertiawan d/h Ubudmas Dharm</t>
  </si>
  <si>
    <t>PT. BPR Sentral Ekonomi Nusantara</t>
  </si>
  <si>
    <t>PT. BPR Santi Pala</t>
  </si>
  <si>
    <t>PT. BPR Mayun Utama Perdana</t>
  </si>
  <si>
    <t>PT. BPR Suryajaya Ubud</t>
  </si>
  <si>
    <t>PT. BPR Picu Manunggal Sejahtera</t>
  </si>
  <si>
    <t>PT. BPR Dinar Jagad</t>
  </si>
  <si>
    <t>PT. BPR Ulatidana Rahayu</t>
  </si>
  <si>
    <t>PT. BPR Mertha Sedana</t>
  </si>
  <si>
    <t>PT. BPR Padma</t>
  </si>
  <si>
    <t>PT. BPR Gisawa</t>
  </si>
  <si>
    <t>PT. BPR Suryajaya Kubutambahan</t>
  </si>
  <si>
    <t>PT. BPR Permata Sedana</t>
  </si>
  <si>
    <t>PT. BPR Urip Kalantas</t>
  </si>
  <si>
    <t>PT. BPR Cahaya Binawerdi</t>
  </si>
  <si>
    <t>PT. BPR Saptacristy Utama</t>
  </si>
  <si>
    <t>PT BPR Naga</t>
  </si>
  <si>
    <t>PT. BPR Danamaster Dewata</t>
  </si>
  <si>
    <t>PT. BPR Baskara Dewata</t>
  </si>
  <si>
    <t>PT. BPR Dana Master Surya</t>
  </si>
  <si>
    <t>PT. BPR Suar Artha Dharma d/h Campuan</t>
  </si>
  <si>
    <t>PT. BPR Mas Giri Wangi d/h Budidaya Seda</t>
  </si>
  <si>
    <t>PT BPR KS Bali Agung Sedana</t>
  </si>
  <si>
    <t>PT. BPR Adiartha Udiana</t>
  </si>
  <si>
    <t>PT. BPR Siaga Dana Kuta</t>
  </si>
  <si>
    <t>PT. BPR Dewata Indobank</t>
  </si>
  <si>
    <t>PT. BPR Nusapanida Kuta</t>
  </si>
  <si>
    <t>PT. BPR Hari Depan</t>
  </si>
  <si>
    <t>PT. BPR Bali Artha Anugrah</t>
  </si>
  <si>
    <t>PT. BPR Khrisna Darma Adipala</t>
  </si>
  <si>
    <t>PT. BPR Bali Dananiaga</t>
  </si>
  <si>
    <t>PT. BPR Aruna Nirmaladuta</t>
  </si>
  <si>
    <t>PT. BPR Varis Mandiri</t>
  </si>
  <si>
    <t>PT. BPR Artha Budaya</t>
  </si>
  <si>
    <t>PT. BPR Partha Kencana Tohpati</t>
  </si>
  <si>
    <t>PT. BPR Gianyar Parthasedana</t>
  </si>
  <si>
    <t>PT. BPR Hoki</t>
  </si>
  <si>
    <t>PT BPR Mitra Bali Srisedana Mandiri</t>
  </si>
  <si>
    <t>PT. BPR Mitra Bali Artha Mandiri</t>
  </si>
  <si>
    <t>PT. BPR Mitra Bali Jaya Mandiri</t>
  </si>
  <si>
    <t>PT. BPR Mitra Bali Mandiri</t>
  </si>
  <si>
    <t>PT. BPR Kusemas Dana Mandiri</t>
  </si>
  <si>
    <t>PT. BPR Angsa Sedanayoga</t>
  </si>
  <si>
    <t>PT. BPR Kanaya</t>
  </si>
  <si>
    <t>PT BPR Mitra Bali Muktijaya Mandiri</t>
  </si>
  <si>
    <t>PT. BPR Kita</t>
  </si>
  <si>
    <t>PT. BPR Balaguna Perasta</t>
  </si>
  <si>
    <t>PT. BPR Mulia Wacana</t>
  </si>
  <si>
    <t>PT. BD Sarpana Dhana</t>
  </si>
  <si>
    <t>PT. BPR Raga Jayatama</t>
  </si>
  <si>
    <t>PT. BPR Dewata Candradana</t>
  </si>
  <si>
    <t>PT. BPR Eka Ayu Artha Bhuwana</t>
  </si>
  <si>
    <t>PT. BPR Sari Jaya Sedana d/h Acuta Jaya</t>
  </si>
  <si>
    <t>PT. BPR Narpada Nusa</t>
  </si>
  <si>
    <t>PT. BPR Abdi Warga Mulia</t>
  </si>
  <si>
    <t>PT. BPR Phidectama Sentani</t>
  </si>
  <si>
    <t>PT. BPR Terabina Seraya Mulia</t>
  </si>
  <si>
    <t>PT. BPR Jati Lestari</t>
  </si>
  <si>
    <t>PT BPR Nusantara Bona Pasogit 20</t>
  </si>
  <si>
    <t>PT.BPR Nusantara Bona Pasogit 18</t>
  </si>
  <si>
    <t>PT. BPR Nusantara Bona Pasogit 15</t>
  </si>
  <si>
    <t>PT. BPR Nusantara Bona Pasogit 17</t>
  </si>
  <si>
    <t>PT. BPR Bumiasih NBP 21</t>
  </si>
  <si>
    <t>PT. BPR Bandar Jaya d/h Perdagangan NBP</t>
  </si>
  <si>
    <t>PT. BPR Banyu Arthacitra</t>
  </si>
  <si>
    <t>PD BPR Bank Daerah Pati</t>
  </si>
  <si>
    <t>PT BPR Sentral Mitra Sejahtera</t>
  </si>
  <si>
    <t>PT. BPR Palu Lokadana Utama</t>
  </si>
  <si>
    <t>PT. BPR Pondasi Niaga Perdana</t>
  </si>
  <si>
    <t>PD. BPR BP Kota Pekalongan</t>
  </si>
  <si>
    <t>PT. BPR Danamasa Cimahi</t>
  </si>
  <si>
    <t>PT. BPR Irian Sentosa</t>
  </si>
  <si>
    <t>PT. BPR Asri Cikupa Karya</t>
  </si>
  <si>
    <t>PT. BPR Parasahabat Bekasi</t>
  </si>
  <si>
    <t>PT BPR Dana Pos</t>
  </si>
  <si>
    <t>PT BPR Ukabima Lumbung Sejahtera</t>
  </si>
  <si>
    <t>PT BPR Karya Guna Mandiri</t>
  </si>
  <si>
    <t>PT BPR Swadharma Artha Nusa</t>
  </si>
  <si>
    <t>PT. BPR Swadharma Bangun Artha</t>
  </si>
  <si>
    <t>PT. BPR Karangwaru Pratama</t>
  </si>
  <si>
    <t>PT. BPR Muara Sumber Dana</t>
  </si>
  <si>
    <t>PT. BPR Brata Nusantara</t>
  </si>
  <si>
    <t>PT. BPR Prima Kredit Mandiri</t>
  </si>
  <si>
    <t>PT. BPR Raksa Wacana Agri Purnama</t>
  </si>
  <si>
    <t>PT. BPR Sulawesi Danajaya</t>
  </si>
  <si>
    <t>PT. BPR BUMIBEKASI ARTHA</t>
  </si>
  <si>
    <t>PT. BPR Lopok Ganda</t>
  </si>
  <si>
    <t>PT. BPR Kabalong Abdi Swadaya</t>
  </si>
  <si>
    <t>PT. BPR Bima Abdi Swadaya</t>
  </si>
  <si>
    <t>PT. BPR Primanadi</t>
  </si>
  <si>
    <t>PT. BPR Daramandiri</t>
  </si>
  <si>
    <t>PT. BPR Tritama Abadi Mengkendek</t>
  </si>
  <si>
    <t>PT. BPR Yustima</t>
  </si>
  <si>
    <t>PT. BPR Lugas Ganda</t>
  </si>
  <si>
    <t>PT. BPR Samawa Kencana</t>
  </si>
  <si>
    <t>PT. BPR Citra Dumoga</t>
  </si>
  <si>
    <t>PT. BPR Capta Sakti Sejahtera</t>
  </si>
  <si>
    <t>PT. BPR Capta Mulia Abadi</t>
  </si>
  <si>
    <t>PT. BPR Mega Zanur</t>
  </si>
  <si>
    <t>PT. BPR Akarumi</t>
  </si>
  <si>
    <t>PT BPR Pembangunan Kab Padang Pariaman</t>
  </si>
  <si>
    <t>PT. BPR Prisma Dana</t>
  </si>
  <si>
    <t>PT. BPR Dumai Kapital Lestari</t>
  </si>
  <si>
    <t>PT. BPR Karyabhakti Ugahari</t>
  </si>
  <si>
    <t>PT. BPR Pinasungkulan Indah</t>
  </si>
  <si>
    <t>KOP. BPR VII Koto</t>
  </si>
  <si>
    <t>PT. BPR Pijer Podi Kekelengen</t>
  </si>
  <si>
    <t>PT. BPR Perbaungan Hombar Makmur</t>
  </si>
  <si>
    <t>PT. BPR Mapalus Tumetenden</t>
  </si>
  <si>
    <t>PT. BPR Maroba Ite</t>
  </si>
  <si>
    <t>KOP. BPR Ingin Jaya</t>
  </si>
  <si>
    <t>PT. BPR Mindosari</t>
  </si>
  <si>
    <t>PT. BPR Asparaga Adiguna Bersama</t>
  </si>
  <si>
    <t>PT. BPR Puangrimanggalatung</t>
  </si>
  <si>
    <t>PT. BPR Tabungan Rakyat</t>
  </si>
  <si>
    <t>PT. BPR Kartika Matuari</t>
  </si>
  <si>
    <t>PT. BPR Phidectama Abepura</t>
  </si>
  <si>
    <t>PT. BPR Tebas Lokarizki</t>
  </si>
  <si>
    <t>PT. BPR Dian Binarta</t>
  </si>
  <si>
    <t>PT. BPR Rarat Ganda</t>
  </si>
  <si>
    <t>PT. BPR Musi Artha Lestari</t>
  </si>
  <si>
    <t>PT. BPR Tri Gunung Selatan</t>
  </si>
  <si>
    <t>PT. BPR Multidana Mandiri</t>
  </si>
  <si>
    <t>PT. BPR Tiur Ganda</t>
  </si>
  <si>
    <t>PT. BPR Tahap Ganda</t>
  </si>
  <si>
    <t>PT. BPR Prabumegah Kencana</t>
  </si>
  <si>
    <t>PT. BPR Nusantara Bona Pasogit 8</t>
  </si>
  <si>
    <t>PT BPR Nusantara Bona Pasogit 6</t>
  </si>
  <si>
    <t>PT. BPR Bumiasih NBP 7 d/h Raya NBP</t>
  </si>
  <si>
    <t>PT BPR Nusantara Bona Pasogit 4</t>
  </si>
  <si>
    <t>PT. BPR Nusantara Bona Pasogit 5</t>
  </si>
  <si>
    <t>PT. BPR Nusantara Bona Pasogit 10</t>
  </si>
  <si>
    <t>PT. BPR Nusantara Bona Pasogit 9</t>
  </si>
  <si>
    <t>PT. BPR Nusantara Bona Pasogit 1</t>
  </si>
  <si>
    <t>PT. BPR Nusantara Bona Pasogit 3</t>
  </si>
  <si>
    <t>PT. BPR Disky Suryajaya</t>
  </si>
  <si>
    <t>PT. BPR Milala</t>
  </si>
  <si>
    <t>PT BPR Nusantara Bona Pasogit 13</t>
  </si>
  <si>
    <t>PT. BPR Prima Tata Patumbak</t>
  </si>
  <si>
    <t>PT. BPR Tridana Percut</t>
  </si>
  <si>
    <t>PT. BPR Diori Ganda</t>
  </si>
  <si>
    <t>PT. BPR Bina Barumun</t>
  </si>
  <si>
    <t>PT. BPR Nusantara Sunggal</t>
  </si>
  <si>
    <t>PT. BPR Sumber Tiopan Raya</t>
  </si>
  <si>
    <t>PT. BPR Logo Karo Asli</t>
  </si>
  <si>
    <t>PT. BPR Gunung Adidana</t>
  </si>
  <si>
    <t>PT. BPR Tapeuna Dana</t>
  </si>
  <si>
    <t>PT. BPR Prima Nusatama</t>
  </si>
  <si>
    <t>PT. BPR Panca Arta Monjali</t>
  </si>
  <si>
    <t>PT. BPR Arum Mandiri Kenanga</t>
  </si>
  <si>
    <t>PT. BPR Arum Mandiri Melati</t>
  </si>
  <si>
    <t>PT. BPR Artha Sumber Arum</t>
  </si>
  <si>
    <t>PT. BPR Gawi Sabumi Mandarsari</t>
  </si>
  <si>
    <t>PT. BPR Pancur Banua Khatulistiwa</t>
  </si>
  <si>
    <t>PT. BPR Cahaya Wiraputra</t>
  </si>
  <si>
    <t>PT. BPR Dana Permata Lestari</t>
  </si>
  <si>
    <t>PT. BPR Dana Tirtaraya</t>
  </si>
  <si>
    <t>PT. BPR Sambas Arta</t>
  </si>
  <si>
    <t>PT. BPR Lingga Sejahtera</t>
  </si>
  <si>
    <t>PT. BPR Laksana Abadi Sunggal</t>
  </si>
  <si>
    <t>PT. BPR Laksana Guna Percut</t>
  </si>
  <si>
    <t>PT. BPR Talabumi Sunggal</t>
  </si>
  <si>
    <t>PT. BPR Duta Paramarta</t>
  </si>
  <si>
    <t>PT. BPR Telaga Sinar Cahaya</t>
  </si>
  <si>
    <t>PT BPR Fajar Artha Makmur</t>
  </si>
  <si>
    <t>PT. BPR Baleendah Rahayu</t>
  </si>
  <si>
    <t>PT. BPR Sindang Binaharta</t>
  </si>
  <si>
    <t>PT. BPR Bahtera Masyarakat</t>
  </si>
  <si>
    <t>PT. BPR Citradana Rahayu</t>
  </si>
  <si>
    <t>PT. BPR Harta Tanamas</t>
  </si>
  <si>
    <t>PT. BPR Apta Sejahtera</t>
  </si>
  <si>
    <t>PT. BPR Brata Bhakti Sejahtera</t>
  </si>
  <si>
    <t>PT. BPR Citra Halim Dhanatama</t>
  </si>
  <si>
    <t>PT. BPR Ploso Saranaartha</t>
  </si>
  <si>
    <t>PT. BPR Artha Waringin Jaya</t>
  </si>
  <si>
    <t>PT BPR Arta Mas Surakarta</t>
  </si>
  <si>
    <t>PT. BPR Handalan Danagraha</t>
  </si>
  <si>
    <t>PD. BPR Indra Arta</t>
  </si>
  <si>
    <t>PT. BPR Jelita Artha</t>
  </si>
  <si>
    <t>PT. BPR Mos Muara Panas</t>
  </si>
  <si>
    <t>PT. BPR Sungai Rumbai</t>
  </si>
  <si>
    <t>PT. BPR Sago Luhak Limapuluh</t>
  </si>
  <si>
    <t>PT. BPR Rap Ganda</t>
  </si>
  <si>
    <t>PT. BPR Gema Ampekkoto Sejahtera</t>
  </si>
  <si>
    <t>PT. BPR Nurul Barokah</t>
  </si>
  <si>
    <t>PT. BPR Lipat Ganda</t>
  </si>
  <si>
    <t>PT. BPR Fajar Warapastika</t>
  </si>
  <si>
    <t>PT. BPR Dhana Sewu</t>
  </si>
  <si>
    <t>PT. BPR Tahuan Ganda</t>
  </si>
  <si>
    <t>PT. BPR Lampung Bina Sejahtera</t>
  </si>
  <si>
    <t>PT. BPR Arta Kedaton Makmur</t>
  </si>
  <si>
    <t>PT. BPR Tataarta Swadaya</t>
  </si>
  <si>
    <t>PT. BPR Nusantara Bona Pasogit 19</t>
  </si>
  <si>
    <t>PT. BPR Satria Pertiwi Semarang</t>
  </si>
  <si>
    <t>PT. BPR Nusantara Bona Pasogit 32</t>
  </si>
  <si>
    <t>PT. BPR Wingsati</t>
  </si>
  <si>
    <t>PT. BPR Tumpang Prima Artorejo</t>
  </si>
  <si>
    <t>PT. BPR Berkah Pakto</t>
  </si>
  <si>
    <t>PT. BPR Sari Dinarmas</t>
  </si>
  <si>
    <t>PT. BPR Hamindo Natamakmur</t>
  </si>
  <si>
    <t>PT. BPR Unisritama</t>
  </si>
  <si>
    <t>PD. BPR Sarimadu</t>
  </si>
  <si>
    <t>PT. BPR Chandra Muktiartha</t>
  </si>
  <si>
    <t>PT BPR Dewa Arthaka Mulya</t>
  </si>
  <si>
    <t>PT. BPR Laksana Luhurcilamaya</t>
  </si>
  <si>
    <t>PT BPR Mitra Rukun Mandiri</t>
  </si>
  <si>
    <t>PT.BPR Nusantara Bona Pasogit 31</t>
  </si>
  <si>
    <t>PT BPR Nusantara Bona Pasogit 27</t>
  </si>
  <si>
    <t>PT. BPR Ragam Danakencana</t>
  </si>
  <si>
    <t>PT. BPR Semesta Megadana</t>
  </si>
  <si>
    <t>PT. BPR Gunadhana Mitrasembada</t>
  </si>
  <si>
    <t>PT. BPR Baldah Sentosa</t>
  </si>
  <si>
    <t>PD. BPR Kota Bandung</t>
  </si>
  <si>
    <t>PT. BPR Trisurya Marga Artha</t>
  </si>
  <si>
    <t>PT. BPR Daya Lumbung Asia</t>
  </si>
  <si>
    <t>PT BPR Nusantara Bona Pasogit 30</t>
  </si>
  <si>
    <t>PT BPR Nusantara Bona Pasogit 29</t>
  </si>
  <si>
    <t>PT BPR Nusantara Bona Pasogit 28</t>
  </si>
  <si>
    <t>PT. BPR Sinarenam Permai Jatiasih</t>
  </si>
  <si>
    <t>PT. BPR Artha Jaya Mandiri</t>
  </si>
  <si>
    <t>PT BPR Surya Prima Persada</t>
  </si>
  <si>
    <t>PT. BPR Mitra Rakyat Riau</t>
  </si>
  <si>
    <t>PT. BPR Mitra Prima Lestari</t>
  </si>
  <si>
    <t>PD. BPR Kota Samarinda</t>
  </si>
  <si>
    <t>PT. BPR Siliwangi Tasikmalaya</t>
  </si>
  <si>
    <t>PT. BPR Hasa Mitra</t>
  </si>
  <si>
    <t>PT. BPR Kusuma Arta Rini</t>
  </si>
  <si>
    <t>PT. BPR Banda Raya</t>
  </si>
  <si>
    <t>PT. BPR Artha Karya Sejahtera</t>
  </si>
  <si>
    <t>PT. BPR Prima Multi Makmur</t>
  </si>
  <si>
    <t>PT. BPR Dana Bintan Sejahtera</t>
  </si>
  <si>
    <t>PT. BPR Bumi Riau Insani</t>
  </si>
  <si>
    <t>PT. BPR Zebra Surya Prima</t>
  </si>
  <si>
    <t>PT BPR Semoga Jaya Artha</t>
  </si>
  <si>
    <t>PT. BPR Guna Rakyat</t>
  </si>
  <si>
    <t>PT. BPR Artha Berkah Cemerlang</t>
  </si>
  <si>
    <t>PT. BPR Ukabima Sejahtera</t>
  </si>
  <si>
    <t>PT BPR Cemerlang Kapuas Makmur</t>
  </si>
  <si>
    <t>PT. BPR Artha Prima Persada</t>
  </si>
  <si>
    <t>PT. BPR Arisma Mandiri</t>
  </si>
  <si>
    <t>PT. BPR Magga Jaya Utama</t>
  </si>
  <si>
    <t>PT BPR Pundhi</t>
  </si>
  <si>
    <t>PT BPR Walet Jaya Abadi</t>
  </si>
  <si>
    <t>PT. BPR Surya Artha Utama</t>
  </si>
  <si>
    <t>PT. BPR Tambun Ijuk</t>
  </si>
  <si>
    <t>PT. BPR Cahaya Fajar</t>
  </si>
  <si>
    <t>PT BPR Jam Gadang</t>
  </si>
  <si>
    <t>PT BPR Alimo Dana Prima</t>
  </si>
  <si>
    <t>PT. BPR Musi Artha Surya</t>
  </si>
  <si>
    <t>PT BPR Dana Nagoya</t>
  </si>
  <si>
    <t>PT. BPR Palu Anugerah</t>
  </si>
  <si>
    <t>PT BPR Sukadana Prima</t>
  </si>
  <si>
    <t>PT BPR Talenta Raya</t>
  </si>
  <si>
    <t>PT BPR Budisetia</t>
  </si>
  <si>
    <t>PT BPR Wuni Artha Utama</t>
  </si>
  <si>
    <t>PT BPR Andalan Favorit Perdana</t>
  </si>
  <si>
    <t>PD BPR Subang</t>
  </si>
  <si>
    <t>PT BPR Pagai Utara Selatan</t>
  </si>
  <si>
    <t>PT BPR Kutai Timur</t>
  </si>
  <si>
    <t>PT BPR Sipora</t>
  </si>
  <si>
    <t>PT BPR Samudera</t>
  </si>
  <si>
    <t>PT BPR Mina Mandiri</t>
  </si>
  <si>
    <t>PT BPR Tuah Negeri Mandiri</t>
  </si>
  <si>
    <t>PT BPR Bepede Kutai Sejahtera</t>
  </si>
  <si>
    <t>PT BPR Mataram Mitra Manunggal</t>
  </si>
  <si>
    <t>PT BPR Usaha Madani Karya Mulia</t>
  </si>
  <si>
    <t>PT BPR LSE Manggala</t>
  </si>
  <si>
    <t>PT BPR Pekanbaru</t>
  </si>
  <si>
    <t>PT BPR Artha Praja</t>
  </si>
  <si>
    <t>PD BPR Rokan Hulu</t>
  </si>
  <si>
    <t>PD BPR Citra Mas</t>
  </si>
  <si>
    <t>PT BPR Metro Asia Mandiri</t>
  </si>
  <si>
    <t>PT BPR Mandiri Jaya Perkasa</t>
  </si>
  <si>
    <t>PT BPR Permata Hati jaya</t>
  </si>
  <si>
    <t>PT BPR Pesisir Akbar</t>
  </si>
  <si>
    <t>PT BPR Duta Artha Sejahtera</t>
  </si>
  <si>
    <t>PT BPR Supra Wahana Arta</t>
  </si>
  <si>
    <t>PT BPR Pesisir Layar Berkembang</t>
  </si>
  <si>
    <t>PT BPR Berlian Global Aceh</t>
  </si>
  <si>
    <t>PT BPR Tunas Jaya Graha</t>
  </si>
  <si>
    <t>PT BPR Universal Karya Mandiri Riau</t>
  </si>
  <si>
    <t>PT BPR Celebes Mitra Perdana</t>
  </si>
  <si>
    <t>PT BPR Sumatera Selatan</t>
  </si>
  <si>
    <t>PD BPR Bintan</t>
  </si>
  <si>
    <t>PT BPR Tata Karya Indonesia</t>
  </si>
  <si>
    <t>PD BPR Kerta Raharja</t>
  </si>
  <si>
    <t>PT BPR Tanaoba Lais Manekat</t>
  </si>
  <si>
    <t>PT BPR Pesisir Tanadoang</t>
  </si>
  <si>
    <t>PT BPR Bina Dana Cakrawala</t>
  </si>
  <si>
    <t>PD BPR Bestari</t>
  </si>
  <si>
    <t>PT BPR Utomo Manunggal Sejahtera Lampung</t>
  </si>
  <si>
    <t>PT BPR Harta Mandiri</t>
  </si>
  <si>
    <t>PT BPR Papua Mandiri Makmur</t>
  </si>
  <si>
    <t>PT BPR Arto Moro</t>
  </si>
  <si>
    <t>PT BPR Delta Dana Mandiri</t>
  </si>
  <si>
    <t>PT BPR Niji</t>
  </si>
  <si>
    <t>PT BPR Panca Arta Graha</t>
  </si>
  <si>
    <t>PT BPR Indomitra Mega Kapital</t>
  </si>
  <si>
    <t>PT BPR Putra Batam</t>
  </si>
  <si>
    <t>PT BPR Karya Bakti Sejahtera</t>
  </si>
  <si>
    <t>PT BPR Stigma Andalas</t>
  </si>
  <si>
    <t>PT BPR Hardi Mas Mandiri</t>
  </si>
  <si>
    <t>PT BPR Timor Raya Makmur</t>
  </si>
  <si>
    <t>PT BPR Danamas Simpan Pinjam</t>
  </si>
  <si>
    <t>PT BPR Prima Dana Abadi</t>
  </si>
  <si>
    <t>PT BPR Kepri Batam</t>
  </si>
  <si>
    <t>PT BPR Kepri Bintan</t>
  </si>
  <si>
    <t>PT BPR Agra Dhana</t>
  </si>
  <si>
    <t>PT BPR Yaspis Dana Prima</t>
  </si>
  <si>
    <t>PT BPR Kintamas Mitra Dana</t>
  </si>
  <si>
    <t>PT BPR Christa Jaya Perdana</t>
  </si>
  <si>
    <t>PT BPR Puskopat</t>
  </si>
  <si>
    <t>PT BPR Rasyid</t>
  </si>
  <si>
    <t>PT BPR Central Sejahtera</t>
  </si>
  <si>
    <t>PT BPR Pembangunan Kerinci</t>
  </si>
  <si>
    <t>PT BPR Tunas Mitra Mandiri</t>
  </si>
  <si>
    <t>PD BPR Dana Amanah</t>
  </si>
  <si>
    <t>PD BPR Marunting Sejahtera</t>
  </si>
  <si>
    <t>PT BPR Artha Karya Usaha</t>
  </si>
  <si>
    <t>PT BPR Cempaka Mitra Nagori Kuansing</t>
  </si>
  <si>
    <t>PT BPR Indobaru Finansia</t>
  </si>
  <si>
    <t>PT BPR Surya Utama</t>
  </si>
  <si>
    <t>PT BPR Tanjung Pratama</t>
  </si>
  <si>
    <t>PT BPR Karimun Sejahtera</t>
  </si>
  <si>
    <t>PT BPR Harapan Bunda</t>
  </si>
  <si>
    <t>PT BPR Global Mentari</t>
  </si>
  <si>
    <t>PT. BPR Dana Fanindo</t>
  </si>
  <si>
    <t>PT BPR Ukabima Grazia</t>
  </si>
  <si>
    <t>PT BPR Nustria Mitra Abadi</t>
  </si>
  <si>
    <t>PT BPR Ukabima Mitra Dana</t>
  </si>
  <si>
    <t>PT BPR Bontang Sejahtera</t>
  </si>
  <si>
    <t>PT BPR Dana Mitra Sukses</t>
  </si>
  <si>
    <t>PT BPR Prima Artha Sejahtera</t>
  </si>
  <si>
    <t>PD BPR Sumedang</t>
  </si>
  <si>
    <t>PD BPR NTB Lombok Tengah</t>
  </si>
  <si>
    <t>PD BPR NTB Lombok Timur</t>
  </si>
  <si>
    <t>PT BPR Dana Putra</t>
  </si>
  <si>
    <t>PT BPR Dana Makmur</t>
  </si>
  <si>
    <t>PT BPR Buana Arta Mulia</t>
  </si>
  <si>
    <t>PD BPR NTB Sumbawa</t>
  </si>
  <si>
    <t>PT BPR Kencana Mandiri</t>
  </si>
  <si>
    <t>PT BPR Central Dana Mandiri</t>
  </si>
  <si>
    <t>PT BPR Athena Surya Prima</t>
  </si>
  <si>
    <t>PT. BPR Kerta Raharja</t>
  </si>
  <si>
    <t>PT BPR Dana Raya</t>
  </si>
  <si>
    <t>PD BPR Garut</t>
  </si>
  <si>
    <t>PT BPR Cempaka Mitra Usaha</t>
  </si>
  <si>
    <t>PT BPR Arfak Indonesia</t>
  </si>
  <si>
    <t>PT BPR Central Kepri</t>
  </si>
  <si>
    <t>PT BPR Tara Dharma Artha</t>
  </si>
  <si>
    <t>PT BPR Dana Central Mulia</t>
  </si>
  <si>
    <t>PT BPR Majesty Golden Raya</t>
  </si>
  <si>
    <t>PT BPR Bobato Lestari</t>
  </si>
  <si>
    <t>PT BPR Central Artha</t>
  </si>
  <si>
    <t>PT BPR Duta Perdana</t>
  </si>
  <si>
    <t>PT BPR Mitra Harmoni</t>
  </si>
  <si>
    <t>PT BPR Sumber Dana Mas</t>
  </si>
  <si>
    <t>PD BPR NTB Lombok Barat</t>
  </si>
  <si>
    <t>PT BPR Dana Mandiri</t>
  </si>
  <si>
    <t>PD BPR NTB Dompu</t>
  </si>
  <si>
    <t>PD BPR NTB Bima</t>
  </si>
  <si>
    <t>PT BPR Primaesa Sejahtera</t>
  </si>
  <si>
    <t>PT. BPR Dana Wira Buana</t>
  </si>
  <si>
    <t>PT BPR Cipta Cemerlang Indonesia</t>
  </si>
  <si>
    <t>PT.BPR Wahana Bersama KPUM</t>
  </si>
  <si>
    <t>PT BPR Putra Niaga Mandiri</t>
  </si>
  <si>
    <t>PT.BPR Faiza Pradani Andi</t>
  </si>
  <si>
    <t>PT BPR Central Niaga Abadi</t>
  </si>
  <si>
    <t>PD BPR Artha Sukapura</t>
  </si>
  <si>
    <t>PD BPR Artha Galunggung</t>
  </si>
  <si>
    <t>PD BPR Bahteramas Kendari</t>
  </si>
  <si>
    <t>PD BPR Bahteramas Bau-Bau</t>
  </si>
  <si>
    <t>PD BPR Bahteramas Konawe</t>
  </si>
  <si>
    <t>PD BPR Bahteramas Konawe Selatan</t>
  </si>
  <si>
    <t>PD BPR Bahteramas Kolaka</t>
  </si>
  <si>
    <t>PD BPR Bahteramas Bombana</t>
  </si>
  <si>
    <t>PD BPR Bahteramas Wakatobi</t>
  </si>
  <si>
    <t>PT BPR Danatama Artha Mandiri</t>
  </si>
  <si>
    <t>PT. BPR Dana Mitra Utama</t>
  </si>
  <si>
    <t>PT BPR Mega Mas Lestari</t>
  </si>
  <si>
    <t>PT. BPR Putra Riau Mandiri</t>
  </si>
  <si>
    <t>PT. BPR Anugerah Bintang Sejahtera</t>
  </si>
  <si>
    <t>PT. BPR Utomo Manunggal Sejahtera Sumsel</t>
  </si>
  <si>
    <t>PT. BPR Danaku Mapan Lestari</t>
  </si>
  <si>
    <t>PT. BPR Dana Karunia Sejahtera</t>
  </si>
  <si>
    <t>PD.BPR NTB Sumbawa Barat</t>
  </si>
  <si>
    <t>PT. BPR Ronatama Mandiri Jambi</t>
  </si>
  <si>
    <t>PT BPR Fianka Rezalina Fatma</t>
  </si>
  <si>
    <t>PT BPR Asia Sejahtera</t>
  </si>
  <si>
    <t>PT BPR Ukabima Khatulistiwa Pontianak</t>
  </si>
  <si>
    <t>PT. BPR Graha Lestari</t>
  </si>
  <si>
    <t>PT. BPR Cosmic Mitra Andalan</t>
  </si>
  <si>
    <t>PT. BPR Prima Jambi Mandiri</t>
  </si>
  <si>
    <t>PT BPR Jambi Citra Sahabat</t>
  </si>
  <si>
    <t>PD. BPR Artha Sukma Sejahtera</t>
  </si>
  <si>
    <t>PT. BPR Pelangi</t>
  </si>
  <si>
    <t>PT BPR Catur Mas</t>
  </si>
  <si>
    <t>PT BPR Asia Bintang Cemerlang</t>
  </si>
  <si>
    <t>PT BPR Arsham Sejahtera</t>
  </si>
  <si>
    <t>PT. BPR Natuna</t>
  </si>
  <si>
    <t>PD BPR Paringin</t>
  </si>
  <si>
    <t>PD BPR Pulau Laut Utara</t>
  </si>
  <si>
    <t>PT. BPR Indotama UKM Sulawesi</t>
  </si>
  <si>
    <t>PD BPR Kabupaten Bulungan</t>
  </si>
  <si>
    <t>PT BPR Pundi Dana Mandiri</t>
  </si>
  <si>
    <t>PD BPR Karya Remaja</t>
  </si>
  <si>
    <t>PT. BPR Nusantara Abdi Mulia</t>
  </si>
  <si>
    <t>PT BPR Pratama Dana Abadi</t>
  </si>
  <si>
    <t>PT. BPR Prima Madani</t>
  </si>
  <si>
    <t>PT BPR Prima Sejahtera</t>
  </si>
  <si>
    <t>PT BPR Tamara Dana Khatulistiwa Pontianak</t>
  </si>
  <si>
    <t>PT BPR Danamas Belu</t>
  </si>
  <si>
    <t>PD BPR Pelaihari</t>
  </si>
  <si>
    <t>PT BPR Kapital Mandiri</t>
  </si>
  <si>
    <t>PT BPR Citra Darma Wangsa</t>
  </si>
  <si>
    <t>PT BPR Prima Riau Sentosa</t>
  </si>
  <si>
    <t>PT BPR Muncul Artha Sejahtera</t>
  </si>
  <si>
    <t>PT BPR Buana Mandiri</t>
  </si>
  <si>
    <t>PT BPR Mukomuko Makmur</t>
  </si>
  <si>
    <t>PT BPR Perdana Cipta Sejahtera</t>
  </si>
  <si>
    <t>PT BPR Dana Mitra Indonesia</t>
  </si>
  <si>
    <t>PT BPR Mitra Dana Kawanua</t>
  </si>
  <si>
    <t>PT BPR Dana Selaras Sentosa</t>
  </si>
  <si>
    <t>PT BPR Tritunggal</t>
  </si>
  <si>
    <t>PD BPR Bahteramas Raha</t>
  </si>
  <si>
    <t>PD BPR Bahteramas Konawe Utara</t>
  </si>
  <si>
    <t>PD BPR Bahteramas Kolaka Utara</t>
  </si>
  <si>
    <t>PD BPR Bahteramas Buton</t>
  </si>
  <si>
    <t>PD BPR Bahteramas Buton Utara</t>
  </si>
  <si>
    <t>PT BPR Guru Jateng</t>
  </si>
  <si>
    <t>PT BPR Ukabima Permata</t>
  </si>
  <si>
    <t>PT BPR Bintang Dana Persada</t>
  </si>
  <si>
    <t>PT BPR Mitra Sumber Makmur</t>
  </si>
  <si>
    <t>PT BPR Buana Artha Kassiti</t>
  </si>
  <si>
    <t xml:space="preserve">PT BPR Pendanaan Sarana Rakyat </t>
  </si>
  <si>
    <t>PT BPR Duta Niaga</t>
  </si>
  <si>
    <t>PT BPR Dana Prima Mandiri</t>
  </si>
  <si>
    <t>PD BPR Alalak</t>
  </si>
  <si>
    <t>PT BPR Putra Mahkota Mandiri</t>
  </si>
  <si>
    <t>PT BPR DP Taspen Jateng</t>
  </si>
  <si>
    <t>PT BPR Sunni</t>
  </si>
  <si>
    <t xml:space="preserve">PT BPRS Amanah Rabbaniah                        </t>
  </si>
  <si>
    <t xml:space="preserve">PT BPRS Hareukat                                </t>
  </si>
  <si>
    <t xml:space="preserve">PT BPRS Amanah Ummah                            </t>
  </si>
  <si>
    <t xml:space="preserve">PT BPRS Artha Karimah Irsyadi                   </t>
  </si>
  <si>
    <t xml:space="preserve">PT BPRS Bina Amwalul Hasanah                    </t>
  </si>
  <si>
    <t>PT BPRS Musyarakah Ummat Indonesia</t>
  </si>
  <si>
    <t xml:space="preserve">PT BPRS Mentari                                 </t>
  </si>
  <si>
    <t xml:space="preserve">PT BPRS Tulen Amanah                            </t>
  </si>
  <si>
    <t xml:space="preserve">PT BPRS Indo Timur                              </t>
  </si>
  <si>
    <t>PT BPRS Baiturridha Pusaka</t>
  </si>
  <si>
    <t xml:space="preserve">PT BPRS Harta Insan Karimah                     </t>
  </si>
  <si>
    <t xml:space="preserve">PT BPRS Barkah Gemadana                      </t>
  </si>
  <si>
    <t xml:space="preserve">PT BPRS Ibadurrahman                            </t>
  </si>
  <si>
    <t xml:space="preserve">PT BPRS Harta Insan Karimah Bekasi              </t>
  </si>
  <si>
    <t xml:space="preserve">PT BPRS Margirizki Bahagia                      </t>
  </si>
  <si>
    <t xml:space="preserve">PT BPRS Bangun Drajat Warga                     </t>
  </si>
  <si>
    <t xml:space="preserve">PT BPRS Harta Insan Karimah Cibitung            </t>
  </si>
  <si>
    <t xml:space="preserve">PT BPRS Patuh Beramal                           </t>
  </si>
  <si>
    <t xml:space="preserve">PT BPRS Baktimakmur Indah                       </t>
  </si>
  <si>
    <t xml:space="preserve">PT BPRS Baiturrahman                            </t>
  </si>
  <si>
    <t xml:space="preserve">PT BPRS Tengku Chiek Dipante                    </t>
  </si>
  <si>
    <t xml:space="preserve">PT BPRS Syariat Fajar Sejahtera Bali            </t>
  </si>
  <si>
    <t xml:space="preserve">PT BPRS Al Ma'soem Syari'ah                     </t>
  </si>
  <si>
    <t xml:space="preserve">PT BPRS Harum Hikmahnugraha                    </t>
  </si>
  <si>
    <t xml:space="preserve">PT BPRS Dana Moneter                            </t>
  </si>
  <si>
    <t xml:space="preserve">PT BPRS Surya Sejati                            </t>
  </si>
  <si>
    <t xml:space="preserve">PT BPRS Amanah Bangsa                           </t>
  </si>
  <si>
    <t>PT BPRS Asri Madani Nusantara</t>
  </si>
  <si>
    <t>PT BPRS Muamalah Cilegon</t>
  </si>
  <si>
    <t xml:space="preserve">PT BPRS Ishlalul Ummah                          </t>
  </si>
  <si>
    <t xml:space="preserve">PT BPRS Al Washliyah                            </t>
  </si>
  <si>
    <t xml:space="preserve">PT BPRS Al Wadi'ah                              </t>
  </si>
  <si>
    <t>PT BPRS Attaqwa</t>
  </si>
  <si>
    <t xml:space="preserve">PT BPRS Niaga Madani                            </t>
  </si>
  <si>
    <t xml:space="preserve">PT BPRS Al Falah                                </t>
  </si>
  <si>
    <t xml:space="preserve">PT BPRS Hasanah                                 </t>
  </si>
  <si>
    <t xml:space="preserve">PT BPRS Wakalumi                                </t>
  </si>
  <si>
    <t xml:space="preserve">PT BPRS Artha Fisabilillah                      </t>
  </si>
  <si>
    <t xml:space="preserve">PT BPRS Al Ihsan                                </t>
  </si>
  <si>
    <t xml:space="preserve">PT BPRS Nurul Ikhwan                            </t>
  </si>
  <si>
    <t xml:space="preserve">PT BPRS Hikmah Wakilah                          </t>
  </si>
  <si>
    <t xml:space="preserve">PT BPRS Ikhsanul Amal                           </t>
  </si>
  <si>
    <t xml:space="preserve">PT BPRS Bhakti Haji                             </t>
  </si>
  <si>
    <t xml:space="preserve">PT BPRS Rahman Hijrah Agung                     </t>
  </si>
  <si>
    <t xml:space="preserve">PT BPRS Amanah Sejahtera                        </t>
  </si>
  <si>
    <t xml:space="preserve">PT BPRS Bandar Lampung                          </t>
  </si>
  <si>
    <t xml:space="preserve">PT BPRS Muamalat Harkat                         </t>
  </si>
  <si>
    <t xml:space="preserve">PT BPRS Al Barokah                              </t>
  </si>
  <si>
    <t xml:space="preserve">PT BPRS Harta Insan Karimah Parahyangan         </t>
  </si>
  <si>
    <t xml:space="preserve">PT BPRS Gebu Prima                              </t>
  </si>
  <si>
    <t xml:space="preserve">PT BPRS Daya Artha Mentari                      </t>
  </si>
  <si>
    <t>PT BPRS Mulia Berkah Abadi</t>
  </si>
  <si>
    <t xml:space="preserve">PT BPRS Puduarta Insani                         </t>
  </si>
  <si>
    <t xml:space="preserve">PT BPRS Mentari Pasaman Saiyo                   </t>
  </si>
  <si>
    <t xml:space="preserve">PT BPRS Berkah Dana Fadhilah                    </t>
  </si>
  <si>
    <t xml:space="preserve">PT BPRS Bina Rahmah                             </t>
  </si>
  <si>
    <t>PT BPRS Al Hijrah Amanah</t>
  </si>
  <si>
    <t>PT BPRS Gala Mitra Abadi</t>
  </si>
  <si>
    <t xml:space="preserve">PT BPRS Carana Kiat Andalas                     </t>
  </si>
  <si>
    <t xml:space="preserve">PT BPRS Gowata                                  </t>
  </si>
  <si>
    <t xml:space="preserve">PT BPRS Amanah Insani                           </t>
  </si>
  <si>
    <t>PT BPRS Muamalat Yotefa</t>
  </si>
  <si>
    <t xml:space="preserve">PT BPRS Rif’atul Ummah                          </t>
  </si>
  <si>
    <t xml:space="preserve">PT BPRS Insan Cita Artha Jaya                   </t>
  </si>
  <si>
    <t xml:space="preserve">PT BPRS Asad Alif                               </t>
  </si>
  <si>
    <t xml:space="preserve">PT BPRS Ampek Angkek Candung                    </t>
  </si>
  <si>
    <t xml:space="preserve">PT BPRS Al Mabrur Babadan                       </t>
  </si>
  <si>
    <t>PT BPRS Ummu</t>
  </si>
  <si>
    <t xml:space="preserve">PT BPRS Berkah Ramadhan                         </t>
  </si>
  <si>
    <t xml:space="preserve">PT BPRS  Bangka                                 </t>
  </si>
  <si>
    <t xml:space="preserve">PT BPRS Investama Mega Bakti                    </t>
  </si>
  <si>
    <t xml:space="preserve">PT BPRS Bumi Rinjani Batu                       </t>
  </si>
  <si>
    <t xml:space="preserve">PT BPRS Cilegon Mandiri                         </t>
  </si>
  <si>
    <t xml:space="preserve">PT BPRS Situbondo                               </t>
  </si>
  <si>
    <t xml:space="preserve">PT BPRS Tanggamus                               </t>
  </si>
  <si>
    <t xml:space="preserve">PT BPRS Buana Mitra Perwira                     </t>
  </si>
  <si>
    <t xml:space="preserve">PT BPRS Artha Surya Barokah                     </t>
  </si>
  <si>
    <t xml:space="preserve">PT BPRS Bhakti Sumekar                          </t>
  </si>
  <si>
    <t xml:space="preserve">PT BPRS Suriyah                                 </t>
  </si>
  <si>
    <t xml:space="preserve">PT BPRS Bina Amanah Satria                      </t>
  </si>
  <si>
    <t xml:space="preserve">PT BPRS Artha Madani                            </t>
  </si>
  <si>
    <t xml:space="preserve">PT BPRS Khasanah Ummat                          </t>
  </si>
  <si>
    <t xml:space="preserve">PT BPRS Safir                                   </t>
  </si>
  <si>
    <t xml:space="preserve">PT BPRS Metro Madani                            </t>
  </si>
  <si>
    <t xml:space="preserve">PT BPRS Al-Yaqin                                </t>
  </si>
  <si>
    <t>PT BPRS Lantabur Tebuireng</t>
  </si>
  <si>
    <t xml:space="preserve">PT BPRS Haji Miskin                             </t>
  </si>
  <si>
    <t xml:space="preserve">PT BPRS Artha Mas Abadi                         </t>
  </si>
  <si>
    <t xml:space="preserve">PT BPRS Al Salaam Amal Salman                   </t>
  </si>
  <si>
    <t xml:space="preserve">PT BPRS PNM Binama                              </t>
  </si>
  <si>
    <t xml:space="preserve">PT BPRS Jabal Tsur                              </t>
  </si>
  <si>
    <t xml:space="preserve">PT BPRS Dinar Ashri                             </t>
  </si>
  <si>
    <t xml:space="preserve">PT BPRS Bumi Rinjani Probolinggo                </t>
  </si>
  <si>
    <t xml:space="preserve">PT BPRS Bumi Rinjani Kepanjen                   </t>
  </si>
  <si>
    <t xml:space="preserve">PT BPRS Dana Hidayatullah                       </t>
  </si>
  <si>
    <t xml:space="preserve">PT BPRS Kota Bekasi                             </t>
  </si>
  <si>
    <t xml:space="preserve">PT BPRS Arta Leksana                            </t>
  </si>
  <si>
    <t xml:space="preserve">PT BPRS Sindanglaya Katonapan                   </t>
  </si>
  <si>
    <t xml:space="preserve">PT BPRS Bumi Artha Sampang                      </t>
  </si>
  <si>
    <t xml:space="preserve">PT BPRS Karya Mugi  Sentosa                     </t>
  </si>
  <si>
    <t xml:space="preserve">PT BPRS Jabal Nur                               </t>
  </si>
  <si>
    <t xml:space="preserve">PT BPRS Barokah Dana Sejahtera                  </t>
  </si>
  <si>
    <t xml:space="preserve">PT BPRS Artha Amanah Ummat                      </t>
  </si>
  <si>
    <t xml:space="preserve">PT BPRS Mitra Amal Mulia                        </t>
  </si>
  <si>
    <t xml:space="preserve">PT BPRS Madina Mandiri Sejahtera                </t>
  </si>
  <si>
    <t xml:space="preserve">PT BPRS Renggali                                </t>
  </si>
  <si>
    <t xml:space="preserve">PT BPRS Syarikat Madani                         </t>
  </si>
  <si>
    <t xml:space="preserve">PT BPRS Dana Mulia                              </t>
  </si>
  <si>
    <t xml:space="preserve">PT BPRS Barakah Nawaitul Ikhlas                 </t>
  </si>
  <si>
    <t xml:space="preserve">PT BPRS Sukowati Sragen                         </t>
  </si>
  <si>
    <t xml:space="preserve">PT BPRS Dana Amanah                             </t>
  </si>
  <si>
    <t>PT BPRS Mandiri Mitra Sukses</t>
  </si>
  <si>
    <t>PT BPRS Sarana Prima Mandiri</t>
  </si>
  <si>
    <t xml:space="preserve">PT BPRS Danagung Syariah                        </t>
  </si>
  <si>
    <t xml:space="preserve">PT BPRS Rajasa                                  </t>
  </si>
  <si>
    <t xml:space="preserve">PT BPRS Tanmiya Artha                           </t>
  </si>
  <si>
    <t xml:space="preserve">PT BPRS Kotabumi                                </t>
  </si>
  <si>
    <t xml:space="preserve">PT BPRS Al Makmur                               </t>
  </si>
  <si>
    <t xml:space="preserve">PT BPRS Mitra Cahaya Indonesia                  </t>
  </si>
  <si>
    <t xml:space="preserve">PT BPRS Vitka Central                           </t>
  </si>
  <si>
    <t xml:space="preserve">PT BPRS Annisa Mukti                            </t>
  </si>
  <si>
    <t xml:space="preserve">PT BPRS FORMES                                  </t>
  </si>
  <si>
    <t xml:space="preserve">PT BPRS Central Syariah Utama                   </t>
  </si>
  <si>
    <t xml:space="preserve">PT BPRS Cempaka Al Amin                         </t>
  </si>
  <si>
    <t xml:space="preserve">PT BPRS  Madinah                                </t>
  </si>
  <si>
    <t xml:space="preserve">PT BPRS Lampung Timur                           </t>
  </si>
  <si>
    <t xml:space="preserve">PT BPRS Adeco                                   </t>
  </si>
  <si>
    <t xml:space="preserve">PT BPRS Al Mabrur                               </t>
  </si>
  <si>
    <t xml:space="preserve">PT BPRS MERU SANKARA                            </t>
  </si>
  <si>
    <t xml:space="preserve">PT BPRS Kota Juang                              </t>
  </si>
  <si>
    <t xml:space="preserve">PT BPRS Amanah Insan Cita                       </t>
  </si>
  <si>
    <t xml:space="preserve">PT BPRS Gunung Slamet                           </t>
  </si>
  <si>
    <t xml:space="preserve">PT BPRS Artha Pamenang                          </t>
  </si>
  <si>
    <t xml:space="preserve">PT BPRS Rahmania Dana Sejahtera         </t>
  </si>
  <si>
    <t xml:space="preserve">PT BPRS Mitra Harmoni Yogyakarta                </t>
  </si>
  <si>
    <t xml:space="preserve">PT BPRS Rahma Syariah                   </t>
  </si>
  <si>
    <t xml:space="preserve">PT BPRS Mitra Harmoni Kota Semarang             </t>
  </si>
  <si>
    <t>PT BPRS SERAMBI MEKAH</t>
  </si>
  <si>
    <t xml:space="preserve">PT BPRS Mitra Harmoni Kota Malang               </t>
  </si>
  <si>
    <t xml:space="preserve">PT BPRS Insan Madani                            </t>
  </si>
  <si>
    <t xml:space="preserve">PT BPRS Unawi Barokah                           </t>
  </si>
  <si>
    <t xml:space="preserve">PT BPRS Al-Madinah Tasikmalaya                  </t>
  </si>
  <si>
    <t xml:space="preserve">PT BPRS Way Kanan                               </t>
  </si>
  <si>
    <t xml:space="preserve">PT BPRS Oloan Ummah Sidempuan                   </t>
  </si>
  <si>
    <t xml:space="preserve">PT BPRS Dharma Kuwera                           </t>
  </si>
  <si>
    <t xml:space="preserve">PT BPRS Kota Mojokerto                  </t>
  </si>
  <si>
    <t xml:space="preserve">PT BPRS Mitra Harmoni Kota Bandung      </t>
  </si>
  <si>
    <t xml:space="preserve">PT BPRS Gajah Tongga Kota Piliang       </t>
  </si>
  <si>
    <t xml:space="preserve">PT BPRS Cahaya Hidup                            </t>
  </si>
  <si>
    <t xml:space="preserve">PT BPRS Bahari Berkesan                         </t>
  </si>
  <si>
    <t>PT BPRS Syariah Magetan</t>
  </si>
  <si>
    <t>PT BPRS Bakti Artha Sejahtera Sampang</t>
  </si>
  <si>
    <t>PT BPRS Saka Dana Mulia</t>
  </si>
  <si>
    <t>PT BPRS Harta Insan Karimah Makassar</t>
  </si>
  <si>
    <t>PT BPRS Mitra Agro Usaha</t>
  </si>
  <si>
    <t>PT BPRS Mitra Amanah</t>
  </si>
  <si>
    <t>PT BPRS Harta Insan Karimah Surakarta</t>
  </si>
  <si>
    <t>PT BPRS Gotong Royong</t>
  </si>
  <si>
    <t>PT BPRS Aman Syariah</t>
  </si>
  <si>
    <t>PT BPRS Harta Insan Karimah Kota Tegal</t>
  </si>
  <si>
    <t>PT BPRS Lampung Barat</t>
  </si>
  <si>
    <t xml:space="preserve">PT BPRS Tani Tulang Bawang Barat        </t>
  </si>
  <si>
    <t>PT BPRS Bogor Tegar Beriman</t>
  </si>
  <si>
    <t>PT BPRS Unisa Insan Indonesia</t>
  </si>
  <si>
    <t>Sandi BPR</t>
  </si>
  <si>
    <t>Periode Pelaporan</t>
  </si>
  <si>
    <t>Nomor Surat</t>
  </si>
  <si>
    <t>PETUNJUK PENGGUNAAN :</t>
  </si>
  <si>
    <t xml:space="preserve"> </t>
  </si>
  <si>
    <t>DAFTAR FORM</t>
  </si>
  <si>
    <t>Kode Form</t>
  </si>
  <si>
    <t>Nama Form</t>
  </si>
  <si>
    <t>0000</t>
  </si>
  <si>
    <t>INFORMASI POKOK BPR</t>
  </si>
  <si>
    <t>TXT</t>
  </si>
  <si>
    <t>0001</t>
  </si>
  <si>
    <t>DATA KEPEMILIKAN BPR</t>
  </si>
  <si>
    <t>0002</t>
  </si>
  <si>
    <t>DATA ANGGOTA DIREKSI DAN DEWAN KOMISARIS BPR</t>
  </si>
  <si>
    <t>0003</t>
  </si>
  <si>
    <t>0004</t>
  </si>
  <si>
    <t>DATA KANTOR BPR</t>
  </si>
  <si>
    <t>0005</t>
  </si>
  <si>
    <t>DATA PIHAK TERKAIT LAINNYA</t>
  </si>
  <si>
    <t>0006</t>
  </si>
  <si>
    <t>DATA MODAL DISETOR, MODAL SUMBANGAN, DAN DANA SETORAN MODAL - EKUITAS</t>
  </si>
  <si>
    <t>0007</t>
  </si>
  <si>
    <t>DAFTAR PINJAMAN YANG DITERIMA</t>
  </si>
  <si>
    <t>0008</t>
  </si>
  <si>
    <t>RASIO KEUANGAN TRIWULANAN</t>
  </si>
  <si>
    <t>0009</t>
  </si>
  <si>
    <t>DATA ANGGOTA DIREKSI DAN ANGGOTA DEWAN KOMISARIS YANG BERHENTI MENJABAT</t>
  </si>
  <si>
    <t>0010</t>
  </si>
  <si>
    <t>0011</t>
  </si>
  <si>
    <t>0012</t>
  </si>
  <si>
    <t>0013</t>
  </si>
  <si>
    <t>DOKUMEN PENDUKUNG TERKAIT LAPORAN KEPENGURUSAN, PEJABAT EKSEKUTIF, DAN JARINGAN KANTOR BPR</t>
  </si>
  <si>
    <t>PDF</t>
  </si>
  <si>
    <t>0014</t>
  </si>
  <si>
    <t>DATA JENIS NASABAH DAN PRODUK SIMPANAN DI BPR</t>
  </si>
  <si>
    <t>0015</t>
  </si>
  <si>
    <t>0016</t>
  </si>
  <si>
    <t>DATA PIHAK LAWAN</t>
  </si>
  <si>
    <t>0017</t>
  </si>
  <si>
    <t>LAPORAN PERUBAHAN EKUITAS</t>
  </si>
  <si>
    <t>0018</t>
  </si>
  <si>
    <t>LAPORAN ARUS KAS</t>
  </si>
  <si>
    <t>0019</t>
  </si>
  <si>
    <t>DOKUMEN PENDUKUNG STRUKTUR ORGANISASI</t>
  </si>
  <si>
    <t>0020</t>
  </si>
  <si>
    <t>DOKUMEN PENDUKUNG STRUKTUR KELOMPOK USAHA BPR</t>
  </si>
  <si>
    <t>0100</t>
  </si>
  <si>
    <t>LAPORAN POSISI KEUANGAN</t>
  </si>
  <si>
    <t>0101</t>
  </si>
  <si>
    <t>REKENING ADMINISTRATIF</t>
  </si>
  <si>
    <t>0200</t>
  </si>
  <si>
    <t>0300</t>
  </si>
  <si>
    <t>DAFTAR KAS DALAM VALUTA ASING</t>
  </si>
  <si>
    <t>0400</t>
  </si>
  <si>
    <t>DAFTAR SURAT BERHARGA</t>
  </si>
  <si>
    <t>0500</t>
  </si>
  <si>
    <t>DAFTAR PENEMPATAN PADA BANK LAIN</t>
  </si>
  <si>
    <t>0600</t>
  </si>
  <si>
    <t>DAFTAR KREDIT YANG DIBERIKAN</t>
  </si>
  <si>
    <t>0601</t>
  </si>
  <si>
    <t>DAFTAR AGUNAN</t>
  </si>
  <si>
    <t>0602</t>
  </si>
  <si>
    <t>DAFTAR KREDIT SINDIKASI</t>
  </si>
  <si>
    <t>0700</t>
  </si>
  <si>
    <t>DAFTAR  AGUNAN YANG DIAMBIL ALIH</t>
  </si>
  <si>
    <t>0800</t>
  </si>
  <si>
    <t>DAFTAR ASET TETAP, INVENTARIS DAN ASET TIDAK BERWUJUD</t>
  </si>
  <si>
    <t>0900</t>
  </si>
  <si>
    <t>RINCIAN ASET LAINNYA</t>
  </si>
  <si>
    <t>RINCIAN ASET LAINNYA LAIN-LAIN</t>
  </si>
  <si>
    <t>1000</t>
  </si>
  <si>
    <t>RINCIAN LIABILITAS SEGERA</t>
  </si>
  <si>
    <t>1100</t>
  </si>
  <si>
    <t>DAFTAR TABUNGAN</t>
  </si>
  <si>
    <t>1200</t>
  </si>
  <si>
    <t>DAFTAR DEPOSITO</t>
  </si>
  <si>
    <t>1300</t>
  </si>
  <si>
    <t>DAFTAR SIMPANAN DARI BANK LAIN</t>
  </si>
  <si>
    <t>1400</t>
  </si>
  <si>
    <t>RINCIAN LIABILITAS LAINNYA</t>
  </si>
  <si>
    <t>1401</t>
  </si>
  <si>
    <t>RINCIAN LIABILITAS LAINNYA LAIN-LAIN</t>
  </si>
  <si>
    <t>1500</t>
  </si>
  <si>
    <t>DAFTAR PENYERTAAN MODAL</t>
  </si>
  <si>
    <t>DAFTAR PROPERTI TERBENGKALAI</t>
  </si>
  <si>
    <t>DAFTAR ASET KEUANGAN LAINNYA</t>
  </si>
  <si>
    <t>DAFTAR PERBEDAAN KUALITAS ASET PRODUKTIF</t>
  </si>
  <si>
    <t>Keterangan warna kolom:</t>
  </si>
  <si>
    <t>Penambahan Kolom</t>
  </si>
  <si>
    <t>Penyesuaian sandi referensi/label kolom</t>
  </si>
  <si>
    <t>Penghapusan form</t>
  </si>
  <si>
    <t>Penambahan form</t>
  </si>
  <si>
    <t>Back to Header</t>
  </si>
  <si>
    <t>Include Text</t>
  </si>
  <si>
    <t>Data</t>
  </si>
  <si>
    <t>Isian</t>
  </si>
  <si>
    <t>Y</t>
  </si>
  <si>
    <t>Nama BPR</t>
  </si>
  <si>
    <t>PT. BPR Dummy</t>
  </si>
  <si>
    <t>Alamat BPR</t>
  </si>
  <si>
    <t>Jalan XXX No. 99</t>
  </si>
  <si>
    <t>Kabupaten/Kota BPR</t>
  </si>
  <si>
    <t>6102 (Kab. Gowa)</t>
  </si>
  <si>
    <t>Wilayah Kerja OJK</t>
  </si>
  <si>
    <t>No. Telepon</t>
  </si>
  <si>
    <t>(021) 123456789</t>
  </si>
  <si>
    <t>E-mail</t>
  </si>
  <si>
    <t>email@email.com</t>
  </si>
  <si>
    <t>Situs Web BPR</t>
  </si>
  <si>
    <t>http://bprs.com</t>
  </si>
  <si>
    <t>NPWP</t>
  </si>
  <si>
    <t>123456789.0-1</t>
  </si>
  <si>
    <t>T</t>
  </si>
  <si>
    <t>Penanggung Jawab Penyusun Laporan</t>
  </si>
  <si>
    <t>a.</t>
  </si>
  <si>
    <t>Nama</t>
  </si>
  <si>
    <t>Nama Penyusun Laporan</t>
  </si>
  <si>
    <t>b.</t>
  </si>
  <si>
    <t>Bagian/Divisi</t>
  </si>
  <si>
    <t>Divisi Pelaporan</t>
  </si>
  <si>
    <t>c.</t>
  </si>
  <si>
    <t xml:space="preserve">d. </t>
  </si>
  <si>
    <t>Dividen yang Dibayar</t>
  </si>
  <si>
    <t>Nominal</t>
  </si>
  <si>
    <t>2000000</t>
  </si>
  <si>
    <t>Tahun RUPS/RAT</t>
  </si>
  <si>
    <t>Bonus Tahunan dan Tantiem</t>
  </si>
  <si>
    <t>Informasi Audit Laporan Tahunan</t>
  </si>
  <si>
    <t xml:space="preserve">a. </t>
  </si>
  <si>
    <t>Diaudit oleh KAP</t>
  </si>
  <si>
    <t>Nama Kantor Akuntan Publik (KAP) yang mengaudit</t>
  </si>
  <si>
    <t>Nama AP yang menandatangani laporan audit</t>
  </si>
  <si>
    <t>d.</t>
  </si>
  <si>
    <t>Pemeriksaan ke...... Dari KAP yang sama</t>
  </si>
  <si>
    <t>Nilai Nominal per Lembar Saham</t>
  </si>
  <si>
    <t>Pedagang Valuta Asing (PVA)</t>
  </si>
  <si>
    <t>Memiliki Izin PVA</t>
  </si>
  <si>
    <t>Tanggal Izin PVA</t>
  </si>
  <si>
    <t>Jumlah PVA</t>
  </si>
  <si>
    <t>5</t>
  </si>
  <si>
    <t>Memiliki/Tidak Memiliki Layanan Perbankan Elektronik (E-Banking)</t>
  </si>
  <si>
    <t>Penyelenggara Teknologi Informasi</t>
  </si>
  <si>
    <t>Status Penyelenggaraan</t>
  </si>
  <si>
    <t>NPWP Penyelenggara Jasa Teknologi Informasi (PJTI)</t>
  </si>
  <si>
    <t>Penyelenggara Laku Pandai</t>
  </si>
  <si>
    <t>Jumlah Agen Laku Pandai</t>
  </si>
  <si>
    <t>Nama Ultimate Shareholder 1</t>
  </si>
  <si>
    <t>Nama Shareholder</t>
  </si>
  <si>
    <t>Nama Ultimate Shareholder 2</t>
  </si>
  <si>
    <t>Nama Ultimate Shareholder 3</t>
  </si>
  <si>
    <t>Nama Ultimate Shareholder 4</t>
  </si>
  <si>
    <t>Nama Ultimate Shareholder 5</t>
  </si>
  <si>
    <t>Nama Ultimate Shareholder 6</t>
  </si>
  <si>
    <t>Nama Ultimate Shareholder 7</t>
  </si>
  <si>
    <t>Nama Ultimate Shareholder 8</t>
  </si>
  <si>
    <t>Nama Ultimate Shareholder 9</t>
  </si>
  <si>
    <t>Nama Ultimate Shareholder 10</t>
  </si>
  <si>
    <t>Alamat</t>
  </si>
  <si>
    <t>No. Identitas</t>
  </si>
  <si>
    <t>PSP (Ya/Tidak)</t>
  </si>
  <si>
    <t>Jumlah Nominal</t>
  </si>
  <si>
    <t>Persentase Kepemilikan</t>
  </si>
  <si>
    <t>existing</t>
  </si>
  <si>
    <t>penambahan baru</t>
  </si>
  <si>
    <t>perubahan PSP</t>
  </si>
  <si>
    <t>60</t>
  </si>
  <si>
    <t>40</t>
  </si>
  <si>
    <t>perubahan yg tidak merubah PSP</t>
  </si>
  <si>
    <t>perubahan yg mengakibatkan PSP</t>
  </si>
  <si>
    <t>tidak berubah</t>
  </si>
  <si>
    <t>perubahan yg tidak PSP</t>
  </si>
  <si>
    <t>NIK</t>
  </si>
  <si>
    <t>Jabatan</t>
  </si>
  <si>
    <t>Tanggal Mulai Menjabat</t>
  </si>
  <si>
    <t>Tanggal Selesai Menjabat</t>
  </si>
  <si>
    <t>Memiliki Sertifikat Kompetensi Kerja yang Berlaku</t>
  </si>
  <si>
    <t>Tanggal Berakhir Masa Berlakunya Sertifikat Kompetensi Kerja</t>
  </si>
  <si>
    <t>Pendidikan Non Formal</t>
  </si>
  <si>
    <t>Membawahkan Fungsi Kepatuhan (Ya/Tidak)</t>
  </si>
  <si>
    <t>Komisaris Independen (Ya/Tidak)</t>
  </si>
  <si>
    <t>Keterangan terkait Kepengurusan</t>
  </si>
  <si>
    <t>Alasan Perubahan Jabatan</t>
  </si>
  <si>
    <t>Keterangan Jabatan</t>
  </si>
  <si>
    <t>No. SK</t>
  </si>
  <si>
    <t>Tanggal SK</t>
  </si>
  <si>
    <t>Pendidikan Terakhir</t>
  </si>
  <si>
    <t>Tanggal Kelulusan</t>
  </si>
  <si>
    <t>Nama Lembaga</t>
  </si>
  <si>
    <t>Jenis Pelatihan Terakhir</t>
  </si>
  <si>
    <t>Tanggal Pelatihan</t>
  </si>
  <si>
    <t>Lembaga Penyelenggara</t>
  </si>
  <si>
    <t>Komite Audit</t>
  </si>
  <si>
    <t>Komite Pemantau Risiko</t>
  </si>
  <si>
    <t>Komite Remunerasi dan Nominasi</t>
  </si>
  <si>
    <t>Komite Manajemen Risiko</t>
  </si>
  <si>
    <t>Surat Pengangkatan</t>
  </si>
  <si>
    <t>Kepatuhan</t>
  </si>
  <si>
    <t>Manajemen Risiko</t>
  </si>
  <si>
    <t>APU dan PPT</t>
  </si>
  <si>
    <t>Tanggal</t>
  </si>
  <si>
    <t>Sandi Kantor</t>
  </si>
  <si>
    <t>Nama Kantor</t>
  </si>
  <si>
    <t>Koordinat Kantor</t>
  </si>
  <si>
    <t>Alamat Kantor</t>
  </si>
  <si>
    <t>Nama Pimpinan</t>
  </si>
  <si>
    <t>No. Telp</t>
  </si>
  <si>
    <t>Jumlah Kantor Kas</t>
  </si>
  <si>
    <t>Jumlah EDC</t>
  </si>
  <si>
    <t>Perubahan Selama Bulan Posisi Laporan</t>
  </si>
  <si>
    <t>Pegawai Tetap</t>
  </si>
  <si>
    <t>Pegawai Tidak Tetap</t>
  </si>
  <si>
    <t>Alamat Sebelumnya</t>
  </si>
  <si>
    <t>Tanggal Pelaksanaan</t>
  </si>
  <si>
    <t>Berdasarkan Jenis Kelamin</t>
  </si>
  <si>
    <t>Berdasarkan Usia</t>
  </si>
  <si>
    <t>Nama Jalan dan No.</t>
  </si>
  <si>
    <t>Desa/Kecamatan</t>
  </si>
  <si>
    <t>Kab./Kota</t>
  </si>
  <si>
    <t>Kode Pos</t>
  </si>
  <si>
    <t>EDC Milik Sendiri</t>
  </si>
  <si>
    <t>EDC milik BU</t>
  </si>
  <si>
    <t>EDC Milik BPR Lain</t>
  </si>
  <si>
    <t>Jumlah Dikelola Sendiri</t>
  </si>
  <si>
    <t>Jumlah Pihak yang Bekerja sama dengan BPR</t>
  </si>
  <si>
    <t>Nama Pihak yang Bekerja Sama dengan BPR</t>
  </si>
  <si>
    <t>&gt;25-35</t>
  </si>
  <si>
    <t>&gt;35-45</t>
  </si>
  <si>
    <t>&gt;45-55</t>
  </si>
  <si>
    <t>&gt;55</t>
  </si>
  <si>
    <t>Nama Pihak Terkait</t>
  </si>
  <si>
    <t>Alamat Pihak Terkait</t>
  </si>
  <si>
    <t>Hubungan Pihak Terkait</t>
  </si>
  <si>
    <r>
      <rPr>
        <b/>
        <sz val="11"/>
        <color theme="1"/>
        <rFont val="Calibri"/>
        <family val="2"/>
      </rPr>
      <t xml:space="preserve">Tanggal Persetujuan </t>
    </r>
    <r>
      <rPr>
        <b/>
        <sz val="11"/>
        <color rgb="FFFF0000"/>
        <rFont val="Calibri"/>
        <family val="2"/>
      </rPr>
      <t>Otoritas</t>
    </r>
  </si>
  <si>
    <t>Jumlah</t>
  </si>
  <si>
    <r>
      <rPr>
        <b/>
        <sz val="11"/>
        <color theme="1"/>
        <rFont val="Calibri"/>
        <family val="2"/>
      </rPr>
      <t>Nomor</t>
    </r>
    <r>
      <rPr>
        <b/>
        <i/>
        <sz val="11"/>
        <color theme="1"/>
        <rFont val="Calibri"/>
        <family val="2"/>
      </rPr>
      <t xml:space="preserve"> </t>
    </r>
    <r>
      <rPr>
        <b/>
        <sz val="11"/>
        <color theme="1"/>
        <rFont val="Calibri"/>
        <family val="2"/>
      </rPr>
      <t>CIF</t>
    </r>
  </si>
  <si>
    <t>Gol. Kreditur</t>
  </si>
  <si>
    <t>Sandi Bank</t>
  </si>
  <si>
    <t>Lokasi Kreditur</t>
  </si>
  <si>
    <t>Hubungan dengan Bank</t>
  </si>
  <si>
    <t>Jangka Waktu</t>
  </si>
  <si>
    <t>Suku Bunga</t>
  </si>
  <si>
    <t>Plafon</t>
  </si>
  <si>
    <t>Jenis Agunan yang Dijaminkan</t>
  </si>
  <si>
    <t>Nominal Agunan yang Dijaminkan</t>
  </si>
  <si>
    <t>Baki Debet</t>
  </si>
  <si>
    <t>Biaya Transaksi Belum Diamortisasi</t>
  </si>
  <si>
    <t>Diskonto Belum Diamortisasi</t>
  </si>
  <si>
    <t>Baki Debet Neto</t>
  </si>
  <si>
    <t>Tanggal Mulai</t>
  </si>
  <si>
    <t>Tanggal Jatuh Tempo</t>
  </si>
  <si>
    <t>Persentase</t>
  </si>
  <si>
    <t>Cara Perhitungan</t>
  </si>
  <si>
    <t>NomorCIF</t>
  </si>
  <si>
    <t>600 (BPR Konvensional)</t>
  </si>
  <si>
    <t>600021 (PT. BPR Mora)</t>
  </si>
  <si>
    <t>0103 (Kab. Purwakarta)</t>
  </si>
  <si>
    <t>20 (Pinjaman Sindikasi)</t>
  </si>
  <si>
    <t>12 (Terkait)</t>
  </si>
  <si>
    <t>20231231</t>
  </si>
  <si>
    <t>12 (Bunga flat Mengambang)</t>
  </si>
  <si>
    <t>1000000</t>
  </si>
  <si>
    <t>102 (Likuid : Tabungan dan Deposito yang diblokir BPR bersangkutan disertai dengan surat kuasa pencairan)</t>
  </si>
  <si>
    <t>601 (BPR Syariah)</t>
  </si>
  <si>
    <t>620175 (PT BPRS Lampung Barat)</t>
  </si>
  <si>
    <t>0106 (Kab. Karawang)</t>
  </si>
  <si>
    <t>31 (Dari Lembaga Pengayom)</t>
  </si>
  <si>
    <t>5.57</t>
  </si>
  <si>
    <t>21 (Bunga tidak flat Tetap)</t>
  </si>
  <si>
    <t>103 (Likuid : Logam mulia yang disertai surat kuasa gadai)</t>
  </si>
  <si>
    <t>0108 (Kab. Bogor)</t>
  </si>
  <si>
    <t>32 (Dalam rangka linkage)</t>
  </si>
  <si>
    <t>20 (Tidak Terkait)</t>
  </si>
  <si>
    <t>5.58</t>
  </si>
  <si>
    <t>22 (Bunga tidak flat Mengambang)</t>
  </si>
  <si>
    <t>201 (Non Likuid : Emas perhiasan)</t>
  </si>
  <si>
    <t>3000000</t>
  </si>
  <si>
    <t>Nilai Rasio (%)</t>
  </si>
  <si>
    <t>Kewajiban Penyediaan Modal Minimum (KPMM)</t>
  </si>
  <si>
    <t>-5.55</t>
  </si>
  <si>
    <t>NPL (Neto)</t>
  </si>
  <si>
    <t>Non Performing Loan (NPL) Gross</t>
  </si>
  <si>
    <t>5.59</t>
  </si>
  <si>
    <t>0401</t>
  </si>
  <si>
    <t>-5.60</t>
  </si>
  <si>
    <t>Biaya Operasional terhadap Pendapatan Operasional (BOPO)</t>
  </si>
  <si>
    <t>0402</t>
  </si>
  <si>
    <t>5.61</t>
  </si>
  <si>
    <t>Net Interest Margin (NIM)</t>
  </si>
  <si>
    <t>0403</t>
  </si>
  <si>
    <t>-5.62</t>
  </si>
  <si>
    <t>5.63</t>
  </si>
  <si>
    <t>Cash Ratio</t>
  </si>
  <si>
    <t>5.64</t>
  </si>
  <si>
    <t>Keterangan Penyebab Berhenti Menjabat</t>
  </si>
  <si>
    <t>Alasan Mengundurkan Diri/Pemberhentian</t>
  </si>
  <si>
    <t>Nama A</t>
  </si>
  <si>
    <t>111111111</t>
  </si>
  <si>
    <t>220 (Komisaris )</t>
  </si>
  <si>
    <t>20210101</t>
  </si>
  <si>
    <t>00 (Tidak Menjabat )</t>
  </si>
  <si>
    <t>1 (Pengunduran diri)</t>
  </si>
  <si>
    <t>20210831</t>
  </si>
  <si>
    <t>Alasan</t>
  </si>
  <si>
    <t>Alasan Mengundurkan Diri/ Pemberhentian</t>
  </si>
  <si>
    <t>Surat Pemberhentian</t>
  </si>
  <si>
    <t>Audit Intern</t>
  </si>
  <si>
    <t>111111112</t>
  </si>
  <si>
    <t>00 (Tidak Menjabat)</t>
  </si>
  <si>
    <t>Nomor SK</t>
  </si>
  <si>
    <t>20180101</t>
  </si>
  <si>
    <t>alasan</t>
  </si>
  <si>
    <t>SK.01/2022</t>
  </si>
  <si>
    <t>20220101</t>
  </si>
  <si>
    <t>Sandi Kantor Induk</t>
  </si>
  <si>
    <t>Koordinat</t>
  </si>
  <si>
    <t>Sandi Kantor Kendali</t>
  </si>
  <si>
    <t>Tanggal Persetujuan</t>
  </si>
  <si>
    <t>Kantor Pusat</t>
  </si>
  <si>
    <r>
      <rPr>
        <b/>
        <sz val="11"/>
        <color theme="1"/>
        <rFont val="Calibri"/>
        <family val="2"/>
      </rPr>
      <t xml:space="preserve">Sandi Kantor/Kode Kantor </t>
    </r>
    <r>
      <rPr>
        <b/>
        <strike/>
        <sz val="11"/>
        <color theme="1"/>
        <rFont val="Calibri"/>
        <family val="2"/>
      </rPr>
      <t>Kas</t>
    </r>
  </si>
  <si>
    <t>Disampaikan dalam bentuk (.pdf)</t>
  </si>
  <si>
    <t>FORM 00.14 - DATA JENIS NASABAH DAN PRODUK SIMPANAN DI BPR</t>
  </si>
  <si>
    <t>Jenis Nasabah</t>
  </si>
  <si>
    <t>Jumlah Nasabah/Rekening</t>
  </si>
  <si>
    <t>1. Nasabah Politically Exposed Person (PEP)/Orang yang Populer secara Politis</t>
  </si>
  <si>
    <t>2. Jenis Nasabah Penyimpan</t>
  </si>
  <si>
    <t>a. Nasabah Orang Perseorangan</t>
  </si>
  <si>
    <t>b. Nasabah Korporasi dan Perikatan Lainnya</t>
  </si>
  <si>
    <t>Jumlah Nasabah Penyimpan</t>
  </si>
  <si>
    <t>3. Komposisi Nasabah Berdasarkan Risiko</t>
  </si>
  <si>
    <t>a. Nasabah Risiko Rendah</t>
  </si>
  <si>
    <t>b. Nasabah Risiko Sedang</t>
  </si>
  <si>
    <t>c. Nasabah Risiko Tinggi</t>
  </si>
  <si>
    <t>Jumlah Nasabah Berdasarkan Risiko</t>
  </si>
  <si>
    <t>4. Jenis Simpanan</t>
  </si>
  <si>
    <t>a. Tabungan</t>
  </si>
  <si>
    <t>b. Deposito</t>
  </si>
  <si>
    <t>Jumlah Transaksi</t>
  </si>
  <si>
    <t>1. Transaksi melalui Jaringan Distribusi Tatap Muka</t>
  </si>
  <si>
    <t>1.1 Melibatkan Perpindahan Dana</t>
  </si>
  <si>
    <t>a. Dana Masuk</t>
  </si>
  <si>
    <t>b. Dana Keluar</t>
  </si>
  <si>
    <t>1.2 Tidak melibatkan Perpindahan Dana</t>
  </si>
  <si>
    <t>2. Transaksi melalui Jaringan Distribusi Nontatap Muka</t>
  </si>
  <si>
    <t>2.1 Melibatkan Perpindahan Dana</t>
  </si>
  <si>
    <t>2.2 Tidak melibatkan Perpindahan Dana</t>
  </si>
  <si>
    <t>Total Transaksi</t>
  </si>
  <si>
    <t>ID Pihak Lawan</t>
  </si>
  <si>
    <t>Nomor Identitas</t>
  </si>
  <si>
    <t>Nama Lengkap/Nama Badan Usaha</t>
  </si>
  <si>
    <t>Kewarganegaraan</t>
  </si>
  <si>
    <t>Negara</t>
  </si>
  <si>
    <t>Jenis Kegiatan Usaha</t>
  </si>
  <si>
    <t>Golongan Pihak Lawan</t>
  </si>
  <si>
    <t>Tanggal Pemeringkatan</t>
  </si>
  <si>
    <t>Tanggal Lahir</t>
  </si>
  <si>
    <t>ID Grup</t>
  </si>
  <si>
    <t>Nama Grup</t>
  </si>
  <si>
    <t>No. Telp/No. HP</t>
  </si>
  <si>
    <t>Pos</t>
  </si>
  <si>
    <t>Sandi Pos</t>
  </si>
  <si>
    <t>Tambahan Modal</t>
  </si>
  <si>
    <t>DSM Ekuitas</t>
  </si>
  <si>
    <t>Laba/Rugi Yang Belum Direalisasi</t>
  </si>
  <si>
    <t>Surplus Revaluasi Aset Tetap</t>
  </si>
  <si>
    <t>Cadangan Tujuan</t>
  </si>
  <si>
    <t>Cadangan Umum</t>
  </si>
  <si>
    <t>Dividen</t>
  </si>
  <si>
    <t>Pembentukan Cadangan</t>
  </si>
  <si>
    <t>Laba/Rugi yang Belum Direalisasi</t>
  </si>
  <si>
    <t>Revaluasi Aset Tetap</t>
  </si>
  <si>
    <t>Laba/Rugi Periode Berjalan</t>
  </si>
  <si>
    <t>Pos Penambah/Pengurang Lainnya</t>
  </si>
  <si>
    <t>termasuk laporan gabungan</t>
  </si>
  <si>
    <t>Penyesuaian lainnya</t>
  </si>
  <si>
    <t>Simpanan dari bank lain</t>
  </si>
  <si>
    <t>Pinjaman yang diterima</t>
  </si>
  <si>
    <t>Arus Kas neto dari aktivitas operasi</t>
  </si>
  <si>
    <t>Pembelian/penjualan aset tetap dan inventaris</t>
  </si>
  <si>
    <t>Pembelian/penjualan aset tidak berwujud</t>
  </si>
  <si>
    <t>Pembelian/penjualan Surat Berharga</t>
  </si>
  <si>
    <t>Pembelian/penjualan Penyertaan Modal</t>
  </si>
  <si>
    <t>Arus Kas neto dari aktivitas Investasi</t>
  </si>
  <si>
    <t>Pembayaran dividen</t>
  </si>
  <si>
    <t>Arus Kas neto dari aktivitas Pendanaan</t>
  </si>
  <si>
    <t>Peningkatan (Penurunan) Arus Kas</t>
  </si>
  <si>
    <t>Kas dan setara Kas awal periode</t>
  </si>
  <si>
    <t>Kas dan setara Kas akhir periode</t>
  </si>
  <si>
    <t>note: hanya disampaikan posisi des, selain bulan des disampaikan header saja</t>
  </si>
  <si>
    <t>Arus Kas dari Aktivitas Operasi Metode Langsung</t>
  </si>
  <si>
    <t>Penerimaan pendapatan bunga</t>
  </si>
  <si>
    <t>Pembayaran beban bunga</t>
  </si>
  <si>
    <t>Pendapatan operasional lainnya</t>
  </si>
  <si>
    <t>Beban operasional lainnya</t>
  </si>
  <si>
    <t>Beban gaji dan tunjangan</t>
  </si>
  <si>
    <t>Beban umum dan administrasi</t>
  </si>
  <si>
    <t>Penurunan/Peningkatan atas aset operasional</t>
  </si>
  <si>
    <t>Agunan yang diambil alih</t>
  </si>
  <si>
    <t>Aset lain-lain</t>
  </si>
  <si>
    <t>Penerimaan atas aset keuangan yang telah dihapusbukukan</t>
  </si>
  <si>
    <t>Kenaikan/Peningkatan atas liabilitas operasional</t>
  </si>
  <si>
    <t>Liabilitas segera</t>
  </si>
  <si>
    <t>Liabilitas imbalan kerja</t>
  </si>
  <si>
    <t>Liabilitas lain-lain</t>
  </si>
  <si>
    <t>POS</t>
  </si>
  <si>
    <t>Kas dalam Rupiah</t>
  </si>
  <si>
    <t>Kas dalam Valuta Asing</t>
  </si>
  <si>
    <t>Surat Berharga</t>
  </si>
  <si>
    <t>-/-</t>
  </si>
  <si>
    <t>Kredit yang Diberikan (Baki Debet)</t>
  </si>
  <si>
    <t>Provisi yang belum diamortisasi</t>
  </si>
  <si>
    <t>Biaya Transaksi yang belum diamortisasi</t>
  </si>
  <si>
    <t>Pendapatan Bunga yang Ditangguhkan dalam rangka restrukturisasi</t>
  </si>
  <si>
    <t>Cadangan Kerugian Restrukturisasi</t>
  </si>
  <si>
    <t>Penyertaan Modal</t>
  </si>
  <si>
    <t>Properti Terbengkalai</t>
  </si>
  <si>
    <t>Aset Tetap dan Inventaris</t>
  </si>
  <si>
    <t>Akumulasi Penyusutan dan Penurunan Nilai</t>
  </si>
  <si>
    <t>Aset Tidak Berwujud</t>
  </si>
  <si>
    <t>Akumulasi Amortisasi dan Penurunan Nilai</t>
  </si>
  <si>
    <t>Aset Antarkantor</t>
  </si>
  <si>
    <t>Aset Keuangan Lainnya</t>
  </si>
  <si>
    <t>Aset Lainnya</t>
  </si>
  <si>
    <t>TOTAL ASET</t>
  </si>
  <si>
    <t>LIABILITAS</t>
  </si>
  <si>
    <t>Liabilitas Segera</t>
  </si>
  <si>
    <t>Simpanan</t>
  </si>
  <si>
    <t>a</t>
  </si>
  <si>
    <t>-/- Biaya Transaksi Belum Diamortisasi</t>
  </si>
  <si>
    <t>b</t>
  </si>
  <si>
    <t>Simpanan dari Bank Lain</t>
  </si>
  <si>
    <t>Pinjaman yang Diterima</t>
  </si>
  <si>
    <t>Dana Setoran Modal-Kewajiban</t>
  </si>
  <si>
    <t>Liabilitas Antarkantor</t>
  </si>
  <si>
    <t>TOTAL LIABILITAS</t>
  </si>
  <si>
    <t>EKUITAS</t>
  </si>
  <si>
    <t>Modal Dasar</t>
  </si>
  <si>
    <t>Modal yang Belum Disetor -/-</t>
  </si>
  <si>
    <t>Tambahan Modal Disetor</t>
  </si>
  <si>
    <t>Agio</t>
  </si>
  <si>
    <t>Tambahan Modal Disetor Lainnya</t>
  </si>
  <si>
    <t>Ekuitas Lain</t>
  </si>
  <si>
    <t>Keuntungan (Kerugian) dari Perubahan Nilai Aset Keuangan dalam Kelompok Tersedia untuk Dijual</t>
  </si>
  <si>
    <t>Keuntungan Revaluasi Aset Tetap</t>
  </si>
  <si>
    <t>Pajak Penghasilan terkait dengan Ekuitas Lain</t>
  </si>
  <si>
    <t>Cadangan</t>
  </si>
  <si>
    <t>Umum</t>
  </si>
  <si>
    <t>Tujuan</t>
  </si>
  <si>
    <t>Laba (Rugi)</t>
  </si>
  <si>
    <t>a. Laba Tahun lalu</t>
  </si>
  <si>
    <t>b. Laba Tahun Berjalan</t>
  </si>
  <si>
    <t>TOTAL EKUITAS</t>
  </si>
  <si>
    <t>Penyisihan Penghapusan Aset Produktif</t>
  </si>
  <si>
    <t>Aset</t>
  </si>
  <si>
    <t>Tagihan Komitmen</t>
  </si>
  <si>
    <t>Fasilitas Pinjaman yang Diterima yang Belum Ditarik</t>
  </si>
  <si>
    <t>Tagihan Komitmen Lainnya</t>
  </si>
  <si>
    <t>Kewajiban Komitmen</t>
  </si>
  <si>
    <t>Fasilitas Kredit kepada Nasabah yang Belum Ditarik</t>
  </si>
  <si>
    <t>Kewajiban Komitmen Lainnya</t>
  </si>
  <si>
    <t>Tagihan Kontinjensi</t>
  </si>
  <si>
    <t>Pendapatan Bunga Dalam Penyelesaian</t>
  </si>
  <si>
    <t>1) Bunga Kredit yang Diberikan</t>
  </si>
  <si>
    <t>2) Bunga Penempatan pada Bank Lain</t>
  </si>
  <si>
    <t>Aset Produktif yang dihapusbuku</t>
  </si>
  <si>
    <t>1) Kredit yang Diberikan</t>
  </si>
  <si>
    <t>2) Penempatan pada Bank Lain</t>
  </si>
  <si>
    <t>3) Pendapatan Bunga Atas Kredit yang dihapusbuku</t>
  </si>
  <si>
    <t>4) Pendapatan Bunga Atas Penempatan Dana pada Bank Lain yang dihapusbuku</t>
  </si>
  <si>
    <t>Agunan dalam Proses Penyelesaian Kredit</t>
  </si>
  <si>
    <t>Tagihan Kontinjensi Lainnya</t>
  </si>
  <si>
    <t>Kewajiban Kontinjensi</t>
  </si>
  <si>
    <t/>
  </si>
  <si>
    <t>Jenis Valas</t>
  </si>
  <si>
    <t>Kurs Tengah (Rp)</t>
  </si>
  <si>
    <t>Nilai Rupiah</t>
  </si>
  <si>
    <t>USD (US Dollar)</t>
  </si>
  <si>
    <t>KRW (Korean Won)</t>
  </si>
  <si>
    <t>INR (Indian Rupee)</t>
  </si>
  <si>
    <t>HKD (Hong Kong  Dollar)</t>
  </si>
  <si>
    <t>JPY (Japanese Yen)</t>
  </si>
  <si>
    <t>Uraian</t>
  </si>
  <si>
    <t>Klasifikasi</t>
  </si>
  <si>
    <t>Nominal yang Dijaminkan</t>
  </si>
  <si>
    <t>Premium/Diskonto Belum Diamortisasi</t>
  </si>
  <si>
    <t>Laba/Rugi Belum Direalisasi</t>
  </si>
  <si>
    <t>Nomor Surat Berharga</t>
  </si>
  <si>
    <t>Cadangan Kerugian Penurunan Nilai</t>
  </si>
  <si>
    <t>Peringkat Surat Berharga</t>
  </si>
  <si>
    <t>Tanggal Penerbitan</t>
  </si>
  <si>
    <t>Cadangan Kerugian Penurunan Nilai Aset Baik</t>
  </si>
  <si>
    <t>Cadangan Kerugian Penurunan Nilai Aset Kurang Baik</t>
  </si>
  <si>
    <t>Cadangan Kerugian Penurunan Nilai Aset Tidak Baik</t>
  </si>
  <si>
    <t>Lokasi Bank</t>
  </si>
  <si>
    <t>Nominal yang Diblokir/Dijaminkan</t>
  </si>
  <si>
    <t>Pendapatan Bunga yang Akan Diterima</t>
  </si>
  <si>
    <t>Status BMPK Individu</t>
  </si>
  <si>
    <t>Kode Kelompok Kredit</t>
  </si>
  <si>
    <t>No. Rekening</t>
  </si>
  <si>
    <t>Periode Pembayaran - Pokok</t>
  </si>
  <si>
    <t>Periode Pembayaran - Bunga</t>
  </si>
  <si>
    <t>Jangka Waktu - Tanggal Mulai</t>
  </si>
  <si>
    <t>Jangka Waktu - Tanggal Jatuh Tempo</t>
  </si>
  <si>
    <t>Angsuran Pokok Pertama</t>
  </si>
  <si>
    <t>Tanggal Mulai Macet</t>
  </si>
  <si>
    <t>Jumlah Hari Tunggakan - Pokok</t>
  </si>
  <si>
    <t>Jumlah Hari Tunggakan - Bunga</t>
  </si>
  <si>
    <t>Nominal Tunggakan - Pokok</t>
  </si>
  <si>
    <t>Nominal Tunggakan - Bunga</t>
  </si>
  <si>
    <t>Golongan Debitur</t>
  </si>
  <si>
    <t>Suku Bunga - Persentase</t>
  </si>
  <si>
    <t>Suku Bunga - Cara Perhitungan</t>
  </si>
  <si>
    <t>Penjamin - Golongan Penjamin</t>
  </si>
  <si>
    <t>Penjamin - Bagian yang dijamin</t>
  </si>
  <si>
    <t>Agunan - Likuid</t>
  </si>
  <si>
    <t>Agunan - Non Likuid</t>
  </si>
  <si>
    <t>Kelonggaran tarik</t>
  </si>
  <si>
    <t>Plafon - Awal</t>
  </si>
  <si>
    <t>Plafon - Efektif</t>
  </si>
  <si>
    <t>Provisi Belum Diamortisasi</t>
  </si>
  <si>
    <t>Biaya Transkasi Belum Diamortisasi</t>
  </si>
  <si>
    <t>Pendapatan Bunga Ditangguhkan Dalam Rangka Restrukturisasi</t>
  </si>
  <si>
    <t>Pendapatan Bunga Yang Akan Diterima</t>
  </si>
  <si>
    <t>Kredit Program Pemerintah</t>
  </si>
  <si>
    <t>Tanggal Akad Awal</t>
  </si>
  <si>
    <t>Tanggal Akad Akhir</t>
  </si>
  <si>
    <t>Sandi Fintech P2PL</t>
  </si>
  <si>
    <t>Kode Register/Nomor Agunan</t>
  </si>
  <si>
    <t>Alamat Agunan</t>
  </si>
  <si>
    <t>Nilai yang Diagunkan</t>
  </si>
  <si>
    <t>Nilai Agunan</t>
  </si>
  <si>
    <t>Penilai</t>
  </si>
  <si>
    <t>Tanggal Penilaian Terakhir</t>
  </si>
  <si>
    <t>Likuid</t>
  </si>
  <si>
    <t>Non Likuid</t>
  </si>
  <si>
    <t>Jumlah Pendanaan Sindikasi</t>
  </si>
  <si>
    <t>Bagian Pendanaan</t>
  </si>
  <si>
    <t>Status Kepersertaan</t>
  </si>
  <si>
    <t>Pendanaan di Bank Pelapor</t>
  </si>
  <si>
    <t xml:space="preserve">Kualitas </t>
  </si>
  <si>
    <t>Nominal Tunggakan</t>
  </si>
  <si>
    <t>Hari Tunggakan</t>
  </si>
  <si>
    <t>Pokok</t>
  </si>
  <si>
    <t>Bunga</t>
  </si>
  <si>
    <t>Tanggal Pengambilalihan</t>
  </si>
  <si>
    <t>Nilai Pengakuan Awal</t>
  </si>
  <si>
    <t>Akumulasi Kerugian Penurunan Nilai</t>
  </si>
  <si>
    <t>Nilai Bersih Yang Dapat Direalisasikan</t>
  </si>
  <si>
    <t>Jenis Aset</t>
  </si>
  <si>
    <t>Status Aset</t>
  </si>
  <si>
    <t>Akumulasi Penyusutan/Amortisasi</t>
  </si>
  <si>
    <t>Nilai Tercatat</t>
  </si>
  <si>
    <t>1299010100</t>
  </si>
  <si>
    <t>1299990000</t>
  </si>
  <si>
    <t>Uraian 1</t>
  </si>
  <si>
    <t>Uraian 2</t>
  </si>
  <si>
    <t>Uraian 3</t>
  </si>
  <si>
    <t>Uraian 4</t>
  </si>
  <si>
    <t>Uraian 5</t>
  </si>
  <si>
    <t>Uraian 6</t>
  </si>
  <si>
    <t>Uraian 7</t>
  </si>
  <si>
    <t>Nomor Rekening</t>
  </si>
  <si>
    <t>Golongan Nasabah</t>
  </si>
  <si>
    <t xml:space="preserve">Lokasi Nasabah </t>
  </si>
  <si>
    <t>Mulai</t>
  </si>
  <si>
    <t>Jatuh Tempo</t>
  </si>
  <si>
    <t>Jenis Bank</t>
  </si>
  <si>
    <t>CIF1</t>
  </si>
  <si>
    <t>Rekening1</t>
  </si>
  <si>
    <t>01 (Tabungan)</t>
  </si>
  <si>
    <t>20221231</t>
  </si>
  <si>
    <t>01 (Escrow Account)</t>
  </si>
  <si>
    <t>CIF2</t>
  </si>
  <si>
    <t>Rekening2</t>
  </si>
  <si>
    <t>02 (Deposito)</t>
  </si>
  <si>
    <t>02 (Cash Collateral)</t>
  </si>
  <si>
    <t>CIF3</t>
  </si>
  <si>
    <t>Rekening3</t>
  </si>
  <si>
    <t>700 (Bank Umum Konvensional)</t>
  </si>
  <si>
    <t>99 (Alasan Diblokir Lainnya)</t>
  </si>
  <si>
    <t>CIF4</t>
  </si>
  <si>
    <t>Rekening4</t>
  </si>
  <si>
    <t>CIF5</t>
  </si>
  <si>
    <t>Rekening5</t>
  </si>
  <si>
    <t>CIF6</t>
  </si>
  <si>
    <t>Rekening6</t>
  </si>
  <si>
    <t>CIF7</t>
  </si>
  <si>
    <t>Rekening7</t>
  </si>
  <si>
    <t>CIF8</t>
  </si>
  <si>
    <t>Rekening8</t>
  </si>
  <si>
    <t>CIF9</t>
  </si>
  <si>
    <t>Rekening9</t>
  </si>
  <si>
    <t>11 (Tabungan khusus dari BPR lain untuk penanggulangan permasalahan likuditas)</t>
  </si>
  <si>
    <t>CIF10</t>
  </si>
  <si>
    <t>Rekening10</t>
  </si>
  <si>
    <t>12 (Deposito khusus dari BPR lain untuk rangka penanggulangan permasalahan likuditas)</t>
  </si>
  <si>
    <t>Gol. Debitur</t>
  </si>
  <si>
    <t>Saldo Pokok</t>
  </si>
  <si>
    <t>Tunggakan Bunga</t>
  </si>
  <si>
    <t>Agunan</t>
  </si>
  <si>
    <t>Saat Hapus Buku</t>
  </si>
  <si>
    <t>Akumulasi Tertagih</t>
  </si>
  <si>
    <t>Per Posisi Laporan</t>
  </si>
  <si>
    <t>Akumulasi Tambahan Bunga Berjalan</t>
  </si>
  <si>
    <t>Nilai</t>
  </si>
  <si>
    <t>10 (Kredit yang diberikan)</t>
  </si>
  <si>
    <t>835 (Lainnya)</t>
  </si>
  <si>
    <t>Alamat 1</t>
  </si>
  <si>
    <t>20 (Penempatan pada bank lain)</t>
  </si>
  <si>
    <t>Alamat 2</t>
  </si>
  <si>
    <t>Alamat 3</t>
  </si>
  <si>
    <t>Alamat 4</t>
  </si>
  <si>
    <t>Alamat 5</t>
  </si>
  <si>
    <t>Alamat 6</t>
  </si>
  <si>
    <t>Alamat 7</t>
  </si>
  <si>
    <t>Alamat 8</t>
  </si>
  <si>
    <t>Alamat 9</t>
  </si>
  <si>
    <t>901 (Unit Usaha Syariah (KC Syariah Bank Umum Konvensional))</t>
  </si>
  <si>
    <t>Alamat 10</t>
  </si>
  <si>
    <t>No Register</t>
  </si>
  <si>
    <t>Persentase Penyertaan</t>
  </si>
  <si>
    <t>Jumlah Bulan Laporan</t>
  </si>
  <si>
    <t>Alamat Properti Terbengkalai</t>
  </si>
  <si>
    <t>Tanggal Penetapan Properti Terbengkalai</t>
  </si>
  <si>
    <t xml:space="preserve">Jenis </t>
  </si>
  <si>
    <t>Nilai Agunan yang dapat diperhitungkan</t>
  </si>
  <si>
    <t xml:space="preserve">Cadangan Kerugian Penurunan Nilai </t>
  </si>
  <si>
    <t>Pada BPR Bersangkutan</t>
  </si>
  <si>
    <t>Pada BPR Lain</t>
  </si>
  <si>
    <t>Plafon/Nominal</t>
  </si>
  <si>
    <t>Sandi BPR Lain</t>
  </si>
  <si>
    <t>Flag Detail</t>
  </si>
  <si>
    <t>D01</t>
  </si>
  <si>
    <t>Javas</t>
  </si>
  <si>
    <t>krapyak</t>
  </si>
  <si>
    <t>1</t>
  </si>
  <si>
    <t>02 (Non PSP)</t>
  </si>
  <si>
    <t>120 (Direktur )</t>
  </si>
  <si>
    <t>787</t>
  </si>
  <si>
    <t>04 (D3)</t>
  </si>
  <si>
    <t>jj</t>
  </si>
  <si>
    <t>s1</t>
  </si>
  <si>
    <t>01 (Ketua )</t>
  </si>
  <si>
    <t>2 (Pengangkatan kembali)</t>
  </si>
  <si>
    <t>demak</t>
  </si>
  <si>
    <t>semarang</t>
  </si>
  <si>
    <t>24242424</t>
  </si>
  <si>
    <t>01 (Dana)</t>
  </si>
  <si>
    <t>02 (Modal Sumbangan)</t>
  </si>
  <si>
    <t>ss</t>
  </si>
  <si>
    <t>5245665</t>
  </si>
  <si>
    <t>82210243624</t>
  </si>
  <si>
    <t>-34444</t>
  </si>
  <si>
    <t>2</t>
  </si>
  <si>
    <t>03 (Modal Sumbangan)</t>
  </si>
  <si>
    <t>2 (Tidak Dijaminkan)</t>
  </si>
  <si>
    <t>20240521</t>
  </si>
  <si>
    <t>01 (Emas perhiasan)</t>
  </si>
  <si>
    <t>Jakarta</t>
  </si>
  <si>
    <t>-</t>
  </si>
  <si>
    <t>Metode Pengukuran</t>
  </si>
  <si>
    <t>Jenis CKPN</t>
  </si>
  <si>
    <t>Individual</t>
  </si>
  <si>
    <t>1 (Individual)</t>
  </si>
  <si>
    <t>Kolektif</t>
  </si>
  <si>
    <t>2 (Kolektif)</t>
  </si>
  <si>
    <t>Form 08 dan Form 17</t>
  </si>
  <si>
    <t>Model Biaya</t>
  </si>
  <si>
    <t>1 (Model Biaya)</t>
  </si>
  <si>
    <t>Model Revaluasi</t>
  </si>
  <si>
    <t>2 (Model Revaluasi)</t>
  </si>
  <si>
    <t>Form 0016</t>
  </si>
  <si>
    <t>Konvensional</t>
  </si>
  <si>
    <t>1 (Konvensional)</t>
  </si>
  <si>
    <t>Syariah</t>
  </si>
  <si>
    <t>2 (Syariah)</t>
  </si>
  <si>
    <t>CKPN - Yang Telah Dibentuk</t>
  </si>
  <si>
    <t>1 (Diukur pada Nilai Wajar Melalui Laba Rugi)</t>
  </si>
  <si>
    <t>1 (Lancar)</t>
  </si>
  <si>
    <t>1 (Surat Berharga yang diterbitkan Bank Indonesia)</t>
  </si>
  <si>
    <t>600001 (PT. BPR Jawa Timur)</t>
  </si>
  <si>
    <t>01 (Hubungan Keluarga dengan Anggota Direksi, Anggota Dewan Komisaris dan Pemegang saham)</t>
  </si>
  <si>
    <t>9 (Lainnya)</t>
  </si>
  <si>
    <t>20 (Restrukturisasi 1)</t>
  </si>
  <si>
    <t>20 (Investasi)</t>
  </si>
  <si>
    <t>10 (Gaji/Honor)</t>
  </si>
  <si>
    <t>3 (Bulanan)</t>
  </si>
  <si>
    <t>1 (Mikro)</t>
  </si>
  <si>
    <t>0102 (Kab. Bekasi)</t>
  </si>
  <si>
    <t>13 (Melanggar Individu dan Kelompok)</t>
  </si>
  <si>
    <t>21 (Kredit Program Pemerintah - Kredit Usaha Rakyat - Mikro)</t>
  </si>
  <si>
    <t>10 (KUR sektor pariwisata)</t>
  </si>
  <si>
    <t>101 (Likuid : SBI/Surat Utang Pemerintah)</t>
  </si>
  <si>
    <t>1 (Penilai Independen)</t>
  </si>
  <si>
    <t>1 (Arranger)</t>
  </si>
  <si>
    <t>10 (Tabungan yang dapat ditarik sewaktu-waktu)</t>
  </si>
  <si>
    <t>1 (Rendah)</t>
  </si>
  <si>
    <t>1 (PEP)</t>
  </si>
  <si>
    <t>1 (Terdapat pengkinian di bulan berjalan)</t>
  </si>
  <si>
    <t>600005 (PT BPR Narwastu Mikro Perkasa)</t>
  </si>
  <si>
    <t>1 (Tanah)</t>
  </si>
  <si>
    <t>10 (Tagihan Fraud)</t>
  </si>
  <si>
    <t>10 (Modal kerja)</t>
  </si>
  <si>
    <t>20240501</t>
  </si>
  <si>
    <t>1 (Laki-Laki)</t>
  </si>
  <si>
    <t>20240502</t>
  </si>
  <si>
    <t>Tuan</t>
  </si>
  <si>
    <t>085</t>
  </si>
  <si>
    <t>Rasio Cadangan terhadap PPKA</t>
  </si>
  <si>
    <t>1 ( Pengangkatan )</t>
  </si>
  <si>
    <t>1 (Penambahan Baru)</t>
  </si>
  <si>
    <t>20220501</t>
  </si>
  <si>
    <t>01 (Perorangan)</t>
  </si>
  <si>
    <t>1 = Mandiri, 2 = PJTI</t>
  </si>
  <si>
    <t>1 (Mandiri)</t>
  </si>
  <si>
    <t>2 (PJTI)</t>
  </si>
  <si>
    <t>20240503</t>
  </si>
  <si>
    <t>BPR</t>
  </si>
  <si>
    <t>20230612</t>
  </si>
  <si>
    <t>Penerimaan pendapatan provisi dan jasa transaksi</t>
  </si>
  <si>
    <t>Penerimaan beban klaim asuransi</t>
  </si>
  <si>
    <t>Pendapatan non operasional lainnya</t>
  </si>
  <si>
    <t>Beban non operasional lainnya</t>
  </si>
  <si>
    <t>Pembayaran pajak penghasilan</t>
  </si>
  <si>
    <t>Penyesuaian lainnya atas pendapatan dan beban</t>
  </si>
  <si>
    <t>Penyesuaian lainnya atas aset operasional</t>
  </si>
  <si>
    <t>Penyesuaian lainnya atas liabilitas operasional</t>
  </si>
  <si>
    <t>Arus Kas dari aktivitas Investasi</t>
  </si>
  <si>
    <t>Arus Kas dari aktivitas Pendanaan</t>
  </si>
  <si>
    <t>Penerimaan/pembayaran pinjaman yang diterima sebagai modal pelengkap</t>
  </si>
  <si>
    <t>Penerimaan/pembayaran pinjaman yang diterima sebagai modal inti tambahan</t>
  </si>
  <si>
    <r>
      <t xml:space="preserve">Penerusan Kredit </t>
    </r>
    <r>
      <rPr>
        <i/>
        <sz val="11"/>
        <color rgb="FF000000"/>
        <rFont val="Calibri"/>
        <family val="2"/>
        <scheme val="minor"/>
      </rPr>
      <t>(Channeling)</t>
    </r>
  </si>
  <si>
    <t>Rekening Administratif Lainnya</t>
  </si>
  <si>
    <t>Nama Rekening</t>
  </si>
  <si>
    <t>Pendapatan Operasional</t>
  </si>
  <si>
    <t>Pendapatan Bunga</t>
  </si>
  <si>
    <t>Bunga Kontraktual</t>
  </si>
  <si>
    <t>i. Surat Berharga</t>
  </si>
  <si>
    <t>ii. Penempatan pada Bank Lain</t>
  </si>
  <si>
    <t>iii. Kredit yang Diberikan</t>
  </si>
  <si>
    <t>Kepada Bank Lain</t>
  </si>
  <si>
    <t>Kepada Pihak Ketiga bukan Bank</t>
  </si>
  <si>
    <t>Provisi Kredit</t>
  </si>
  <si>
    <t>i. Kepada Bank Lain</t>
  </si>
  <si>
    <t>ii. Kepada Pihak Ketiga Bukan Bank</t>
  </si>
  <si>
    <t>c</t>
  </si>
  <si>
    <t>Biaya Transaksi -/-</t>
  </si>
  <si>
    <t>ii. Kredit yang Diberikan</t>
  </si>
  <si>
    <t>Koreksi Atas Pendapatan Bunga -/-</t>
  </si>
  <si>
    <t>Pendapatan Lainnya</t>
  </si>
  <si>
    <t>Pendapatan Jasa Transaksi</t>
  </si>
  <si>
    <t>Keuntungan Penjualan Valuta Asing</t>
  </si>
  <si>
    <t>Keuntungan Penjualan Surat Berharga</t>
  </si>
  <si>
    <t>d</t>
  </si>
  <si>
    <t>Penerimaan Kredit yang Dihapusbuku</t>
  </si>
  <si>
    <t>e</t>
  </si>
  <si>
    <t>f</t>
  </si>
  <si>
    <t>g</t>
  </si>
  <si>
    <t>Keuntungan dari penyertaan dengan equity method</t>
  </si>
  <si>
    <t>h</t>
  </si>
  <si>
    <t>Keuntungan penjualan AYDA</t>
  </si>
  <si>
    <t>i</t>
  </si>
  <si>
    <t>Pendapatan Ganti Rugi Asuransi</t>
  </si>
  <si>
    <t>j</t>
  </si>
  <si>
    <t>Pemulihan penurunan nilai AYDA</t>
  </si>
  <si>
    <t>Beban Operasional</t>
  </si>
  <si>
    <t>Beban Bunga</t>
  </si>
  <si>
    <t>Beban Bunga Kontraktual</t>
  </si>
  <si>
    <t>i. Tabungan</t>
  </si>
  <si>
    <t>ii. Deposito</t>
  </si>
  <si>
    <t>iii. Simpanan dari Bank Lain</t>
  </si>
  <si>
    <t>iv. Pinjaman yang diterima</t>
  </si>
  <si>
    <t>1) Dari Bank Indonesia</t>
  </si>
  <si>
    <t>2) Dari Bank Lain</t>
  </si>
  <si>
    <t>3) Dari Pihak Ketiga Bukan Bank</t>
  </si>
  <si>
    <t>4) Berupa Pinjaman Subordinasi</t>
  </si>
  <si>
    <t>v. Lainnya</t>
  </si>
  <si>
    <t>Biaya Transaksi</t>
  </si>
  <si>
    <t>Beban Kerugian Restrukturisasi Kredit</t>
  </si>
  <si>
    <t>a. Surat Berharga</t>
  </si>
  <si>
    <t>c. Kredit yang Diberikan</t>
  </si>
  <si>
    <t>Beban Pemasaran</t>
  </si>
  <si>
    <t>Beban Penelitian dan Pengembangan</t>
  </si>
  <si>
    <t>Beban Administrasi dan Umum</t>
  </si>
  <si>
    <t>Beban Tenaga Kerja</t>
  </si>
  <si>
    <t>i. Gaji dan Upah</t>
  </si>
  <si>
    <t>ii. Honorarium</t>
  </si>
  <si>
    <t>iii. Lainnya</t>
  </si>
  <si>
    <t>Beban Pendidikan dan Pelatihan</t>
  </si>
  <si>
    <t>Beban Sewa</t>
  </si>
  <si>
    <t>i. Gedung Kantor</t>
  </si>
  <si>
    <t>ii. Lainnya</t>
  </si>
  <si>
    <t>Beban Penyusutan/Penghapusan atas Aset Tetap dan Inventaris</t>
  </si>
  <si>
    <t>Beban Amortisasi Aset Tidak Berwujud</t>
  </si>
  <si>
    <t>Beban Premi Asuransi</t>
  </si>
  <si>
    <t>Beban Pemeliharaan dan Perbaikan</t>
  </si>
  <si>
    <t>Beban Barang dan Jasa</t>
  </si>
  <si>
    <t>Beban Penyelenggaraan Teknologi Informasi</t>
  </si>
  <si>
    <t>Kerugian terkait risiko operasional</t>
  </si>
  <si>
    <t>a. Kecurangan internal</t>
  </si>
  <si>
    <t>b. Kejahatan eksternal</t>
  </si>
  <si>
    <t>k</t>
  </si>
  <si>
    <t>Pajak-pajak</t>
  </si>
  <si>
    <t>Beban Lainnya</t>
  </si>
  <si>
    <t>Kerugian Penjualan Valuta Asing</t>
  </si>
  <si>
    <t>Kerugian Penjualan Surat Berharga</t>
  </si>
  <si>
    <t>Kerugian dari penyertaan dengan equity method</t>
  </si>
  <si>
    <t>Kerugian penjualan AYDA</t>
  </si>
  <si>
    <t>Kerugian penurunan nilai AYDA</t>
  </si>
  <si>
    <t>Laba (Rugi) Operasional</t>
  </si>
  <si>
    <t>Pendapatan Non Operasional</t>
  </si>
  <si>
    <t>Keuntungan Penjualan</t>
  </si>
  <si>
    <t>Pemulihan Penurunan Nilai</t>
  </si>
  <si>
    <t>Bunga Antar Kantor</t>
  </si>
  <si>
    <t>Selilsih Kurs</t>
  </si>
  <si>
    <t>Beban Non Operasional</t>
  </si>
  <si>
    <t>Kerugian Penjualan/Kehilangan</t>
  </si>
  <si>
    <t>Kerugian Penurunan Nilai</t>
  </si>
  <si>
    <t>Selisih Kurs</t>
  </si>
  <si>
    <t>Laba (Rugi) Non Operasional</t>
  </si>
  <si>
    <t>Laba (Rugi) Tahun Berjalan Sebelum Pajak</t>
  </si>
  <si>
    <t>Taksiran Pajak Penghasilan</t>
  </si>
  <si>
    <t>Pendapatan Pajak Tangguhan</t>
  </si>
  <si>
    <t>Beban Pajak Tangguhan</t>
  </si>
  <si>
    <t>Jumlah Laba (Rugi) Tahun Berjalan</t>
  </si>
  <si>
    <t>Penghasilan Komprehensif Lain</t>
  </si>
  <si>
    <t>Tidak Akan Direklasifikasi ke Laba Rugi</t>
  </si>
  <si>
    <t>Pajak Penghasilan terkait</t>
  </si>
  <si>
    <t>Akan Direklasifikasikan ke Laba Rugi</t>
  </si>
  <si>
    <t>Keuntungan (Kerugian) dan Perubahan Nilai Aset Keuangan Dalam Kelompok Tersedia untuk Dijual</t>
  </si>
  <si>
    <t>Penghasilan Komprehensif Lain Setelah Pajak</t>
  </si>
  <si>
    <t>Pemulihan Penyisihan Penghapusan Aset Produktif</t>
  </si>
  <si>
    <t>Biaya Perolehan Diamortisasi/Nilai Wajar</t>
  </si>
  <si>
    <t>Pendapatan Bunga dalam Penyelesaian</t>
  </si>
  <si>
    <t>Lokasi Penggunaan</t>
  </si>
  <si>
    <r>
      <t>CKPN</t>
    </r>
    <r>
      <rPr>
        <b/>
        <sz val="11"/>
        <color rgb="FF000000"/>
        <rFont val="Calibri"/>
        <family val="2"/>
        <scheme val="minor"/>
      </rPr>
      <t xml:space="preserve">- Kelebihan </t>
    </r>
    <r>
      <rPr>
        <b/>
        <sz val="11"/>
        <color rgb="FFFF0000"/>
        <rFont val="Calibri"/>
        <family val="2"/>
        <scheme val="minor"/>
      </rPr>
      <t>CKPN</t>
    </r>
    <r>
      <rPr>
        <b/>
        <sz val="11"/>
        <color rgb="FF000000"/>
        <rFont val="Calibri"/>
        <family val="2"/>
        <scheme val="minor"/>
      </rPr>
      <t xml:space="preserve"> Dalam Rangka Restrukturisasi</t>
    </r>
  </si>
  <si>
    <t>Tanggal Berhenti Menjabat</t>
  </si>
  <si>
    <t>600002 (PT. BPR Anugrah Swakerta)</t>
  </si>
  <si>
    <t>a. Penempatan pada Bank Lain</t>
  </si>
  <si>
    <t>b. Kredit yang Diberikan</t>
  </si>
  <si>
    <t>Premi penjaminan LPS dibayar dimuka</t>
  </si>
  <si>
    <t>Uang Muka Pajak</t>
  </si>
  <si>
    <t>Aset Pajak Tangguhan</t>
  </si>
  <si>
    <t>Biaya dibayar dimuka</t>
  </si>
  <si>
    <t>Tagihan kepada perusahaan asuransi</t>
  </si>
  <si>
    <t>Uang Muka Untuk Kegiatan Operasional</t>
  </si>
  <si>
    <t>Liabilitas kepada pemerintah yang harus dibayar</t>
  </si>
  <si>
    <t>Sanksi Liabilitas membayar kepada otoritas yang belum dibayarkan</t>
  </si>
  <si>
    <t>Titipan Nasabah</t>
  </si>
  <si>
    <t>Kredit yang diberikan bersaldo kredit</t>
  </si>
  <si>
    <t>Dividen yang belum dibayarkan</t>
  </si>
  <si>
    <t>Selisih lebih hasil penjualan agunan milik nasabah</t>
  </si>
  <si>
    <t>Imbalan kerja</t>
  </si>
  <si>
    <t>Utang Bunga</t>
  </si>
  <si>
    <t>Tabungan Berjangka</t>
  </si>
  <si>
    <t>a.  Sudah Jatuh Tempo</t>
  </si>
  <si>
    <t>b.  Belum Jatuh Tempo</t>
  </si>
  <si>
    <t>Pinjaman yang diterima dari Bank</t>
  </si>
  <si>
    <t>Pinjaman yang diterima dari Pihak Ketiga Bukan Bank</t>
  </si>
  <si>
    <t>Utang Bunga Lainnya</t>
  </si>
  <si>
    <t>Utang Pajak</t>
  </si>
  <si>
    <t>Liabilitas Imbalan Kerja</t>
  </si>
  <si>
    <t>Liabilitas Sewa Pembiayaan</t>
  </si>
  <si>
    <t>Taksiran pajak penghasilan</t>
  </si>
  <si>
    <t>Pendapatan yang ditangguhkan</t>
  </si>
  <si>
    <t>Liabilitas Pajak Tangguhan</t>
  </si>
  <si>
    <t>-6.234122, 106.822166</t>
  </si>
  <si>
    <t>Kecamatan 1</t>
  </si>
  <si>
    <t>12345</t>
  </si>
  <si>
    <t>02 (Milik Sendiri)</t>
  </si>
  <si>
    <t xml:space="preserve">Nama Pihak </t>
  </si>
  <si>
    <t>1 (Pembukaan KC)</t>
  </si>
  <si>
    <t>No Surat OJK</t>
  </si>
  <si>
    <t>-6.196506, 106.846953</t>
  </si>
  <si>
    <t>Kecamatan 2</t>
  </si>
  <si>
    <t>10000</t>
  </si>
  <si>
    <t>01 (Sewa )</t>
  </si>
  <si>
    <t>3 (Pemindahan alamat)</t>
  </si>
  <si>
    <t>01 (Modal Disetor)</t>
  </si>
  <si>
    <t>03 (Dana Setoran Modal - Ekuitas)</t>
  </si>
  <si>
    <t>441 (BANK BUKOPIN)</t>
  </si>
  <si>
    <t>Return on Assets (ROA)</t>
  </si>
  <si>
    <t>Loan to Deposit Ratio (LDR)</t>
  </si>
  <si>
    <t>01 (Kantor Cabang)</t>
  </si>
  <si>
    <t>test123</t>
  </si>
  <si>
    <t>FaridhW</t>
  </si>
  <si>
    <t>ID Indonesia</t>
  </si>
  <si>
    <t>0292 (Kota Tangerang)</t>
  </si>
  <si>
    <t>GRUP111</t>
  </si>
  <si>
    <t>GRUP Family</t>
  </si>
  <si>
    <t>JL. KEBON JERUK</t>
  </si>
  <si>
    <t>Pemulihan CKPN</t>
  </si>
  <si>
    <t>NOSURAT123</t>
  </si>
  <si>
    <t>2 (Standard and Poor’s)</t>
  </si>
  <si>
    <t>2 (Diukur pada Nilai Wajar Melalui Penghasilan Komprehensif Lain)</t>
  </si>
  <si>
    <t>20180102</t>
  </si>
  <si>
    <t>NOSURAT124</t>
  </si>
  <si>
    <t>20180103</t>
  </si>
  <si>
    <t>NOSURAT125</t>
  </si>
  <si>
    <t>2 (Surat Berharga yang diterbitkan Bank Indonesia)</t>
  </si>
  <si>
    <t>20180104</t>
  </si>
  <si>
    <t>NOSURAT126</t>
  </si>
  <si>
    <t>1201 (Kab. Gresik)</t>
  </si>
  <si>
    <t>00 (Tidak Melanggar dan Tidak Melampaui)</t>
  </si>
  <si>
    <t>LAWAN</t>
  </si>
  <si>
    <t>1204 (Kab. Jombang)</t>
  </si>
  <si>
    <t>20 (Tabungan Umum)</t>
  </si>
  <si>
    <t>02 (Perusahaan bukan bank yang dimiliki oleh Anggota Direksi, Anggota Dewan Komisaris, pemegang saham, pejabat eksekutif, dan pihak nomor 1 diatas)</t>
  </si>
  <si>
    <t>11 (Melanggar Individu)</t>
  </si>
  <si>
    <t>1203 (Kab. Mojokerto)</t>
  </si>
  <si>
    <t>25 (Tabungan Khusus)</t>
  </si>
  <si>
    <t>03 (BPR lain yang dimiliki oleh Anggota Direksi, Anggota Dewan Komisaris, pemegang saham, pejabat eksekutif, dan pihak nomor 1 diatas)</t>
  </si>
  <si>
    <t>3 (Kurang Lancar)</t>
  </si>
  <si>
    <t>1202 (Kab. Sidoarjo)</t>
  </si>
  <si>
    <t>30 (Deposito Umum)</t>
  </si>
  <si>
    <t>04 (BPR lain yang anggota Dewan Komisarisnya merangkap jabatan sebagai anggota Dewan Komisaris BPR dengan jumlah paling sedikit 50% dari keseluruhan anggota Direksi dan anggota Dewan Komisaris pada BPR)</t>
  </si>
  <si>
    <t>5 (Macet)</t>
  </si>
  <si>
    <t>21 (Melampaui Individu)</t>
  </si>
  <si>
    <t>1234567890</t>
  </si>
  <si>
    <t>KKR1</t>
  </si>
  <si>
    <t>2 (Pengambilalihan piutang)</t>
  </si>
  <si>
    <t>10 (Tidak direstrukturisasi)</t>
  </si>
  <si>
    <t>11 (Bunga flat Tetap)</t>
  </si>
  <si>
    <t>12 (Melanggar Kelompok)</t>
  </si>
  <si>
    <t>10 (Kredit yang bukan merupakan kredit/pembiayaan dalam rangka program pemerintah)</t>
  </si>
  <si>
    <t>1234567891</t>
  </si>
  <si>
    <t>KKR2</t>
  </si>
  <si>
    <t>21 (Usaha - Subsidi)</t>
  </si>
  <si>
    <t>2 (Kecil)</t>
  </si>
  <si>
    <t>20 (Kredit Program Pemerintah - Kredit Usaha Rakyat)</t>
  </si>
  <si>
    <t>11 (KUR untuk usaha pertambangan garam rakyat)</t>
  </si>
  <si>
    <t>1234567892</t>
  </si>
  <si>
    <t>KKR3</t>
  </si>
  <si>
    <t>21 (Restrukturisasi 2)</t>
  </si>
  <si>
    <t>31 (KPR yang agunannya diikat dengan hak tanggungan I )</t>
  </si>
  <si>
    <t>22 (Usaha - Non subsidi)</t>
  </si>
  <si>
    <t>3 (Menengah)</t>
  </si>
  <si>
    <t>12 (KUR sektor pertanian, perburuan dan kehutanan)</t>
  </si>
  <si>
    <t>1234567893</t>
  </si>
  <si>
    <t>KKR4</t>
  </si>
  <si>
    <t>22 (Restrukturisasi 3)</t>
  </si>
  <si>
    <t>32 (KPR selain yang dimaksud dalam huruf a. di atas)</t>
  </si>
  <si>
    <t>31 (Lainnya - Subsidi)</t>
  </si>
  <si>
    <t>4 (Selain Mikro, Kecil dan Menengah)</t>
  </si>
  <si>
    <t>1206 (Kab. Pamekasan)</t>
  </si>
  <si>
    <t>22 (Melampaui Kelompok)</t>
  </si>
  <si>
    <t>22 (Kredit Program Pemerintah - Kredit Usaha Rakyat - Kecil)</t>
  </si>
  <si>
    <t>13 (KUR sektor kelautan dan perikanan;)</t>
  </si>
  <si>
    <t>NoAgunan1</t>
  </si>
  <si>
    <t>NoRekening1</t>
  </si>
  <si>
    <t>NoAgunan2</t>
  </si>
  <si>
    <t>NoRekening2</t>
  </si>
  <si>
    <t>2 (Internal BPR)</t>
  </si>
  <si>
    <t>02 (Tanah dan/atau Bangunan)</t>
  </si>
  <si>
    <t>03 (Resi gudang)</t>
  </si>
  <si>
    <t>101 (Aset Tetap dan Inventaris : Tanah)</t>
  </si>
  <si>
    <t>01 (Sewa Pembiayaan)</t>
  </si>
  <si>
    <t>1 (Dijaminkan)</t>
  </si>
  <si>
    <t>02 (Modal Disetor)</t>
  </si>
  <si>
    <t>99 (Sumber Perolehan Lainnya)</t>
  </si>
  <si>
    <t>0191 (Kota Bandung)</t>
  </si>
  <si>
    <t>KTP1</t>
  </si>
  <si>
    <t>20 (Tabungan berjangka)</t>
  </si>
  <si>
    <t>KTP2</t>
  </si>
  <si>
    <t>2 (Sedang)</t>
  </si>
  <si>
    <t>2 (Tidak terdapat pengkinian di bulan berjalan)</t>
  </si>
  <si>
    <t>KTP3</t>
  </si>
  <si>
    <t>3 (Tinggi)</t>
  </si>
  <si>
    <t>KTP4</t>
  </si>
  <si>
    <t>2 (Bukan PEP)</t>
  </si>
  <si>
    <t>Lawan</t>
  </si>
  <si>
    <t>NoRekening3</t>
  </si>
  <si>
    <t>NoRekening4</t>
  </si>
  <si>
    <t>1 (Biaya Perolehan)</t>
  </si>
  <si>
    <t>NoRegis1</t>
  </si>
  <si>
    <t>1 (Kredit)</t>
  </si>
  <si>
    <t>NoRek1</t>
  </si>
  <si>
    <t>Keterangan</t>
  </si>
  <si>
    <t>1 (Kartu Tanda Penduduk)</t>
  </si>
  <si>
    <t>70.00</t>
  </si>
  <si>
    <t>860 (Perusahaan)</t>
  </si>
  <si>
    <t>0,00</t>
  </si>
  <si>
    <t>5.55</t>
  </si>
  <si>
    <t>6.77</t>
  </si>
  <si>
    <t>PERTANIAN JAGUNG</t>
  </si>
  <si>
    <t>011110 (PERTANIAN JAGUNG)</t>
  </si>
  <si>
    <t>PERTANIAN KEDELAI</t>
  </si>
  <si>
    <t>PERTANIAN KACANG DAN TANAH</t>
  </si>
  <si>
    <t>RUMAH TANGGA UNTUK PEMILIKAN RUMAH TINGGAL S.D. TIPE 21</t>
  </si>
  <si>
    <t>001110 (RUMAH TANGGA UNTUK PEMILIKAN RUMAH TINGGAL S.D. TIPE 21)</t>
  </si>
  <si>
    <t>200.00</t>
  </si>
  <si>
    <t>10000.00</t>
  </si>
  <si>
    <t>201 (Aset Tidak Berwujud : Program aplikasi (software))</t>
  </si>
  <si>
    <t>500000</t>
  </si>
  <si>
    <t>IDR (Indonesian Rupiah)</t>
  </si>
  <si>
    <t>185.00</t>
  </si>
  <si>
    <t>0021</t>
  </si>
  <si>
    <t>02 (Disalurkan melalui Bank Lain)</t>
  </si>
  <si>
    <t>Saldo Laba Belum Ditentukan Penggunaannya</t>
  </si>
  <si>
    <t>Biaya Perolehan atau Nilai Wajar</t>
  </si>
  <si>
    <t>Akumulasi Penyusutan / Amortisasi</t>
  </si>
  <si>
    <t>Saldo per 31 Des Tahun T</t>
  </si>
  <si>
    <t>Saldo per 31 Des Tahun T-1</t>
  </si>
  <si>
    <t>Saldo per 31 Des Tahun T-2</t>
  </si>
  <si>
    <t>31 Des Tahun T</t>
  </si>
  <si>
    <t>31 Des Tahun T-1</t>
  </si>
  <si>
    <t>20001220</t>
  </si>
  <si>
    <t>07 (Kantor Wilayah)</t>
  </si>
  <si>
    <t>1 (Pembukaan kantor wilayah, kantor kas atau sentra keuangan khusus, pelaksanaan kas keliling, pelaksanaan titik pembayaran, dan/atau penggunaan/penambahan TPE yang dikelola sendiri. )</t>
  </si>
  <si>
    <t>872 (Kelompok)</t>
  </si>
  <si>
    <t>Kantor OJK Provinsi Jawa Barat</t>
  </si>
  <si>
    <t>Kantor OJK Provinsi Jawa Timur</t>
  </si>
  <si>
    <t>Kantor OJK Provinsi Sumatera Utara</t>
  </si>
  <si>
    <t>Kantor OJK Provinsi Sulawesi Selatan dan Sulawesi Barat</t>
  </si>
  <si>
    <t>Kantor OJK Provinsi Sumatera Selatan dan Bangka Belitung</t>
  </si>
  <si>
    <t>Kantor OJK Provinsi Bali</t>
  </si>
  <si>
    <t>Kantor OJK Jabodetabek dan Provinsi Banten</t>
  </si>
  <si>
    <t xml:space="preserve">Kantor OJK Provinsi Jawa Tengah </t>
  </si>
  <si>
    <t>Kantor OJK Provinsi Daerah Istimewa Yogyakarta</t>
  </si>
  <si>
    <t>Kantor OJK Provinsi Sulawesi Utara, Gorontalo, dan Maluku Utara</t>
  </si>
  <si>
    <t>Kantor OJK Provinsi Kalimantan</t>
  </si>
  <si>
    <t>Kantor OJK Provinsi Kalimantan Timur dan Kalimantan Utara</t>
  </si>
  <si>
    <t>011 (Kantor OJK Jabodetabek dan Provinsi Banten)</t>
  </si>
  <si>
    <t xml:space="preserve">2. Klik tombol "Enable Content" jika muncul notifikasi seperti dibawah ini </t>
  </si>
  <si>
    <t>3. Isi kolom Sandi BPR (Cell A2), contoh : 600001</t>
  </si>
  <si>
    <t>4. Isi kolom Periode Pelaporan (Cell B2), contoh : 2019-01-31</t>
  </si>
  <si>
    <t>5. Pilih Jenis Pelaporan (Cell C2)</t>
  </si>
  <si>
    <t>6. Isi kolom Nomor Surat (Cell D2) jika Jenis Pelaporan "Koreksi Pengawas"</t>
  </si>
  <si>
    <t>7. Klik tombol "Set Lokasi Penyimpanan File" terlebih dahulu untuk menentukan lokasi penyimpanan file txt yang akan dibuat</t>
  </si>
  <si>
    <t>8. Isi seluruh form dari Form 00 s/d Form 15</t>
  </si>
  <si>
    <t>9. Klik tombol "Proses" untuk menjalankan proses pembuatan file txt</t>
  </si>
  <si>
    <t>1. Sebelum membuka Template, pastikan sudah melakukan Unblock pada properties file</t>
  </si>
  <si>
    <t>Sandi Kantor Sebelumnya</t>
  </si>
  <si>
    <r>
      <t xml:space="preserve">Keterangan Data Kantor dan </t>
    </r>
    <r>
      <rPr>
        <b/>
        <sz val="11"/>
        <color rgb="FFFF0000"/>
        <rFont val="Calibri"/>
        <family val="2"/>
        <scheme val="minor"/>
      </rPr>
      <t>TPE</t>
    </r>
  </si>
  <si>
    <t>Kode Kantor</t>
  </si>
  <si>
    <t>DATA KANTOR SELAIN KANTOR PUSAT DAN KANTOR CABANG DAN TERMINAL PERBANKAN ELEKTRONIK</t>
  </si>
  <si>
    <t>DATA PENUTUPAN KANTOR DAN TERMINAL PERBANKAN ELEKTRONIK</t>
  </si>
  <si>
    <t>Status Penawaran Umum Efek</t>
  </si>
  <si>
    <t>Nama Pihak PJTI</t>
  </si>
  <si>
    <t>DATA PEJABAT EKSEKUTIF BPR</t>
  </si>
  <si>
    <t>&lt;25</t>
  </si>
  <si>
    <t>DATA PEJABAT EKSEKUTIF BPR YANG BERHENTI MENJABAT</t>
  </si>
  <si>
    <t>Nomor Perjanjian Kredit Sindikasi</t>
  </si>
  <si>
    <t>Jumlah Pegawai</t>
  </si>
  <si>
    <t>Jumlah Kas Keliling</t>
  </si>
  <si>
    <t>Surat Persetujuan</t>
  </si>
  <si>
    <t>Pemasaran</t>
  </si>
  <si>
    <t>Pelayanan</t>
  </si>
  <si>
    <t>Nama Pejabat Eksekutif</t>
  </si>
  <si>
    <t>Keterangan Terkait Pejabat Eksekutif</t>
  </si>
  <si>
    <t>DAFTAR ASET PRODUKTIF YANG DIHAPUS BUKU</t>
  </si>
  <si>
    <t>Tanggal Hapus Buku</t>
  </si>
  <si>
    <t>RINCIAN TRANSAKSI TERKAIT PENILAIAN RISIKO TPPU, TPPT, DAN PPSPM</t>
  </si>
  <si>
    <t>Peringkat Pihak Lawan</t>
  </si>
  <si>
    <t>Lokasi</t>
  </si>
  <si>
    <t>Liabilitas lainnya</t>
  </si>
  <si>
    <t>Beban Cadangan Kerugian Nilai</t>
  </si>
  <si>
    <t>Total Laba (Rugi) Komprehensif Tahun Berjalan</t>
  </si>
  <si>
    <t>2024-12-31</t>
  </si>
  <si>
    <t>e.</t>
  </si>
  <si>
    <t>Nomor STTD AP</t>
  </si>
  <si>
    <t>f.</t>
  </si>
  <si>
    <t>Nomor STTD KAP</t>
  </si>
  <si>
    <t>Nomor Akta RUPS Perubahan Kepemilikan</t>
  </si>
  <si>
    <t>Tanggal RUPS Perubahan Kepemilikan</t>
  </si>
  <si>
    <t>NORUPS/123/Desember/2024</t>
  </si>
  <si>
    <t>3</t>
  </si>
  <si>
    <t>Tidak memiliki peringkat atau memiliki peringkat yang diterbitkan oleh lembaga pemeringkat yang tidak diakui Otoritas Jasa Keuangan</t>
  </si>
  <si>
    <t>9 (Tidak memiliki peringkat atau memiliki peringkat yang diterbitkan oleh lembaga pemeringkat yang tidak diakui Otoritas Jasa Keuangan)</t>
  </si>
  <si>
    <t>Bandung</t>
  </si>
  <si>
    <t>2 (Bangunan)</t>
  </si>
  <si>
    <t>Jumlah SKK</t>
  </si>
  <si>
    <t>NoRegis12</t>
  </si>
  <si>
    <t>C:\Users\G2\Documents\AA LAPBUL UAT NEW\BPRK\final</t>
  </si>
  <si>
    <t>Surat Persetujuan OJK</t>
  </si>
  <si>
    <t>Adinda</t>
  </si>
  <si>
    <t>Julio</t>
  </si>
  <si>
    <t>Nilai yang Diperhitungkan untuk PPKA</t>
  </si>
  <si>
    <t>c. Surat Berharga</t>
  </si>
  <si>
    <t>d. Lainnya</t>
  </si>
  <si>
    <t>1299010300</t>
  </si>
  <si>
    <t>1299010900</t>
  </si>
  <si>
    <t>3) Surat Berharga</t>
  </si>
  <si>
    <t>4) Lainnya</t>
  </si>
  <si>
    <t>Informasi RUPS Perubahan Kepemilikan</t>
  </si>
  <si>
    <t>LA{PORAN LABA RUGI DAN PENGHASILAN KOMPREHENSIF LAINNYA</t>
  </si>
  <si>
    <t>LAPORAN DOKUMEN PENILAIAN RISIKO TPPU, TPPT, DAN/ATAU PPSPM</t>
  </si>
  <si>
    <t>1 (Surat Berharga)</t>
  </si>
  <si>
    <t>0002862</t>
  </si>
  <si>
    <t>00104073101459</t>
  </si>
  <si>
    <t>3273262503670003</t>
  </si>
  <si>
    <t>1000000000</t>
  </si>
  <si>
    <t>100000000</t>
  </si>
  <si>
    <t>900000000</t>
  </si>
  <si>
    <t>2 (Anggota Sindikasi)</t>
  </si>
  <si>
    <t>03 TANGGAL 04 NOVEMBER 2024</t>
  </si>
  <si>
    <t>0</t>
  </si>
  <si>
    <t>jml_kry_pd_s3</t>
  </si>
  <si>
    <t>jml_kry_pd_s2</t>
  </si>
  <si>
    <t>jml_kry_pd_s1</t>
  </si>
  <si>
    <t>jml_kry_pd_d3</t>
  </si>
  <si>
    <t>jml_kry_pd_slta</t>
  </si>
  <si>
    <t>jml_kry_pd_lain</t>
  </si>
  <si>
    <t>nama_direktur1</t>
  </si>
  <si>
    <t>namakacab</t>
  </si>
  <si>
    <t>kodepos</t>
  </si>
  <si>
    <t>kota</t>
  </si>
  <si>
    <t>kecamatan</t>
  </si>
  <si>
    <t>alamat</t>
  </si>
  <si>
    <t>latitude,longtitude</t>
  </si>
  <si>
    <t>nama_bank</t>
  </si>
  <si>
    <t>sandicabang</t>
  </si>
  <si>
    <t>jml_kry_pk_s3</t>
  </si>
  <si>
    <t>jml_ktr_kas</t>
  </si>
  <si>
    <t>kt_datakantor</t>
  </si>
  <si>
    <t>jml_kas_mobil</t>
  </si>
  <si>
    <t>status_gedung</t>
  </si>
  <si>
    <t>jml_pp</t>
  </si>
  <si>
    <t>jml_pp_bu</t>
  </si>
  <si>
    <t>jml_pp_bprlain</t>
  </si>
  <si>
    <t>jml_atm</t>
  </si>
  <si>
    <t>jml_join_bpr</t>
  </si>
  <si>
    <t>nama_join_bpr</t>
  </si>
  <si>
    <t>oto_ojk_no</t>
  </si>
  <si>
    <t>oto_ojk_tgl</t>
  </si>
  <si>
    <t>alamat_sebelumnya</t>
  </si>
  <si>
    <t>tgl_pelaksanaan</t>
  </si>
  <si>
    <t>7850- Sewa / 01</t>
  </si>
  <si>
    <t>7851- Milik Sendiri / 02</t>
  </si>
  <si>
    <t>jml_kry_tgs_pemasaran</t>
  </si>
  <si>
    <t>jml_kry_tgs_pelayanan</t>
  </si>
  <si>
    <t>jml_kry_tgs_lain</t>
  </si>
  <si>
    <t>jml_kry_pk_pemasaran</t>
  </si>
  <si>
    <t>jml_kry_pk_pelayanan</t>
  </si>
  <si>
    <t>jml_kry_pk_lain2</t>
  </si>
  <si>
    <t>jml_kry_laki</t>
  </si>
  <si>
    <t>jml_kry_perempuan</t>
  </si>
  <si>
    <t>jml_kry_usia_25</t>
  </si>
  <si>
    <t>jml_kry_usia_35</t>
  </si>
  <si>
    <t>jml_kry_usia_45</t>
  </si>
  <si>
    <t>jml_kry_usia_55</t>
  </si>
  <si>
    <t>jml_kry_usia_lbh_55</t>
  </si>
  <si>
    <t>jumlah_skk</t>
  </si>
  <si>
    <t>kodejenissetoran</t>
  </si>
  <si>
    <t>tanggalsetujuojk</t>
  </si>
  <si>
    <t>kodejenismodal</t>
  </si>
  <si>
    <t>nominalmodal</t>
  </si>
  <si>
    <t>dots</t>
  </si>
  <si>
    <t>txt</t>
  </si>
  <si>
    <t>jenis</t>
  </si>
  <si>
    <t>kode_kantor_kas</t>
  </si>
  <si>
    <t>sandi_kantor_induk</t>
  </si>
  <si>
    <t>sandi_kantor_sebelumnya</t>
  </si>
  <si>
    <t>nama_kantor_kas</t>
  </si>
  <si>
    <t>koordinnat</t>
  </si>
  <si>
    <t>nama_pimpinan</t>
  </si>
  <si>
    <t>no_telp</t>
  </si>
  <si>
    <t>kt_data_kantor</t>
  </si>
  <si>
    <t>sandi_kantor_kendali</t>
  </si>
  <si>
    <t>tgl_persetujuan</t>
  </si>
  <si>
    <t>dati</t>
  </si>
  <si>
    <t>tabel company_kas</t>
  </si>
  <si>
    <t xml:space="preserve">PEND.BNG.PBL DEPOSITO LANCAR                                                                        </t>
  </si>
  <si>
    <t xml:space="preserve">PEND.BNG.KREDIT LANCAR                                                                              </t>
  </si>
  <si>
    <t>ttdk ada</t>
  </si>
  <si>
    <t>PPH/PAJAK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</si>
</sst>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_-;\-* #,##0_-;_-* &quot;-&quot;_-;_-@_-"/>
    <numFmt numFmtId="165" formatCode="_-* #,##0.00_-;\-* #,##0.00_-;_-* &quot;-&quot;??_-;_-@_-"/>
    <numFmt numFmtId="166" formatCode="0.0"/>
    <numFmt numFmtId="167" formatCode="0.00_ ;\-0.00\ "/>
    <numFmt numFmtId="168" formatCode="_-* #,##0_-;\-* #,##0_-;_-* &quot;-&quot;??_-;_-@_-"/>
  </numFmts>
  <fonts count="5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b/>
      <sz val="10"/>
      <color theme="1"/>
      <name val="Calibri"/>
      <family val="2"/>
    </font>
    <font>
      <sz val="11"/>
      <name val="Calibri"/>
      <family val="2"/>
    </font>
    <font>
      <sz val="12"/>
      <color rgb="FFFF0000"/>
      <name val="Calibri"/>
      <family val="2"/>
    </font>
    <font>
      <sz val="11"/>
      <color rgb="FFFF0000"/>
      <name val="Calibri"/>
      <family val="2"/>
    </font>
    <font>
      <b/>
      <sz val="10"/>
      <color rgb="FFFF0000"/>
      <name val="Calibri"/>
      <family val="2"/>
    </font>
    <font>
      <sz val="10"/>
      <color rgb="FFFF0000"/>
      <name val="Calibri"/>
      <family val="2"/>
    </font>
    <font>
      <strike/>
      <sz val="10"/>
      <color theme="1"/>
      <name val="Calibri"/>
      <family val="2"/>
    </font>
    <font>
      <b/>
      <sz val="14"/>
      <color theme="1"/>
      <name val="Calibri"/>
      <family val="2"/>
    </font>
    <font>
      <b/>
      <sz val="12"/>
      <color rgb="FFFF0000"/>
      <name val="Calibri"/>
      <family val="2"/>
    </font>
    <font>
      <sz val="12"/>
      <color theme="1"/>
      <name val="Calibri"/>
      <family val="2"/>
    </font>
    <font>
      <b/>
      <sz val="11"/>
      <color theme="1"/>
      <name val="Calibri"/>
      <family val="2"/>
    </font>
    <font>
      <sz val="11"/>
      <color theme="1"/>
      <name val="Calibri"/>
      <family val="2"/>
    </font>
    <font>
      <sz val="11"/>
      <color theme="1"/>
      <name val="Calibri"/>
      <family val="2"/>
    </font>
    <font>
      <b/>
      <sz val="14"/>
      <color rgb="FFFF0000"/>
      <name val="Calibri"/>
      <family val="2"/>
    </font>
    <font>
      <b/>
      <u/>
      <sz val="11"/>
      <color theme="10"/>
      <name val="Calibri"/>
      <family val="2"/>
    </font>
    <font>
      <u/>
      <sz val="11"/>
      <color theme="10"/>
      <name val="Calibri"/>
      <family val="2"/>
    </font>
    <font>
      <b/>
      <i/>
      <sz val="11"/>
      <color theme="1"/>
      <name val="Calibri"/>
      <family val="2"/>
    </font>
    <font>
      <i/>
      <sz val="11"/>
      <color theme="1"/>
      <name val="Calibri"/>
      <family val="2"/>
    </font>
    <font>
      <b/>
      <u/>
      <sz val="11"/>
      <color theme="10"/>
      <name val="Calibri"/>
      <family val="2"/>
    </font>
    <font>
      <b/>
      <u/>
      <sz val="11"/>
      <color theme="10"/>
      <name val="Calibri"/>
      <family val="2"/>
    </font>
    <font>
      <b/>
      <u/>
      <sz val="11"/>
      <color theme="10"/>
      <name val="Calibri"/>
      <family val="2"/>
    </font>
    <font>
      <b/>
      <sz val="11"/>
      <color rgb="FFFF0000"/>
      <name val="Calibri"/>
      <family val="2"/>
    </font>
    <font>
      <b/>
      <strike/>
      <sz val="11"/>
      <color theme="1"/>
      <name val="Calibri"/>
      <family val="2"/>
    </font>
    <font>
      <sz val="11"/>
      <color theme="1"/>
      <name val="Calibri"/>
      <family val="2"/>
      <scheme val="minor"/>
    </font>
    <font>
      <sz val="11"/>
      <color rgb="FF000000"/>
      <name val="Calibri"/>
      <family val="2"/>
    </font>
    <font>
      <b/>
      <sz val="11"/>
      <color rgb="FF000000"/>
      <name val="Calibri"/>
      <family val="2"/>
    </font>
    <font>
      <sz val="10"/>
      <color theme="1"/>
      <name val="Calibri"/>
      <family val="2"/>
      <scheme val="minor"/>
    </font>
    <font>
      <b/>
      <sz val="10"/>
      <color theme="1"/>
      <name val="Calibri"/>
      <family val="2"/>
      <scheme val="minor"/>
    </font>
    <font>
      <sz val="10"/>
      <color rgb="FFFF0000"/>
      <name val="Calibri"/>
      <family val="2"/>
      <scheme val="minor"/>
    </font>
    <font>
      <sz val="11"/>
      <color theme="1"/>
      <name val="Calibri"/>
      <family val="2"/>
      <scheme val="major"/>
    </font>
    <font>
      <sz val="11"/>
      <color rgb="FF000000"/>
      <name val="Calibri"/>
      <family val="2"/>
      <scheme val="major"/>
    </font>
    <font>
      <b/>
      <sz val="11"/>
      <color rgb="FF000000"/>
      <name val="Calibri"/>
      <family val="2"/>
      <scheme val="major"/>
    </font>
    <font>
      <b/>
      <sz val="11"/>
      <color theme="1"/>
      <name val="Calibri"/>
      <family val="2"/>
      <scheme val="minor"/>
    </font>
    <font>
      <sz val="11"/>
      <color rgb="FF000000"/>
      <name val="Calibri"/>
      <family val="2"/>
      <scheme val="minor"/>
    </font>
    <font>
      <b/>
      <sz val="11"/>
      <color rgb="FF000000"/>
      <name val="Calibri"/>
      <family val="2"/>
      <scheme val="minor"/>
    </font>
    <font>
      <sz val="11"/>
      <color rgb="FFFF0000"/>
      <name val="Calibri"/>
      <family val="2"/>
      <scheme val="minor"/>
    </font>
    <font>
      <i/>
      <sz val="11"/>
      <color rgb="FF000000"/>
      <name val="Calibri"/>
      <family val="2"/>
      <scheme val="minor"/>
    </font>
    <font>
      <b/>
      <sz val="11"/>
      <color rgb="FFFF0000"/>
      <name val="Calibri"/>
      <family val="2"/>
      <scheme val="minor"/>
    </font>
    <font>
      <b/>
      <strike/>
      <sz val="11"/>
      <color rgb="FF000000"/>
      <name val="Calibri"/>
      <family val="2"/>
      <scheme val="minor"/>
    </font>
    <font>
      <sz val="11"/>
      <color theme="1"/>
      <name val="Calibri"/>
      <family val="2"/>
      <scheme val="minor"/>
    </font>
    <font>
      <sz val="11"/>
      <color theme="1"/>
      <name val="Calibri"/>
      <family val="2"/>
      <scheme val="minor"/>
    </font>
  </fonts>
  <fills count="32">
    <fill>
      <patternFill patternType="none"/>
    </fill>
    <fill>
      <patternFill patternType="gray125"/>
    </fill>
    <fill>
      <patternFill patternType="solid">
        <fgColor rgb="FFD8D8D8"/>
        <bgColor rgb="FFD8D8D8"/>
      </patternFill>
    </fill>
    <fill>
      <patternFill patternType="solid">
        <fgColor rgb="FFFFFF00"/>
        <bgColor rgb="FFFFFF00"/>
      </patternFill>
    </fill>
    <fill>
      <patternFill patternType="solid">
        <fgColor rgb="FFFF0000"/>
        <bgColor rgb="FFFF0000"/>
      </patternFill>
    </fill>
    <fill>
      <patternFill patternType="solid">
        <fgColor rgb="FF9CC2E5"/>
        <bgColor rgb="FF9CC2E5"/>
      </patternFill>
    </fill>
    <fill>
      <patternFill patternType="solid">
        <fgColor rgb="FF99FF33"/>
        <bgColor rgb="FF99FF33"/>
      </patternFill>
    </fill>
    <fill>
      <patternFill patternType="solid">
        <fgColor rgb="FF757070"/>
        <bgColor rgb="FF757070"/>
      </patternFill>
    </fill>
    <fill>
      <patternFill patternType="solid">
        <fgColor theme="5"/>
        <bgColor theme="5"/>
      </patternFill>
    </fill>
    <fill>
      <patternFill patternType="solid">
        <fgColor theme="0"/>
        <bgColor theme="0"/>
      </patternFill>
    </fill>
    <fill>
      <patternFill patternType="solid">
        <fgColor rgb="FF7F7F7F"/>
        <bgColor rgb="FF7F7F7F"/>
      </patternFill>
    </fill>
    <fill>
      <patternFill patternType="solid">
        <fgColor rgb="FFD0CECE"/>
        <bgColor rgb="FFD0CECE"/>
      </patternFill>
    </fill>
    <fill>
      <patternFill patternType="solid">
        <fgColor rgb="FF00B0F0"/>
        <bgColor rgb="FF00B0F0"/>
      </patternFill>
    </fill>
    <fill>
      <patternFill patternType="solid">
        <fgColor rgb="FFA5A5A5"/>
        <bgColor rgb="FFA5A5A5"/>
      </patternFill>
    </fill>
    <fill>
      <patternFill patternType="solid">
        <fgColor rgb="FFD8D8D8"/>
        <bgColor indexed="64"/>
      </patternFill>
    </fill>
    <fill>
      <patternFill patternType="solid">
        <fgColor rgb="FFFFFF00"/>
        <bgColor indexed="64"/>
      </patternFill>
    </fill>
    <fill>
      <patternFill patternType="solid">
        <fgColor rgb="FFFFFFFF"/>
        <bgColor indexed="64"/>
      </patternFill>
    </fill>
    <fill>
      <patternFill patternType="solid">
        <fgColor rgb="FF99FF33"/>
        <bgColor indexed="64"/>
      </patternFill>
    </fill>
    <fill>
      <patternFill patternType="solid">
        <fgColor rgb="FFDADADA"/>
        <bgColor indexed="64"/>
      </patternFill>
    </fill>
    <fill>
      <patternFill patternType="solid">
        <fgColor rgb="FFA5A5A5"/>
        <bgColor indexed="64"/>
      </patternFill>
    </fill>
    <fill>
      <patternFill patternType="solid">
        <fgColor rgb="FF00B0F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bgColor indexed="64"/>
      </patternFill>
    </fill>
    <fill>
      <patternFill patternType="solid">
        <fgColor theme="2" tint="-0.34998626667073579"/>
        <bgColor indexed="64"/>
      </patternFill>
    </fill>
    <fill>
      <patternFill patternType="solid">
        <fgColor theme="2" tint="-0.34998626667073579"/>
        <bgColor rgb="FFD8D8D8"/>
      </patternFill>
    </fill>
    <fill>
      <patternFill patternType="solid">
        <fgColor theme="2" tint="-0.14999847407452621"/>
        <bgColor indexed="64"/>
      </patternFill>
    </fill>
    <fill>
      <patternFill patternType="solid">
        <fgColor rgb="FF00B050"/>
        <bgColor indexed="64"/>
      </patternFill>
    </fill>
    <fill>
      <patternFill patternType="solid">
        <fgColor theme="7" tint="0.39997558519241921"/>
        <bgColor indexed="64"/>
      </patternFill>
    </fill>
    <fill>
      <patternFill patternType="solid">
        <fgColor rgb="FF92D050"/>
        <bgColor indexed="64"/>
      </patternFill>
    </fill>
    <fill>
      <patternFill patternType="solid">
        <fgColor theme="5" tint="0.39997558519241921"/>
        <bgColor indexed="64"/>
      </patternFill>
    </fill>
  </fills>
  <borders count="55">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top/>
      <bottom/>
      <diagonal/>
    </border>
    <border>
      <left/>
      <right/>
      <top/>
      <bottom/>
      <diagonal/>
    </border>
    <border>
      <left/>
      <right style="thin">
        <color rgb="FF000000"/>
      </right>
      <top/>
      <bottom/>
      <diagonal/>
    </border>
    <border>
      <left/>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medium">
        <color rgb="FFCCCCCC"/>
      </left>
      <right style="medium">
        <color rgb="FFCCCCCC"/>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style="medium">
        <color rgb="FFCCCCCC"/>
      </bottom>
      <diagonal/>
    </border>
    <border>
      <left style="medium">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diagonal/>
    </border>
    <border>
      <left/>
      <right style="medium">
        <color rgb="FF000000"/>
      </right>
      <top/>
      <bottom/>
      <diagonal/>
    </border>
    <border>
      <left/>
      <right/>
      <top style="medium">
        <color rgb="FF000000"/>
      </top>
      <bottom/>
      <diagonal/>
    </border>
    <border>
      <left style="medium">
        <color rgb="FF000000"/>
      </left>
      <right/>
      <top style="medium">
        <color rgb="FF000000"/>
      </top>
      <bottom/>
      <diagonal/>
    </border>
    <border>
      <left style="medium">
        <color rgb="FF000000"/>
      </left>
      <right/>
      <top/>
      <bottom style="medium">
        <color rgb="FF000000"/>
      </bottom>
      <diagonal/>
    </border>
    <border>
      <left style="medium">
        <color rgb="FFCCCCCC"/>
      </left>
      <right style="medium">
        <color rgb="FF000000"/>
      </right>
      <top style="medium">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s>
  <cellStyleXfs count="3">
    <xf numFmtId="0" fontId="0" fillId="0" borderId="0"/>
    <xf numFmtId="164" fontId="51" fillId="0" borderId="0" applyFont="0" applyFill="0" applyBorder="0" applyAlignment="0" applyProtection="0"/>
    <xf numFmtId="165" fontId="52" fillId="0" borderId="0" applyFont="0" applyFill="0" applyBorder="0" applyAlignment="0" applyProtection="0"/>
  </cellStyleXfs>
  <cellXfs count="509">
    <xf numFmtId="0" fontId="0" fillId="0" borderId="0" xfId="0"/>
    <xf numFmtId="0" fontId="11" fillId="0" borderId="0" xfId="0" applyFont="1" applyAlignment="1">
      <alignment wrapText="1"/>
    </xf>
    <xf numFmtId="0" fontId="11" fillId="0" borderId="0" xfId="0" applyFont="1" applyAlignment="1">
      <alignment horizontal="center"/>
    </xf>
    <xf numFmtId="0" fontId="11" fillId="0" borderId="0" xfId="0" applyFont="1"/>
    <xf numFmtId="0" fontId="12" fillId="2" borderId="1" xfId="0" applyFont="1" applyFill="1" applyBorder="1" applyAlignment="1">
      <alignment horizontal="center" vertical="top"/>
    </xf>
    <xf numFmtId="0" fontId="11" fillId="0" borderId="1" xfId="0" quotePrefix="1" applyFont="1" applyBorder="1" applyAlignment="1">
      <alignment vertical="top"/>
    </xf>
    <xf numFmtId="0" fontId="11" fillId="0" borderId="1" xfId="0" quotePrefix="1" applyFont="1" applyBorder="1" applyAlignment="1">
      <alignment horizontal="center" vertical="top"/>
    </xf>
    <xf numFmtId="0" fontId="11" fillId="0" borderId="1" xfId="0" applyFont="1" applyBorder="1" applyAlignment="1">
      <alignment vertical="top"/>
    </xf>
    <xf numFmtId="0" fontId="12" fillId="2" borderId="1" xfId="0" applyFont="1" applyFill="1" applyBorder="1"/>
    <xf numFmtId="0" fontId="12" fillId="2" borderId="1" xfId="0" applyFont="1" applyFill="1" applyBorder="1" applyAlignment="1">
      <alignment horizontal="center"/>
    </xf>
    <xf numFmtId="0" fontId="12" fillId="2" borderId="1" xfId="0" applyFont="1" applyFill="1" applyBorder="1" applyAlignment="1">
      <alignment horizontal="center" vertical="center"/>
    </xf>
    <xf numFmtId="49" fontId="12" fillId="2" borderId="1" xfId="0" applyNumberFormat="1" applyFont="1" applyFill="1" applyBorder="1"/>
    <xf numFmtId="0" fontId="12" fillId="2" borderId="1" xfId="0" applyFont="1" applyFill="1" applyBorder="1" applyAlignment="1">
      <alignment horizontal="center" vertical="center" wrapText="1"/>
    </xf>
    <xf numFmtId="0" fontId="12" fillId="2" borderId="0" xfId="0" applyFont="1" applyFill="1" applyAlignment="1">
      <alignment horizontal="center" vertical="center" wrapText="1"/>
    </xf>
    <xf numFmtId="0" fontId="12" fillId="0" borderId="1" xfId="0" applyFont="1" applyBorder="1"/>
    <xf numFmtId="0" fontId="11" fillId="0" borderId="1" xfId="0" applyFont="1" applyBorder="1" applyAlignment="1">
      <alignment horizontal="center"/>
    </xf>
    <xf numFmtId="0" fontId="11" fillId="0" borderId="1" xfId="0" applyFont="1" applyBorder="1"/>
    <xf numFmtId="49" fontId="11" fillId="0" borderId="1" xfId="0" quotePrefix="1" applyNumberFormat="1" applyFont="1" applyBorder="1"/>
    <xf numFmtId="0" fontId="14" fillId="3" borderId="1" xfId="0" applyFont="1" applyFill="1" applyBorder="1" applyAlignment="1">
      <alignment horizontal="center" vertical="center" wrapText="1"/>
    </xf>
    <xf numFmtId="0" fontId="14" fillId="3" borderId="1" xfId="0" applyFont="1" applyFill="1" applyBorder="1" applyAlignment="1">
      <alignment horizontal="center" readingOrder="1"/>
    </xf>
    <xf numFmtId="0" fontId="14" fillId="3" borderId="1" xfId="0" applyFont="1" applyFill="1" applyBorder="1" applyAlignment="1">
      <alignment horizontal="left" readingOrder="1"/>
    </xf>
    <xf numFmtId="0" fontId="15" fillId="3" borderId="1" xfId="0" applyFont="1" applyFill="1" applyBorder="1" applyAlignment="1">
      <alignment horizontal="center" vertical="top"/>
    </xf>
    <xf numFmtId="0" fontId="15" fillId="3" borderId="1" xfId="0" applyFont="1" applyFill="1" applyBorder="1" applyAlignment="1">
      <alignment vertical="top" wrapText="1"/>
    </xf>
    <xf numFmtId="0" fontId="15" fillId="3" borderId="0" xfId="0" applyFont="1" applyFill="1" applyAlignment="1">
      <alignment vertical="top" wrapText="1"/>
    </xf>
    <xf numFmtId="0" fontId="11" fillId="0" borderId="1" xfId="0" quotePrefix="1" applyFont="1" applyBorder="1" applyAlignment="1">
      <alignment horizontal="center"/>
    </xf>
    <xf numFmtId="0" fontId="15" fillId="3" borderId="1" xfId="0" applyFont="1" applyFill="1" applyBorder="1" applyAlignment="1">
      <alignment vertical="top"/>
    </xf>
    <xf numFmtId="0" fontId="17" fillId="3" borderId="1" xfId="0" applyFont="1" applyFill="1" applyBorder="1" applyAlignment="1">
      <alignment vertical="top"/>
    </xf>
    <xf numFmtId="0" fontId="17" fillId="3" borderId="1" xfId="0" quotePrefix="1" applyFont="1" applyFill="1" applyBorder="1" applyAlignment="1">
      <alignment horizontal="center" vertical="top"/>
    </xf>
    <xf numFmtId="0" fontId="17" fillId="3" borderId="1" xfId="0" applyFont="1" applyFill="1" applyBorder="1" applyAlignment="1">
      <alignment horizontal="center"/>
    </xf>
    <xf numFmtId="0" fontId="11" fillId="3" borderId="1" xfId="0" applyFont="1" applyFill="1" applyBorder="1" applyAlignment="1">
      <alignment vertical="top" wrapText="1"/>
    </xf>
    <xf numFmtId="0" fontId="11" fillId="0" borderId="1" xfId="0" applyFont="1" applyBorder="1" applyAlignment="1">
      <alignment vertical="center" wrapText="1"/>
    </xf>
    <xf numFmtId="0" fontId="11" fillId="0" borderId="1" xfId="0" applyFont="1" applyBorder="1" applyAlignment="1">
      <alignment wrapText="1"/>
    </xf>
    <xf numFmtId="0" fontId="11" fillId="0" borderId="1" xfId="0" applyFont="1" applyBorder="1" applyAlignment="1">
      <alignment vertical="top" wrapText="1"/>
    </xf>
    <xf numFmtId="0" fontId="17" fillId="3" borderId="1" xfId="0" applyFont="1" applyFill="1" applyBorder="1" applyAlignment="1">
      <alignment vertical="top" wrapText="1"/>
    </xf>
    <xf numFmtId="0" fontId="12" fillId="2" borderId="7" xfId="0" applyFont="1" applyFill="1" applyBorder="1"/>
    <xf numFmtId="0" fontId="11" fillId="0" borderId="4" xfId="0" applyFont="1" applyBorder="1"/>
    <xf numFmtId="0" fontId="17" fillId="0" borderId="1" xfId="0" applyFont="1" applyBorder="1"/>
    <xf numFmtId="0" fontId="17" fillId="0" borderId="1" xfId="0" applyFont="1" applyBorder="1" applyAlignment="1">
      <alignment horizontal="center"/>
    </xf>
    <xf numFmtId="0" fontId="11" fillId="0" borderId="1" xfId="0" quotePrefix="1" applyFont="1" applyBorder="1" applyAlignment="1">
      <alignment vertical="top" wrapText="1"/>
    </xf>
    <xf numFmtId="0" fontId="17" fillId="3" borderId="1" xfId="0" quotePrefix="1" applyFont="1" applyFill="1" applyBorder="1" applyAlignment="1">
      <alignment vertical="top"/>
    </xf>
    <xf numFmtId="0" fontId="17" fillId="3" borderId="1" xfId="0" applyFont="1" applyFill="1" applyBorder="1" applyAlignment="1">
      <alignment wrapText="1"/>
    </xf>
    <xf numFmtId="0" fontId="17" fillId="3" borderId="1" xfId="0" applyFont="1" applyFill="1" applyBorder="1"/>
    <xf numFmtId="0" fontId="11" fillId="0" borderId="0" xfId="0" applyFont="1" applyAlignment="1">
      <alignment vertical="top"/>
    </xf>
    <xf numFmtId="0" fontId="17" fillId="0" borderId="0" xfId="0" applyFont="1"/>
    <xf numFmtId="0" fontId="17" fillId="0" borderId="0" xfId="0" applyFont="1" applyAlignment="1">
      <alignment horizontal="center"/>
    </xf>
    <xf numFmtId="0" fontId="11" fillId="0" borderId="1" xfId="0" applyFont="1" applyBorder="1" applyAlignment="1">
      <alignment vertical="center"/>
    </xf>
    <xf numFmtId="0" fontId="11" fillId="0" borderId="1" xfId="0" applyFont="1" applyBorder="1" applyAlignment="1">
      <alignment horizontal="center" vertical="center"/>
    </xf>
    <xf numFmtId="0" fontId="11" fillId="0" borderId="1" xfId="0" applyFont="1" applyBorder="1" applyAlignment="1">
      <alignment horizontal="left" vertical="center" wrapText="1"/>
    </xf>
    <xf numFmtId="49" fontId="11" fillId="0" borderId="1" xfId="0" applyNumberFormat="1" applyFont="1" applyBorder="1" applyAlignment="1">
      <alignment horizontal="center"/>
    </xf>
    <xf numFmtId="49" fontId="11" fillId="0" borderId="1" xfId="0" applyNumberFormat="1" applyFont="1" applyBorder="1" applyAlignment="1">
      <alignment horizontal="center" vertical="top"/>
    </xf>
    <xf numFmtId="0" fontId="17" fillId="3" borderId="1" xfId="0" applyFont="1" applyFill="1" applyBorder="1" applyAlignment="1">
      <alignment horizontal="left" vertical="top" wrapText="1"/>
    </xf>
    <xf numFmtId="0" fontId="17" fillId="3" borderId="1" xfId="0" applyFont="1" applyFill="1" applyBorder="1" applyAlignment="1">
      <alignment horizontal="center" vertical="top" wrapText="1"/>
    </xf>
    <xf numFmtId="49" fontId="11" fillId="0" borderId="1" xfId="0" applyNumberFormat="1" applyFont="1" applyBorder="1"/>
    <xf numFmtId="0" fontId="18" fillId="4" borderId="1" xfId="0" applyFont="1" applyFill="1" applyBorder="1"/>
    <xf numFmtId="0" fontId="18" fillId="4" borderId="1" xfId="0" applyFont="1" applyFill="1" applyBorder="1" applyAlignment="1">
      <alignment horizontal="center"/>
    </xf>
    <xf numFmtId="0" fontId="18" fillId="4" borderId="1" xfId="0" applyFont="1" applyFill="1" applyBorder="1" applyAlignment="1">
      <alignment wrapText="1"/>
    </xf>
    <xf numFmtId="0" fontId="18" fillId="4" borderId="1" xfId="0" applyFont="1" applyFill="1" applyBorder="1" applyAlignment="1">
      <alignment horizontal="left" wrapText="1"/>
    </xf>
    <xf numFmtId="0" fontId="18" fillId="4" borderId="1" xfId="0" quotePrefix="1" applyFont="1" applyFill="1" applyBorder="1" applyAlignment="1">
      <alignment horizontal="center"/>
    </xf>
    <xf numFmtId="0" fontId="11" fillId="3" borderId="8" xfId="0" applyFont="1" applyFill="1" applyBorder="1"/>
    <xf numFmtId="0" fontId="11" fillId="0" borderId="1" xfId="0" applyFont="1" applyBorder="1" applyAlignment="1">
      <alignment horizontal="left"/>
    </xf>
    <xf numFmtId="0" fontId="11" fillId="0" borderId="1" xfId="0" applyFont="1" applyBorder="1" applyAlignment="1">
      <alignment horizontal="center" wrapText="1"/>
    </xf>
    <xf numFmtId="0" fontId="12" fillId="2" borderId="1" xfId="0" applyFont="1" applyFill="1" applyBorder="1" applyAlignment="1">
      <alignment vertical="center" wrapText="1"/>
    </xf>
    <xf numFmtId="0" fontId="17" fillId="3" borderId="1" xfId="0" applyFont="1" applyFill="1" applyBorder="1" applyAlignment="1">
      <alignment vertical="center" wrapText="1"/>
    </xf>
    <xf numFmtId="0" fontId="17" fillId="3" borderId="1" xfId="0" applyFont="1" applyFill="1" applyBorder="1" applyAlignment="1">
      <alignment horizontal="center" vertical="center"/>
    </xf>
    <xf numFmtId="0" fontId="11" fillId="0" borderId="2" xfId="0" applyFont="1" applyBorder="1"/>
    <xf numFmtId="0" fontId="17" fillId="3" borderId="9" xfId="0" quotePrefix="1" applyFont="1" applyFill="1" applyBorder="1" applyAlignment="1">
      <alignment horizontal="center"/>
    </xf>
    <xf numFmtId="0" fontId="11" fillId="0" borderId="3" xfId="0" applyFont="1" applyBorder="1"/>
    <xf numFmtId="0" fontId="11" fillId="0" borderId="1" xfId="0" applyFont="1" applyBorder="1" applyAlignment="1">
      <alignment horizontal="center" vertical="top"/>
    </xf>
    <xf numFmtId="0" fontId="12" fillId="0" borderId="0" xfId="0" applyFont="1"/>
    <xf numFmtId="0" fontId="12" fillId="2" borderId="1" xfId="0" applyFont="1" applyFill="1" applyBorder="1" applyAlignment="1">
      <alignment horizontal="center" wrapText="1"/>
    </xf>
    <xf numFmtId="0" fontId="17" fillId="3" borderId="1" xfId="0" applyFont="1" applyFill="1" applyBorder="1" applyAlignment="1">
      <alignment horizontal="center" vertical="top"/>
    </xf>
    <xf numFmtId="0" fontId="11" fillId="0" borderId="1" xfId="0" applyFont="1" applyBorder="1" applyAlignment="1">
      <alignment horizontal="left" wrapText="1"/>
    </xf>
    <xf numFmtId="0" fontId="11" fillId="2" borderId="1" xfId="0" applyFont="1" applyFill="1" applyBorder="1"/>
    <xf numFmtId="0" fontId="17" fillId="3" borderId="1" xfId="0" applyFont="1" applyFill="1" applyBorder="1" applyAlignment="1">
      <alignment horizontal="center" vertical="center" wrapText="1"/>
    </xf>
    <xf numFmtId="0" fontId="19" fillId="5" borderId="1" xfId="0" applyFont="1" applyFill="1" applyBorder="1" applyAlignment="1">
      <alignment horizontal="center" vertical="center"/>
    </xf>
    <xf numFmtId="0" fontId="20" fillId="0" borderId="0" xfId="0" applyFont="1"/>
    <xf numFmtId="0" fontId="21" fillId="0" borderId="1" xfId="0" applyFont="1" applyBorder="1" applyAlignment="1">
      <alignment horizontal="center" vertical="center"/>
    </xf>
    <xf numFmtId="49" fontId="21" fillId="0" borderId="1" xfId="0" applyNumberFormat="1" applyFont="1" applyBorder="1" applyAlignment="1">
      <alignment horizontal="center" vertical="center"/>
    </xf>
    <xf numFmtId="0" fontId="22" fillId="0" borderId="0" xfId="0" applyFont="1"/>
    <xf numFmtId="0" fontId="23" fillId="2" borderId="10" xfId="0" applyFont="1" applyFill="1" applyBorder="1" applyAlignment="1">
      <alignment horizontal="right"/>
    </xf>
    <xf numFmtId="0" fontId="23" fillId="2" borderId="11" xfId="0" applyFont="1" applyFill="1" applyBorder="1"/>
    <xf numFmtId="0" fontId="23" fillId="2" borderId="12" xfId="0" applyFont="1" applyFill="1" applyBorder="1"/>
    <xf numFmtId="0" fontId="23" fillId="2" borderId="13" xfId="0" applyFont="1" applyFill="1" applyBorder="1"/>
    <xf numFmtId="0" fontId="23" fillId="2" borderId="16" xfId="0" applyFont="1" applyFill="1" applyBorder="1"/>
    <xf numFmtId="0" fontId="22" fillId="0" borderId="0" xfId="0" applyFont="1" applyAlignment="1">
      <alignment vertical="top"/>
    </xf>
    <xf numFmtId="0" fontId="23" fillId="2" borderId="18" xfId="0" applyFont="1" applyFill="1" applyBorder="1"/>
    <xf numFmtId="0" fontId="23" fillId="2" borderId="19" xfId="0" applyFont="1" applyFill="1" applyBorder="1"/>
    <xf numFmtId="0" fontId="23" fillId="2" borderId="20" xfId="0" applyFont="1" applyFill="1" applyBorder="1"/>
    <xf numFmtId="0" fontId="24" fillId="0" borderId="0" xfId="0" applyFont="1"/>
    <xf numFmtId="0" fontId="25" fillId="0" borderId="0" xfId="0" applyFont="1" applyAlignment="1">
      <alignment vertical="center"/>
    </xf>
    <xf numFmtId="49" fontId="23" fillId="6" borderId="1" xfId="0" applyNumberFormat="1" applyFont="1" applyFill="1" applyBorder="1" applyAlignment="1">
      <alignment horizontal="center" vertical="center"/>
    </xf>
    <xf numFmtId="0" fontId="23" fillId="6"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0" fontId="23" fillId="3" borderId="1" xfId="0" applyFont="1" applyFill="1" applyBorder="1" applyAlignment="1">
      <alignment horizontal="center" vertical="center"/>
    </xf>
    <xf numFmtId="0" fontId="23" fillId="0" borderId="1" xfId="0" applyFont="1" applyBorder="1" applyAlignment="1">
      <alignment horizontal="center" vertical="center"/>
    </xf>
    <xf numFmtId="49" fontId="23" fillId="0" borderId="1" xfId="0" applyNumberFormat="1" applyFont="1" applyBorder="1" applyAlignment="1">
      <alignment horizontal="center" vertical="center"/>
    </xf>
    <xf numFmtId="0" fontId="23" fillId="7" borderId="1" xfId="0" quotePrefix="1" applyFont="1" applyFill="1" applyBorder="1" applyAlignment="1">
      <alignment horizontal="center" vertical="center"/>
    </xf>
    <xf numFmtId="0" fontId="23" fillId="7" borderId="1" xfId="0" applyFont="1" applyFill="1" applyBorder="1" applyAlignment="1">
      <alignment horizontal="center" vertical="center"/>
    </xf>
    <xf numFmtId="0" fontId="23" fillId="8" borderId="1" xfId="0" quotePrefix="1" applyFont="1" applyFill="1" applyBorder="1" applyAlignment="1">
      <alignment horizontal="center" vertical="center"/>
    </xf>
    <xf numFmtId="0" fontId="23" fillId="8" borderId="1" xfId="0" applyFont="1" applyFill="1" applyBorder="1" applyAlignment="1">
      <alignment horizontal="center" vertical="center"/>
    </xf>
    <xf numFmtId="0" fontId="23" fillId="0" borderId="1" xfId="0" quotePrefix="1" applyFont="1" applyBorder="1" applyAlignment="1">
      <alignment horizontal="center" vertical="center"/>
    </xf>
    <xf numFmtId="0" fontId="23" fillId="8" borderId="1" xfId="0" quotePrefix="1" applyFont="1" applyFill="1" applyBorder="1" applyAlignment="1">
      <alignment horizontal="center"/>
    </xf>
    <xf numFmtId="49" fontId="23" fillId="8" borderId="1" xfId="0" applyNumberFormat="1" applyFont="1" applyFill="1" applyBorder="1" applyAlignment="1">
      <alignment horizontal="center"/>
    </xf>
    <xf numFmtId="0" fontId="22" fillId="9" borderId="8" xfId="0" applyFont="1" applyFill="1" applyBorder="1" applyAlignment="1">
      <alignment horizontal="left" vertical="center"/>
    </xf>
    <xf numFmtId="0" fontId="23" fillId="9" borderId="8" xfId="0" applyFont="1" applyFill="1" applyBorder="1"/>
    <xf numFmtId="49" fontId="26" fillId="3" borderId="19" xfId="0" applyNumberFormat="1" applyFont="1" applyFill="1" applyBorder="1" applyAlignment="1">
      <alignment vertical="center"/>
    </xf>
    <xf numFmtId="0" fontId="22" fillId="2" borderId="1" xfId="0" applyFont="1" applyFill="1" applyBorder="1" applyAlignment="1">
      <alignment horizontal="center" vertical="center" wrapText="1"/>
    </xf>
    <xf numFmtId="0" fontId="22" fillId="2" borderId="1" xfId="0" applyFont="1" applyFill="1" applyBorder="1" applyAlignment="1">
      <alignment horizontal="center" vertical="center"/>
    </xf>
    <xf numFmtId="0" fontId="23" fillId="2" borderId="1" xfId="0" applyFont="1" applyFill="1" applyBorder="1" applyAlignment="1">
      <alignment horizontal="center" vertical="center"/>
    </xf>
    <xf numFmtId="0" fontId="23" fillId="2" borderId="1" xfId="0" applyFont="1" applyFill="1" applyBorder="1"/>
    <xf numFmtId="0" fontId="23" fillId="2" borderId="7" xfId="0" applyFont="1" applyFill="1" applyBorder="1"/>
    <xf numFmtId="49" fontId="23" fillId="0" borderId="1" xfId="0" applyNumberFormat="1" applyFont="1" applyBorder="1" applyAlignment="1">
      <alignment vertical="center"/>
    </xf>
    <xf numFmtId="49" fontId="27" fillId="0" borderId="1" xfId="0" applyNumberFormat="1" applyFont="1" applyBorder="1" applyAlignment="1">
      <alignment vertical="center"/>
    </xf>
    <xf numFmtId="0" fontId="15" fillId="2" borderId="7" xfId="0" applyFont="1" applyFill="1" applyBorder="1"/>
    <xf numFmtId="0" fontId="23" fillId="2" borderId="21" xfId="0" applyFont="1" applyFill="1" applyBorder="1"/>
    <xf numFmtId="49" fontId="23" fillId="2" borderId="1" xfId="0" applyNumberFormat="1" applyFont="1" applyFill="1" applyBorder="1" applyAlignment="1">
      <alignment vertical="center"/>
    </xf>
    <xf numFmtId="0" fontId="23" fillId="2" borderId="7" xfId="0" applyFont="1" applyFill="1" applyBorder="1" applyAlignment="1">
      <alignment horizontal="left"/>
    </xf>
    <xf numFmtId="0" fontId="23" fillId="2" borderId="1" xfId="0" applyFont="1" applyFill="1" applyBorder="1" applyAlignment="1">
      <alignment vertical="center"/>
    </xf>
    <xf numFmtId="0" fontId="23" fillId="6" borderId="7" xfId="0" applyFont="1" applyFill="1" applyBorder="1" applyAlignment="1">
      <alignment horizontal="left"/>
    </xf>
    <xf numFmtId="0" fontId="23" fillId="6" borderId="21" xfId="0" applyFont="1" applyFill="1" applyBorder="1"/>
    <xf numFmtId="49" fontId="23" fillId="6" borderId="1" xfId="0" applyNumberFormat="1" applyFont="1" applyFill="1" applyBorder="1" applyAlignment="1">
      <alignment vertical="center"/>
    </xf>
    <xf numFmtId="0" fontId="23" fillId="6" borderId="7" xfId="0" applyFont="1" applyFill="1" applyBorder="1"/>
    <xf numFmtId="49" fontId="23" fillId="0" borderId="1" xfId="0" applyNumberFormat="1" applyFont="1" applyBorder="1"/>
    <xf numFmtId="0" fontId="23" fillId="2" borderId="7" xfId="0" applyFont="1" applyFill="1" applyBorder="1" applyAlignment="1">
      <alignment vertical="center"/>
    </xf>
    <xf numFmtId="0" fontId="23" fillId="6" borderId="7" xfId="0" applyFont="1" applyFill="1" applyBorder="1" applyAlignment="1">
      <alignment vertical="center"/>
    </xf>
    <xf numFmtId="49" fontId="23" fillId="6" borderId="1" xfId="0" applyNumberFormat="1" applyFont="1" applyFill="1" applyBorder="1"/>
    <xf numFmtId="0" fontId="23" fillId="0" borderId="0" xfId="0" applyFont="1" applyAlignment="1">
      <alignment horizontal="center" vertical="center"/>
    </xf>
    <xf numFmtId="49" fontId="23" fillId="9" borderId="8" xfId="0" applyNumberFormat="1" applyFont="1" applyFill="1" applyBorder="1"/>
    <xf numFmtId="49" fontId="22" fillId="2" borderId="1" xfId="0" applyNumberFormat="1" applyFont="1" applyFill="1" applyBorder="1" applyAlignment="1">
      <alignment horizontal="center" vertical="center" wrapText="1"/>
    </xf>
    <xf numFmtId="49" fontId="22" fillId="3" borderId="1" xfId="0" applyNumberFormat="1" applyFont="1" applyFill="1" applyBorder="1" applyAlignment="1">
      <alignment horizontal="center" vertical="center" wrapText="1"/>
    </xf>
    <xf numFmtId="49" fontId="22" fillId="2" borderId="1" xfId="0" applyNumberFormat="1" applyFont="1" applyFill="1" applyBorder="1" applyAlignment="1">
      <alignment horizontal="center" vertical="center"/>
    </xf>
    <xf numFmtId="49" fontId="22" fillId="6" borderId="1" xfId="0" applyNumberFormat="1" applyFont="1" applyFill="1" applyBorder="1" applyAlignment="1">
      <alignment horizontal="center" vertical="center" wrapText="1"/>
    </xf>
    <xf numFmtId="0" fontId="23" fillId="0" borderId="1" xfId="0" applyFont="1" applyBorder="1"/>
    <xf numFmtId="2" fontId="23" fillId="0" borderId="0" xfId="0" applyNumberFormat="1" applyFont="1"/>
    <xf numFmtId="49" fontId="23" fillId="0" borderId="0" xfId="0" applyNumberFormat="1" applyFont="1"/>
    <xf numFmtId="0" fontId="23" fillId="0" borderId="0" xfId="0" applyFont="1" applyAlignment="1">
      <alignment wrapText="1"/>
    </xf>
    <xf numFmtId="0" fontId="23" fillId="0" borderId="1" xfId="0" applyFont="1" applyBorder="1" applyAlignment="1">
      <alignment wrapText="1"/>
    </xf>
    <xf numFmtId="0" fontId="23" fillId="3" borderId="8" xfId="0" applyFont="1" applyFill="1" applyBorder="1"/>
    <xf numFmtId="49" fontId="23" fillId="0" borderId="1" xfId="0" applyNumberFormat="1" applyFont="1" applyBorder="1" applyAlignment="1">
      <alignment wrapText="1"/>
    </xf>
    <xf numFmtId="49" fontId="22" fillId="2" borderId="23" xfId="0" applyNumberFormat="1" applyFont="1" applyFill="1" applyBorder="1" applyAlignment="1">
      <alignment horizontal="center" vertical="center" wrapText="1"/>
    </xf>
    <xf numFmtId="49" fontId="23" fillId="0" borderId="0" xfId="0" applyNumberFormat="1" applyFont="1" applyAlignment="1">
      <alignment wrapText="1"/>
    </xf>
    <xf numFmtId="1" fontId="23" fillId="0" borderId="1" xfId="0" applyNumberFormat="1" applyFont="1" applyBorder="1"/>
    <xf numFmtId="0" fontId="23" fillId="2" borderId="1" xfId="0" quotePrefix="1" applyFont="1" applyFill="1" applyBorder="1" applyAlignment="1">
      <alignment horizontal="center"/>
    </xf>
    <xf numFmtId="0" fontId="23" fillId="6" borderId="1" xfId="0" quotePrefix="1" applyFont="1" applyFill="1" applyBorder="1" applyAlignment="1">
      <alignment horizontal="center"/>
    </xf>
    <xf numFmtId="0" fontId="29" fillId="2" borderId="1" xfId="0" applyFont="1" applyFill="1" applyBorder="1"/>
    <xf numFmtId="0" fontId="23" fillId="2" borderId="1" xfId="0" applyFont="1" applyFill="1" applyBorder="1" applyAlignment="1">
      <alignment wrapText="1"/>
    </xf>
    <xf numFmtId="0" fontId="23" fillId="0" borderId="1" xfId="0" applyFont="1" applyBorder="1" applyAlignment="1">
      <alignment horizontal="center"/>
    </xf>
    <xf numFmtId="0" fontId="23" fillId="3" borderId="1" xfId="0" applyFont="1" applyFill="1" applyBorder="1"/>
    <xf numFmtId="0" fontId="23" fillId="10" borderId="1" xfId="0" applyFont="1" applyFill="1" applyBorder="1" applyAlignment="1">
      <alignment horizontal="center" vertical="center"/>
    </xf>
    <xf numFmtId="0" fontId="23" fillId="10" borderId="1" xfId="0" applyFont="1" applyFill="1" applyBorder="1"/>
    <xf numFmtId="0" fontId="23" fillId="10" borderId="1" xfId="0" applyFont="1" applyFill="1" applyBorder="1" applyAlignment="1">
      <alignment horizontal="center"/>
    </xf>
    <xf numFmtId="0" fontId="23" fillId="0" borderId="1" xfId="0" applyFont="1" applyBorder="1" applyAlignment="1">
      <alignment horizontal="left"/>
    </xf>
    <xf numFmtId="0" fontId="15" fillId="10" borderId="1" xfId="0" applyFont="1" applyFill="1" applyBorder="1"/>
    <xf numFmtId="0" fontId="21" fillId="3" borderId="1" xfId="0" applyFont="1" applyFill="1" applyBorder="1"/>
    <xf numFmtId="0" fontId="21" fillId="0" borderId="1" xfId="0" applyFont="1" applyBorder="1"/>
    <xf numFmtId="49" fontId="22" fillId="11" borderId="1" xfId="0" applyNumberFormat="1" applyFont="1" applyFill="1" applyBorder="1" applyAlignment="1">
      <alignment horizontal="center" vertical="center" wrapText="1"/>
    </xf>
    <xf numFmtId="49" fontId="22" fillId="0" borderId="0" xfId="0" applyNumberFormat="1"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center" vertical="center" wrapText="1"/>
    </xf>
    <xf numFmtId="0" fontId="22" fillId="2" borderId="1" xfId="0" applyFont="1" applyFill="1" applyBorder="1"/>
    <xf numFmtId="1" fontId="22" fillId="2" borderId="1" xfId="0" applyNumberFormat="1" applyFont="1" applyFill="1" applyBorder="1"/>
    <xf numFmtId="0" fontId="23" fillId="0" borderId="1" xfId="0" quotePrefix="1" applyFont="1" applyBorder="1"/>
    <xf numFmtId="49" fontId="30" fillId="3" borderId="19" xfId="0" applyNumberFormat="1" applyFont="1" applyFill="1" applyBorder="1"/>
    <xf numFmtId="49" fontId="22" fillId="2" borderId="23" xfId="0" applyNumberFormat="1" applyFont="1" applyFill="1" applyBorder="1" applyAlignment="1">
      <alignment horizontal="center" vertical="center"/>
    </xf>
    <xf numFmtId="0" fontId="22" fillId="2" borderId="23" xfId="0" applyFont="1" applyFill="1" applyBorder="1" applyAlignment="1">
      <alignment horizontal="center" vertical="center" wrapText="1"/>
    </xf>
    <xf numFmtId="49" fontId="23" fillId="0" borderId="1" xfId="0" quotePrefix="1" applyNumberFormat="1" applyFont="1" applyBorder="1"/>
    <xf numFmtId="0" fontId="31" fillId="3" borderId="19" xfId="0" applyFont="1" applyFill="1" applyBorder="1" applyAlignment="1">
      <alignment vertical="center"/>
    </xf>
    <xf numFmtId="1" fontId="23" fillId="12" borderId="1" xfId="0" applyNumberFormat="1" applyFont="1" applyFill="1" applyBorder="1"/>
    <xf numFmtId="49" fontId="32" fillId="3" borderId="19" xfId="0" applyNumberFormat="1" applyFont="1" applyFill="1" applyBorder="1" applyAlignment="1">
      <alignment vertical="center" wrapText="1"/>
    </xf>
    <xf numFmtId="49" fontId="23" fillId="9" borderId="8" xfId="0" applyNumberFormat="1" applyFont="1" applyFill="1" applyBorder="1" applyAlignment="1">
      <alignment wrapText="1"/>
    </xf>
    <xf numFmtId="49" fontId="23" fillId="9" borderId="1" xfId="0" applyNumberFormat="1" applyFont="1" applyFill="1" applyBorder="1"/>
    <xf numFmtId="0" fontId="23" fillId="9" borderId="1" xfId="0" applyFont="1" applyFill="1" applyBorder="1"/>
    <xf numFmtId="0" fontId="22" fillId="6" borderId="23" xfId="0" applyFont="1" applyFill="1" applyBorder="1" applyAlignment="1">
      <alignment horizontal="center" vertical="center" wrapText="1"/>
    </xf>
    <xf numFmtId="0" fontId="22" fillId="3" borderId="1" xfId="0" applyFont="1" applyFill="1" applyBorder="1" applyAlignment="1">
      <alignment horizontal="center" vertical="center" wrapText="1"/>
    </xf>
    <xf numFmtId="0" fontId="22" fillId="2" borderId="7" xfId="0" applyFont="1" applyFill="1" applyBorder="1" applyAlignment="1">
      <alignment horizontal="center" vertical="center" wrapText="1"/>
    </xf>
    <xf numFmtId="0" fontId="23" fillId="12" borderId="1" xfId="0" applyFont="1" applyFill="1" applyBorder="1"/>
    <xf numFmtId="0" fontId="22" fillId="2" borderId="24" xfId="0" applyFont="1" applyFill="1" applyBorder="1" applyAlignment="1">
      <alignment horizontal="center" vertical="center"/>
    </xf>
    <xf numFmtId="49" fontId="22" fillId="2" borderId="7" xfId="0" applyNumberFormat="1" applyFont="1" applyFill="1" applyBorder="1" applyAlignment="1">
      <alignment horizontal="center" vertical="center" wrapText="1"/>
    </xf>
    <xf numFmtId="0" fontId="35" fillId="0" borderId="0" xfId="0" applyFont="1"/>
    <xf numFmtId="0" fontId="38" fillId="0" borderId="25" xfId="0" applyFont="1" applyBorder="1" applyAlignment="1">
      <alignment wrapText="1"/>
    </xf>
    <xf numFmtId="0" fontId="35" fillId="0" borderId="25" xfId="0" applyFont="1" applyBorder="1" applyAlignment="1">
      <alignment wrapText="1"/>
    </xf>
    <xf numFmtId="0" fontId="39" fillId="14" borderId="26" xfId="0" applyFont="1" applyFill="1" applyBorder="1" applyAlignment="1">
      <alignment horizontal="center" vertical="top" wrapText="1"/>
    </xf>
    <xf numFmtId="0" fontId="39" fillId="14" borderId="27" xfId="0" applyFont="1" applyFill="1" applyBorder="1" applyAlignment="1">
      <alignment horizontal="center" vertical="top" wrapText="1"/>
    </xf>
    <xf numFmtId="0" fontId="40" fillId="15" borderId="26" xfId="0" applyFont="1" applyFill="1" applyBorder="1" applyAlignment="1">
      <alignment horizontal="center" vertical="top" wrapText="1"/>
    </xf>
    <xf numFmtId="0" fontId="40" fillId="15" borderId="27" xfId="0" applyFont="1" applyFill="1" applyBorder="1" applyAlignment="1">
      <alignment horizontal="center" vertical="top" wrapText="1"/>
    </xf>
    <xf numFmtId="0" fontId="35" fillId="0" borderId="28" xfId="0" applyFont="1" applyBorder="1" applyAlignment="1">
      <alignment wrapText="1"/>
    </xf>
    <xf numFmtId="0" fontId="16" fillId="3" borderId="4" xfId="0" applyFont="1" applyFill="1" applyBorder="1"/>
    <xf numFmtId="49" fontId="41" fillId="0" borderId="1" xfId="0" applyNumberFormat="1" applyFont="1" applyBorder="1"/>
    <xf numFmtId="0" fontId="42" fillId="0" borderId="1" xfId="0" quotePrefix="1" applyFont="1" applyBorder="1" applyAlignment="1">
      <alignment horizontal="left" vertical="center" wrapText="1"/>
    </xf>
    <xf numFmtId="0" fontId="43" fillId="0" borderId="4" xfId="0" applyFont="1" applyBorder="1" applyAlignment="1">
      <alignment horizontal="center" vertical="center" wrapText="1"/>
    </xf>
    <xf numFmtId="0" fontId="42" fillId="0" borderId="1" xfId="0" applyFont="1" applyBorder="1" applyAlignment="1">
      <alignment horizontal="left" vertical="center" wrapText="1"/>
    </xf>
    <xf numFmtId="0" fontId="15" fillId="6" borderId="1" xfId="0" applyFont="1" applyFill="1" applyBorder="1" applyAlignment="1">
      <alignment wrapText="1"/>
    </xf>
    <xf numFmtId="2" fontId="23" fillId="0" borderId="1" xfId="0" applyNumberFormat="1" applyFont="1" applyBorder="1"/>
    <xf numFmtId="166" fontId="0" fillId="0" borderId="0" xfId="0" applyNumberFormat="1"/>
    <xf numFmtId="166" fontId="22" fillId="2" borderId="1" xfId="0" applyNumberFormat="1" applyFont="1" applyFill="1" applyBorder="1" applyAlignment="1">
      <alignment horizontal="center" vertical="center" wrapText="1"/>
    </xf>
    <xf numFmtId="166" fontId="24" fillId="0" borderId="0" xfId="0" applyNumberFormat="1" applyFont="1"/>
    <xf numFmtId="166" fontId="23" fillId="0" borderId="0" xfId="0" applyNumberFormat="1" applyFont="1"/>
    <xf numFmtId="0" fontId="35" fillId="14" borderId="28" xfId="0" applyFont="1" applyFill="1" applyBorder="1" applyAlignment="1">
      <alignment wrapText="1"/>
    </xf>
    <xf numFmtId="0" fontId="35" fillId="0" borderId="29" xfId="0" applyFont="1" applyBorder="1" applyAlignment="1">
      <alignment wrapText="1"/>
    </xf>
    <xf numFmtId="0" fontId="35" fillId="14" borderId="31" xfId="0" applyFont="1" applyFill="1" applyBorder="1" applyAlignment="1">
      <alignment vertical="center"/>
    </xf>
    <xf numFmtId="0" fontId="35" fillId="14" borderId="32" xfId="0" applyFont="1" applyFill="1" applyBorder="1" applyAlignment="1">
      <alignment vertical="top" wrapText="1"/>
    </xf>
    <xf numFmtId="0" fontId="35" fillId="14" borderId="32" xfId="0" applyFont="1" applyFill="1" applyBorder="1" applyAlignment="1">
      <alignment wrapText="1"/>
    </xf>
    <xf numFmtId="0" fontId="35" fillId="14" borderId="34" xfId="0" applyFont="1" applyFill="1" applyBorder="1" applyAlignment="1">
      <alignment vertical="center"/>
    </xf>
    <xf numFmtId="0" fontId="35" fillId="14" borderId="35" xfId="0" applyFont="1" applyFill="1" applyBorder="1" applyAlignment="1">
      <alignment vertical="top" wrapText="1"/>
    </xf>
    <xf numFmtId="0" fontId="35" fillId="14" borderId="35" xfId="0" applyFont="1" applyFill="1" applyBorder="1" applyAlignment="1">
      <alignment wrapText="1"/>
    </xf>
    <xf numFmtId="0" fontId="35" fillId="17" borderId="34" xfId="0" applyFont="1" applyFill="1" applyBorder="1" applyAlignment="1">
      <alignment vertical="center"/>
    </xf>
    <xf numFmtId="0" fontId="35" fillId="17" borderId="35" xfId="0" applyFont="1" applyFill="1" applyBorder="1" applyAlignment="1">
      <alignment vertical="top" wrapText="1"/>
    </xf>
    <xf numFmtId="0" fontId="35" fillId="17" borderId="35" xfId="0" applyFont="1" applyFill="1" applyBorder="1" applyAlignment="1">
      <alignment wrapText="1"/>
    </xf>
    <xf numFmtId="0" fontId="44" fillId="14" borderId="34" xfId="0" applyFont="1" applyFill="1" applyBorder="1" applyAlignment="1">
      <alignment vertical="center"/>
    </xf>
    <xf numFmtId="0" fontId="44" fillId="14" borderId="35" xfId="0" applyFont="1" applyFill="1" applyBorder="1" applyAlignment="1">
      <alignment wrapText="1"/>
    </xf>
    <xf numFmtId="0" fontId="35" fillId="18" borderId="35" xfId="0" applyFont="1" applyFill="1" applyBorder="1" applyAlignment="1">
      <alignment vertical="top" wrapText="1"/>
    </xf>
    <xf numFmtId="0" fontId="44" fillId="19" borderId="33" xfId="0" applyFont="1" applyFill="1" applyBorder="1" applyAlignment="1">
      <alignment horizontal="center" vertical="center" wrapText="1"/>
    </xf>
    <xf numFmtId="0" fontId="44" fillId="19" borderId="35" xfId="0" applyFont="1" applyFill="1" applyBorder="1" applyAlignment="1">
      <alignment horizontal="center" vertical="center" wrapText="1"/>
    </xf>
    <xf numFmtId="0" fontId="35" fillId="19" borderId="34" xfId="0" applyFont="1" applyFill="1" applyBorder="1" applyAlignment="1">
      <alignment vertical="center"/>
    </xf>
    <xf numFmtId="0" fontId="35" fillId="19" borderId="35" xfId="0" applyFont="1" applyFill="1" applyBorder="1" applyAlignment="1">
      <alignment vertical="top" wrapText="1"/>
    </xf>
    <xf numFmtId="0" fontId="35" fillId="19" borderId="35" xfId="0" applyFont="1" applyFill="1" applyBorder="1" applyAlignment="1">
      <alignment wrapText="1"/>
    </xf>
    <xf numFmtId="0" fontId="44" fillId="19" borderId="34" xfId="0" applyFont="1" applyFill="1" applyBorder="1" applyAlignment="1">
      <alignment vertical="center"/>
    </xf>
    <xf numFmtId="0" fontId="44" fillId="19" borderId="35" xfId="0" applyFont="1" applyFill="1" applyBorder="1" applyAlignment="1">
      <alignment wrapText="1"/>
    </xf>
    <xf numFmtId="0" fontId="44" fillId="14" borderId="35" xfId="0" applyFont="1" applyFill="1" applyBorder="1" applyAlignment="1">
      <alignment horizontal="center" vertical="center" wrapText="1"/>
    </xf>
    <xf numFmtId="0" fontId="44" fillId="14" borderId="32" xfId="0" applyFont="1" applyFill="1" applyBorder="1" applyAlignment="1">
      <alignment horizontal="center" vertical="center" wrapText="1"/>
    </xf>
    <xf numFmtId="0" fontId="35" fillId="14" borderId="30" xfId="0" applyFont="1" applyFill="1" applyBorder="1" applyAlignment="1">
      <alignment horizontal="center" vertical="center" wrapText="1"/>
    </xf>
    <xf numFmtId="0" fontId="35" fillId="0" borderId="32" xfId="0" applyFont="1" applyBorder="1" applyAlignment="1">
      <alignment horizontal="right" wrapText="1"/>
    </xf>
    <xf numFmtId="0" fontId="35" fillId="14" borderId="33" xfId="0" applyFont="1" applyFill="1" applyBorder="1" applyAlignment="1">
      <alignment horizontal="center" vertical="center" wrapText="1"/>
    </xf>
    <xf numFmtId="0" fontId="35" fillId="0" borderId="35" xfId="0" applyFont="1" applyBorder="1" applyAlignment="1">
      <alignment horizontal="right" wrapText="1"/>
    </xf>
    <xf numFmtId="0" fontId="35" fillId="17" borderId="33" xfId="0" applyFont="1" applyFill="1" applyBorder="1" applyAlignment="1">
      <alignment horizontal="center" vertical="center" wrapText="1"/>
    </xf>
    <xf numFmtId="0" fontId="44" fillId="20" borderId="35" xfId="0" applyFont="1" applyFill="1" applyBorder="1" applyAlignment="1">
      <alignment horizontal="right" wrapText="1"/>
    </xf>
    <xf numFmtId="0" fontId="35" fillId="18" borderId="33" xfId="0" applyFont="1" applyFill="1" applyBorder="1" applyAlignment="1">
      <alignment horizontal="center" vertical="center" wrapText="1"/>
    </xf>
    <xf numFmtId="0" fontId="35" fillId="19" borderId="33" xfId="0" applyFont="1" applyFill="1" applyBorder="1" applyAlignment="1">
      <alignment horizontal="center" vertical="center" wrapText="1"/>
    </xf>
    <xf numFmtId="0" fontId="45" fillId="14" borderId="35" xfId="0" applyFont="1" applyFill="1" applyBorder="1" applyAlignment="1">
      <alignment wrapText="1"/>
    </xf>
    <xf numFmtId="0" fontId="35" fillId="14" borderId="35" xfId="0" applyFont="1" applyFill="1" applyBorder="1" applyAlignment="1">
      <alignment vertical="center" wrapText="1"/>
    </xf>
    <xf numFmtId="0" fontId="35" fillId="19" borderId="35" xfId="0" applyFont="1" applyFill="1" applyBorder="1" applyAlignment="1">
      <alignment vertical="center" wrapText="1"/>
    </xf>
    <xf numFmtId="0" fontId="45" fillId="19" borderId="35" xfId="0" applyFont="1" applyFill="1" applyBorder="1" applyAlignment="1">
      <alignment wrapText="1"/>
    </xf>
    <xf numFmtId="0" fontId="44" fillId="14" borderId="30" xfId="0" applyFont="1" applyFill="1" applyBorder="1" applyAlignment="1">
      <alignment horizontal="center" vertical="center" wrapText="1"/>
    </xf>
    <xf numFmtId="0" fontId="35" fillId="14" borderId="34" xfId="0" applyFont="1" applyFill="1" applyBorder="1" applyAlignment="1">
      <alignment wrapText="1"/>
    </xf>
    <xf numFmtId="0" fontId="45" fillId="14" borderId="34" xfId="0" applyFont="1" applyFill="1" applyBorder="1" applyAlignment="1">
      <alignment vertical="center"/>
    </xf>
    <xf numFmtId="0" fontId="35" fillId="19" borderId="34" xfId="0" applyFont="1" applyFill="1" applyBorder="1" applyAlignment="1">
      <alignment wrapText="1"/>
    </xf>
    <xf numFmtId="0" fontId="44" fillId="14" borderId="38" xfId="0" applyFont="1" applyFill="1" applyBorder="1" applyAlignment="1">
      <alignment horizontal="center" vertical="center" wrapText="1"/>
    </xf>
    <xf numFmtId="0" fontId="44" fillId="17" borderId="35" xfId="0" applyFont="1" applyFill="1" applyBorder="1" applyAlignment="1">
      <alignment horizontal="center" vertical="center" wrapText="1"/>
    </xf>
    <xf numFmtId="0" fontId="35" fillId="14" borderId="40" xfId="0" applyFont="1" applyFill="1" applyBorder="1" applyAlignment="1">
      <alignment vertical="center" wrapText="1"/>
    </xf>
    <xf numFmtId="0" fontId="44" fillId="0" borderId="30" xfId="0" applyFont="1" applyBorder="1" applyAlignment="1">
      <alignment wrapText="1"/>
    </xf>
    <xf numFmtId="0" fontId="35" fillId="16" borderId="44" xfId="0" applyFont="1" applyFill="1" applyBorder="1" applyAlignment="1">
      <alignment wrapText="1"/>
    </xf>
    <xf numFmtId="0" fontId="35" fillId="0" borderId="44" xfId="0" applyFont="1" applyBorder="1" applyAlignment="1">
      <alignment wrapText="1"/>
    </xf>
    <xf numFmtId="0" fontId="35" fillId="0" borderId="26" xfId="0" applyFont="1" applyBorder="1" applyAlignment="1">
      <alignment wrapText="1"/>
    </xf>
    <xf numFmtId="0" fontId="35" fillId="0" borderId="27" xfId="0" applyFont="1" applyBorder="1" applyAlignment="1">
      <alignment horizontal="right" wrapText="1"/>
    </xf>
    <xf numFmtId="0" fontId="35" fillId="0" borderId="27" xfId="0" applyFont="1" applyBorder="1" applyAlignment="1">
      <alignment wrapText="1"/>
    </xf>
    <xf numFmtId="0" fontId="35" fillId="16" borderId="27" xfId="0" applyFont="1" applyFill="1" applyBorder="1" applyAlignment="1">
      <alignment wrapText="1"/>
    </xf>
    <xf numFmtId="0" fontId="44" fillId="0" borderId="26" xfId="0" applyFont="1" applyBorder="1" applyAlignment="1">
      <alignment wrapText="1"/>
    </xf>
    <xf numFmtId="0" fontId="44" fillId="0" borderId="27" xfId="0" applyFont="1" applyBorder="1" applyAlignment="1">
      <alignment horizontal="right" wrapText="1"/>
    </xf>
    <xf numFmtId="0" fontId="23" fillId="2" borderId="45" xfId="0" applyFont="1" applyFill="1" applyBorder="1"/>
    <xf numFmtId="49" fontId="23" fillId="2" borderId="45" xfId="0" applyNumberFormat="1" applyFont="1" applyFill="1" applyBorder="1"/>
    <xf numFmtId="0" fontId="35" fillId="14" borderId="45" xfId="0" applyFont="1" applyFill="1" applyBorder="1" applyAlignment="1">
      <alignment wrapText="1"/>
    </xf>
    <xf numFmtId="49" fontId="23" fillId="0" borderId="45" xfId="0" quotePrefix="1" applyNumberFormat="1" applyFont="1" applyBorder="1"/>
    <xf numFmtId="0" fontId="23" fillId="13" borderId="45" xfId="0" applyFont="1" applyFill="1" applyBorder="1"/>
    <xf numFmtId="49" fontId="23" fillId="13" borderId="45" xfId="0" applyNumberFormat="1" applyFont="1" applyFill="1" applyBorder="1"/>
    <xf numFmtId="0" fontId="35" fillId="19" borderId="45" xfId="0" applyFont="1" applyFill="1" applyBorder="1" applyAlignment="1">
      <alignment wrapText="1"/>
    </xf>
    <xf numFmtId="49" fontId="23" fillId="0" borderId="17" xfId="0" applyNumberFormat="1" applyFont="1" applyBorder="1"/>
    <xf numFmtId="49" fontId="32" fillId="3" borderId="17" xfId="0" applyNumberFormat="1" applyFont="1" applyFill="1" applyBorder="1" applyAlignment="1">
      <alignment vertical="center" wrapText="1"/>
    </xf>
    <xf numFmtId="0" fontId="0" fillId="0" borderId="17" xfId="0" applyBorder="1"/>
    <xf numFmtId="0" fontId="22" fillId="2" borderId="45" xfId="0" applyFont="1" applyFill="1" applyBorder="1" applyAlignment="1">
      <alignment horizontal="center" vertical="center" wrapText="1"/>
    </xf>
    <xf numFmtId="49" fontId="22" fillId="2" borderId="45" xfId="0" applyNumberFormat="1" applyFont="1" applyFill="1" applyBorder="1" applyAlignment="1">
      <alignment horizontal="center" vertical="center" wrapText="1"/>
    </xf>
    <xf numFmtId="0" fontId="44" fillId="14" borderId="45" xfId="0" applyFont="1" applyFill="1" applyBorder="1" applyAlignment="1">
      <alignment horizontal="center" vertical="center" wrapText="1"/>
    </xf>
    <xf numFmtId="0" fontId="22" fillId="13" borderId="45" xfId="0" applyFont="1" applyFill="1" applyBorder="1" applyAlignment="1">
      <alignment horizontal="center" vertical="center" wrapText="1"/>
    </xf>
    <xf numFmtId="49" fontId="22" fillId="13" borderId="45" xfId="0" applyNumberFormat="1" applyFont="1" applyFill="1" applyBorder="1" applyAlignment="1">
      <alignment horizontal="center" vertical="center" wrapText="1"/>
    </xf>
    <xf numFmtId="0" fontId="44" fillId="19" borderId="45" xfId="0" applyFont="1" applyFill="1" applyBorder="1" applyAlignment="1">
      <alignment horizontal="center" vertical="center" wrapText="1"/>
    </xf>
    <xf numFmtId="0" fontId="44" fillId="14" borderId="33" xfId="0" applyFont="1" applyFill="1" applyBorder="1" applyAlignment="1">
      <alignment horizontal="center" vertical="center" wrapText="1"/>
    </xf>
    <xf numFmtId="49" fontId="35" fillId="16" borderId="32" xfId="0" quotePrefix="1" applyNumberFormat="1" applyFont="1" applyFill="1" applyBorder="1" applyAlignment="1">
      <alignment vertical="top" wrapText="1"/>
    </xf>
    <xf numFmtId="0" fontId="47" fillId="14" borderId="35" xfId="0" applyFont="1" applyFill="1" applyBorder="1" applyAlignment="1">
      <alignment vertical="top" wrapText="1"/>
    </xf>
    <xf numFmtId="49" fontId="44" fillId="19" borderId="35" xfId="0" applyNumberFormat="1" applyFont="1" applyFill="1" applyBorder="1" applyAlignment="1">
      <alignment horizontal="center" vertical="center" wrapText="1"/>
    </xf>
    <xf numFmtId="49" fontId="35" fillId="16" borderId="35" xfId="0" quotePrefix="1" applyNumberFormat="1" applyFont="1" applyFill="1" applyBorder="1" applyAlignment="1">
      <alignment vertical="top" wrapText="1"/>
    </xf>
    <xf numFmtId="49" fontId="35" fillId="16" borderId="35" xfId="0" applyNumberFormat="1" applyFont="1" applyFill="1" applyBorder="1" applyAlignment="1">
      <alignment vertical="top" wrapText="1"/>
    </xf>
    <xf numFmtId="49" fontId="44" fillId="14" borderId="35" xfId="0" applyNumberFormat="1" applyFont="1" applyFill="1" applyBorder="1" applyAlignment="1">
      <alignment horizontal="center" vertical="center" wrapText="1"/>
    </xf>
    <xf numFmtId="49" fontId="35" fillId="14" borderId="32" xfId="0" applyNumberFormat="1" applyFont="1" applyFill="1" applyBorder="1" applyAlignment="1">
      <alignment vertical="center" wrapText="1"/>
    </xf>
    <xf numFmtId="49" fontId="35" fillId="0" borderId="35" xfId="0" applyNumberFormat="1" applyFont="1" applyBorder="1" applyAlignment="1">
      <alignment wrapText="1"/>
    </xf>
    <xf numFmtId="49" fontId="35" fillId="19" borderId="35" xfId="0" applyNumberFormat="1" applyFont="1" applyFill="1" applyBorder="1" applyAlignment="1">
      <alignment vertical="center" wrapText="1"/>
    </xf>
    <xf numFmtId="49" fontId="35" fillId="14" borderId="35" xfId="0" applyNumberFormat="1" applyFont="1" applyFill="1" applyBorder="1" applyAlignment="1">
      <alignment vertical="center" wrapText="1"/>
    </xf>
    <xf numFmtId="49" fontId="23" fillId="2" borderId="1" xfId="0" applyNumberFormat="1" applyFont="1" applyFill="1" applyBorder="1"/>
    <xf numFmtId="49" fontId="22" fillId="13" borderId="23" xfId="0" applyNumberFormat="1" applyFont="1" applyFill="1" applyBorder="1" applyAlignment="1">
      <alignment horizontal="center" vertical="center" wrapText="1"/>
    </xf>
    <xf numFmtId="0" fontId="22" fillId="13" borderId="23" xfId="0" applyFont="1" applyFill="1" applyBorder="1" applyAlignment="1">
      <alignment horizontal="center" vertical="center" wrapText="1"/>
    </xf>
    <xf numFmtId="49" fontId="23" fillId="13" borderId="1" xfId="0" applyNumberFormat="1" applyFont="1" applyFill="1" applyBorder="1"/>
    <xf numFmtId="0" fontId="23" fillId="13" borderId="1" xfId="0" applyFont="1" applyFill="1" applyBorder="1"/>
    <xf numFmtId="0" fontId="23" fillId="2" borderId="1" xfId="0" applyFont="1" applyFill="1" applyBorder="1" applyAlignment="1">
      <alignment horizontal="left"/>
    </xf>
    <xf numFmtId="167" fontId="23" fillId="0" borderId="1" xfId="1" applyNumberFormat="1" applyFont="1" applyBorder="1"/>
    <xf numFmtId="0" fontId="11" fillId="0" borderId="23" xfId="0" applyFont="1" applyBorder="1" applyAlignment="1">
      <alignment wrapText="1"/>
    </xf>
    <xf numFmtId="0" fontId="11" fillId="0" borderId="23" xfId="0" quotePrefix="1" applyFont="1" applyBorder="1" applyAlignment="1">
      <alignment horizontal="center"/>
    </xf>
    <xf numFmtId="0" fontId="11" fillId="0" borderId="45" xfId="0" applyFont="1" applyBorder="1" applyAlignment="1">
      <alignment wrapText="1"/>
    </xf>
    <xf numFmtId="0" fontId="11" fillId="0" borderId="45" xfId="0" quotePrefix="1" applyFont="1" applyBorder="1" applyAlignment="1">
      <alignment horizontal="center"/>
    </xf>
    <xf numFmtId="0" fontId="38" fillId="0" borderId="45" xfId="0" applyFont="1" applyBorder="1" applyAlignment="1">
      <alignment wrapText="1"/>
    </xf>
    <xf numFmtId="0" fontId="38" fillId="0" borderId="45" xfId="0" quotePrefix="1" applyFont="1" applyBorder="1" applyAlignment="1">
      <alignment wrapText="1"/>
    </xf>
    <xf numFmtId="0" fontId="11" fillId="0" borderId="45" xfId="0" applyFont="1" applyBorder="1"/>
    <xf numFmtId="0" fontId="11" fillId="0" borderId="45" xfId="0" quotePrefix="1" applyFont="1" applyBorder="1"/>
    <xf numFmtId="0" fontId="35" fillId="21" borderId="35" xfId="0" applyFont="1" applyFill="1" applyBorder="1" applyAlignment="1">
      <alignment wrapText="1"/>
    </xf>
    <xf numFmtId="0" fontId="35" fillId="22" borderId="33" xfId="0" applyFont="1" applyFill="1" applyBorder="1" applyAlignment="1">
      <alignment horizontal="center" vertical="center" wrapText="1"/>
    </xf>
    <xf numFmtId="49" fontId="35" fillId="22" borderId="35" xfId="0" applyNumberFormat="1" applyFont="1" applyFill="1" applyBorder="1" applyAlignment="1">
      <alignment vertical="center" wrapText="1"/>
    </xf>
    <xf numFmtId="0" fontId="35" fillId="22" borderId="35" xfId="0" applyFont="1" applyFill="1" applyBorder="1" applyAlignment="1">
      <alignment wrapText="1"/>
    </xf>
    <xf numFmtId="0" fontId="35" fillId="21" borderId="33" xfId="0" applyFont="1" applyFill="1" applyBorder="1" applyAlignment="1">
      <alignment horizontal="center" vertical="center" wrapText="1"/>
    </xf>
    <xf numFmtId="49" fontId="10" fillId="14" borderId="35" xfId="0" applyNumberFormat="1" applyFont="1" applyFill="1" applyBorder="1" applyAlignment="1">
      <alignment vertical="center" wrapText="1"/>
    </xf>
    <xf numFmtId="0" fontId="10" fillId="17" borderId="33" xfId="0" applyFont="1" applyFill="1" applyBorder="1" applyAlignment="1">
      <alignment horizontal="center" vertical="center" wrapText="1"/>
    </xf>
    <xf numFmtId="0" fontId="10" fillId="21" borderId="33" xfId="0" applyFont="1" applyFill="1" applyBorder="1" applyAlignment="1">
      <alignment horizontal="center" vertical="center" wrapText="1"/>
    </xf>
    <xf numFmtId="0" fontId="10" fillId="22" borderId="33" xfId="0" applyFont="1" applyFill="1" applyBorder="1" applyAlignment="1">
      <alignment horizontal="center" vertical="center" wrapText="1"/>
    </xf>
    <xf numFmtId="0" fontId="10" fillId="0" borderId="0" xfId="0" applyFont="1"/>
    <xf numFmtId="168" fontId="0" fillId="0" borderId="0" xfId="2" applyNumberFormat="1" applyFont="1"/>
    <xf numFmtId="0" fontId="23" fillId="0" borderId="17" xfId="0" applyFont="1" applyBorder="1"/>
    <xf numFmtId="0" fontId="22" fillId="0" borderId="17" xfId="0" applyFont="1" applyBorder="1" applyAlignment="1">
      <alignment horizontal="center" vertical="center"/>
    </xf>
    <xf numFmtId="0" fontId="35" fillId="0" borderId="17" xfId="0" applyFont="1" applyBorder="1" applyAlignment="1">
      <alignment horizontal="right" wrapText="1"/>
    </xf>
    <xf numFmtId="0" fontId="35" fillId="0" borderId="17" xfId="0" applyFont="1" applyBorder="1" applyAlignment="1">
      <alignment wrapText="1"/>
    </xf>
    <xf numFmtId="0" fontId="44" fillId="0" borderId="17" xfId="0" applyFont="1" applyBorder="1" applyAlignment="1">
      <alignment horizontal="right" wrapText="1"/>
    </xf>
    <xf numFmtId="0" fontId="44" fillId="0" borderId="17" xfId="0" applyFont="1" applyBorder="1" applyAlignment="1">
      <alignment horizontal="center" vertical="center" wrapText="1"/>
    </xf>
    <xf numFmtId="0" fontId="44" fillId="0" borderId="17" xfId="0" applyFont="1" applyBorder="1" applyAlignment="1">
      <alignment wrapText="1"/>
    </xf>
    <xf numFmtId="0" fontId="35" fillId="0" borderId="17" xfId="0" applyFont="1" applyBorder="1" applyAlignment="1">
      <alignment horizontal="center" wrapText="1"/>
    </xf>
    <xf numFmtId="0" fontId="10" fillId="0" borderId="17" xfId="0" applyFont="1" applyBorder="1" applyAlignment="1">
      <alignment horizontal="right" wrapText="1"/>
    </xf>
    <xf numFmtId="0" fontId="10" fillId="0" borderId="17" xfId="0" applyFont="1" applyBorder="1" applyAlignment="1">
      <alignment wrapText="1"/>
    </xf>
    <xf numFmtId="0" fontId="9" fillId="0" borderId="35" xfId="0" applyFont="1" applyBorder="1" applyAlignment="1">
      <alignment horizontal="right" wrapText="1"/>
    </xf>
    <xf numFmtId="49" fontId="22" fillId="2" borderId="1" xfId="0" applyNumberFormat="1" applyFont="1" applyFill="1" applyBorder="1" applyAlignment="1">
      <alignment horizontal="left" vertical="top"/>
    </xf>
    <xf numFmtId="0" fontId="23" fillId="23" borderId="1" xfId="0" applyFont="1" applyFill="1" applyBorder="1" applyAlignment="1">
      <alignment wrapText="1"/>
    </xf>
    <xf numFmtId="0" fontId="35" fillId="23" borderId="27" xfId="0" applyFont="1" applyFill="1" applyBorder="1" applyAlignment="1">
      <alignment horizontal="right" wrapText="1"/>
    </xf>
    <xf numFmtId="0" fontId="21" fillId="0" borderId="1" xfId="0" quotePrefix="1" applyFont="1" applyBorder="1" applyAlignment="1">
      <alignment horizontal="center" vertical="center"/>
    </xf>
    <xf numFmtId="0" fontId="8" fillId="0" borderId="45" xfId="0" applyFont="1" applyBorder="1"/>
    <xf numFmtId="0" fontId="8" fillId="0" borderId="45" xfId="0" applyFont="1" applyBorder="1" applyAlignment="1">
      <alignment horizontal="center"/>
    </xf>
    <xf numFmtId="49" fontId="23" fillId="24" borderId="1" xfId="0" quotePrefix="1" applyNumberFormat="1" applyFont="1" applyFill="1" applyBorder="1"/>
    <xf numFmtId="49" fontId="23" fillId="24" borderId="1" xfId="0" applyNumberFormat="1" applyFont="1" applyFill="1" applyBorder="1"/>
    <xf numFmtId="49" fontId="32" fillId="3" borderId="19" xfId="0" applyNumberFormat="1" applyFont="1" applyFill="1" applyBorder="1" applyAlignment="1">
      <alignment vertical="center"/>
    </xf>
    <xf numFmtId="0" fontId="0" fillId="0" borderId="45" xfId="0" applyBorder="1"/>
    <xf numFmtId="2" fontId="0" fillId="0" borderId="0" xfId="0" applyNumberFormat="1"/>
    <xf numFmtId="0" fontId="22" fillId="9" borderId="17" xfId="0" applyFont="1" applyFill="1" applyBorder="1" applyAlignment="1">
      <alignment horizontal="left" vertical="center"/>
    </xf>
    <xf numFmtId="49" fontId="23" fillId="0" borderId="17" xfId="0" applyNumberFormat="1" applyFont="1" applyBorder="1" applyAlignment="1">
      <alignment wrapText="1"/>
    </xf>
    <xf numFmtId="49" fontId="23" fillId="9" borderId="17" xfId="0" applyNumberFormat="1" applyFont="1" applyFill="1" applyBorder="1" applyAlignment="1">
      <alignment wrapText="1"/>
    </xf>
    <xf numFmtId="49" fontId="23" fillId="9" borderId="17" xfId="0" applyNumberFormat="1" applyFont="1" applyFill="1" applyBorder="1"/>
    <xf numFmtId="0" fontId="23" fillId="9" borderId="17" xfId="0" applyFont="1" applyFill="1" applyBorder="1"/>
    <xf numFmtId="0" fontId="23" fillId="0" borderId="17" xfId="0" applyFont="1" applyBorder="1" applyAlignment="1">
      <alignment wrapText="1"/>
    </xf>
    <xf numFmtId="49" fontId="23" fillId="0" borderId="24" xfId="0" applyNumberFormat="1" applyFont="1" applyBorder="1"/>
    <xf numFmtId="0" fontId="23" fillId="0" borderId="24" xfId="0" applyFont="1" applyBorder="1"/>
    <xf numFmtId="49" fontId="23" fillId="9" borderId="24" xfId="0" applyNumberFormat="1" applyFont="1" applyFill="1" applyBorder="1"/>
    <xf numFmtId="0" fontId="23" fillId="9" borderId="24" xfId="0" applyFont="1" applyFill="1" applyBorder="1"/>
    <xf numFmtId="0" fontId="23" fillId="0" borderId="24" xfId="0" applyFont="1" applyBorder="1" applyAlignment="1">
      <alignment wrapText="1"/>
    </xf>
    <xf numFmtId="0" fontId="7" fillId="19" borderId="34" xfId="0" applyFont="1" applyFill="1" applyBorder="1" applyAlignment="1">
      <alignment vertical="center"/>
    </xf>
    <xf numFmtId="0" fontId="7" fillId="14" borderId="34" xfId="0" applyFont="1" applyFill="1" applyBorder="1" applyAlignment="1">
      <alignment vertical="center"/>
    </xf>
    <xf numFmtId="0" fontId="7" fillId="14" borderId="35" xfId="0" applyFont="1" applyFill="1" applyBorder="1" applyAlignment="1">
      <alignment wrapText="1"/>
    </xf>
    <xf numFmtId="0" fontId="7" fillId="19" borderId="35" xfId="0" applyFont="1" applyFill="1" applyBorder="1" applyAlignment="1">
      <alignment wrapText="1"/>
    </xf>
    <xf numFmtId="0" fontId="23" fillId="6" borderId="23" xfId="0" applyFont="1" applyFill="1" applyBorder="1" applyAlignment="1">
      <alignment horizontal="center" vertical="center"/>
    </xf>
    <xf numFmtId="0" fontId="23" fillId="6" borderId="10" xfId="0" applyFont="1" applyFill="1" applyBorder="1" applyAlignment="1">
      <alignment vertical="center"/>
    </xf>
    <xf numFmtId="49" fontId="23" fillId="6" borderId="23" xfId="0" applyNumberFormat="1" applyFont="1" applyFill="1" applyBorder="1" applyAlignment="1">
      <alignment vertical="center"/>
    </xf>
    <xf numFmtId="0" fontId="23" fillId="2" borderId="24" xfId="0" applyFont="1" applyFill="1" applyBorder="1" applyAlignment="1">
      <alignment horizontal="center" vertical="center"/>
    </xf>
    <xf numFmtId="0" fontId="23" fillId="2" borderId="24" xfId="0" applyFont="1" applyFill="1" applyBorder="1"/>
    <xf numFmtId="49" fontId="23" fillId="0" borderId="24" xfId="0" applyNumberFormat="1" applyFont="1" applyBorder="1" applyAlignment="1">
      <alignment vertical="center"/>
    </xf>
    <xf numFmtId="0" fontId="6" fillId="20" borderId="45" xfId="0" applyFont="1" applyFill="1" applyBorder="1" applyAlignment="1">
      <alignment vertical="center" wrapText="1"/>
    </xf>
    <xf numFmtId="0" fontId="23" fillId="2" borderId="23" xfId="0" applyFont="1" applyFill="1" applyBorder="1" applyAlignment="1">
      <alignment horizontal="center" vertical="center"/>
    </xf>
    <xf numFmtId="0" fontId="23" fillId="2" borderId="10" xfId="0" applyFont="1" applyFill="1" applyBorder="1" applyAlignment="1">
      <alignment horizontal="left"/>
    </xf>
    <xf numFmtId="49" fontId="23" fillId="0" borderId="23" xfId="0" applyNumberFormat="1" applyFont="1" applyBorder="1" applyAlignment="1">
      <alignment vertical="center"/>
    </xf>
    <xf numFmtId="0" fontId="6" fillId="20" borderId="45" xfId="0" applyFont="1" applyFill="1" applyBorder="1" applyAlignment="1">
      <alignment wrapText="1"/>
    </xf>
    <xf numFmtId="0" fontId="6" fillId="20" borderId="45" xfId="0" applyFont="1" applyFill="1" applyBorder="1" applyAlignment="1">
      <alignment horizontal="left" vertical="center" wrapText="1"/>
    </xf>
    <xf numFmtId="0" fontId="6" fillId="20" borderId="45" xfId="0" applyFont="1" applyFill="1" applyBorder="1" applyAlignment="1">
      <alignment horizontal="center" vertical="center" wrapText="1"/>
    </xf>
    <xf numFmtId="0" fontId="4" fillId="14" borderId="45" xfId="0" applyFont="1" applyFill="1" applyBorder="1" applyAlignment="1">
      <alignment wrapText="1"/>
    </xf>
    <xf numFmtId="0" fontId="4" fillId="25" borderId="45" xfId="0" applyFont="1" applyFill="1" applyBorder="1" applyAlignment="1">
      <alignment wrapText="1"/>
    </xf>
    <xf numFmtId="49" fontId="23" fillId="26" borderId="1" xfId="0" applyNumberFormat="1" applyFont="1" applyFill="1" applyBorder="1"/>
    <xf numFmtId="0" fontId="4" fillId="14" borderId="35" xfId="0" applyFont="1" applyFill="1" applyBorder="1" applyAlignment="1">
      <alignment wrapText="1"/>
    </xf>
    <xf numFmtId="0" fontId="4" fillId="25" borderId="35" xfId="0" applyFont="1" applyFill="1" applyBorder="1" applyAlignment="1">
      <alignment wrapText="1"/>
    </xf>
    <xf numFmtId="0" fontId="35" fillId="25" borderId="35" xfId="0" applyFont="1" applyFill="1" applyBorder="1" applyAlignment="1">
      <alignment wrapText="1"/>
    </xf>
    <xf numFmtId="0" fontId="4" fillId="27" borderId="35" xfId="0" applyFont="1" applyFill="1" applyBorder="1" applyAlignment="1">
      <alignment wrapText="1"/>
    </xf>
    <xf numFmtId="0" fontId="35" fillId="27" borderId="35" xfId="0" applyFont="1" applyFill="1" applyBorder="1" applyAlignment="1">
      <alignment wrapText="1"/>
    </xf>
    <xf numFmtId="0" fontId="3" fillId="20" borderId="45" xfId="0" applyFont="1" applyFill="1" applyBorder="1" applyAlignment="1">
      <alignment vertical="center"/>
    </xf>
    <xf numFmtId="0" fontId="0" fillId="0" borderId="0" xfId="0"/>
    <xf numFmtId="0" fontId="0" fillId="0" borderId="0" xfId="0"/>
    <xf numFmtId="49" fontId="23" fillId="15" borderId="0" xfId="0" applyNumberFormat="1" applyFont="1" applyFill="1"/>
    <xf numFmtId="0" fontId="44" fillId="15" borderId="35" xfId="0" applyFont="1" applyFill="1" applyBorder="1" applyAlignment="1">
      <alignment horizontal="center" vertical="center" wrapText="1"/>
    </xf>
    <xf numFmtId="0" fontId="23" fillId="15" borderId="1" xfId="0" applyFont="1" applyFill="1" applyBorder="1"/>
    <xf numFmtId="0" fontId="0" fillId="15" borderId="0" xfId="0" applyFill="1"/>
    <xf numFmtId="49" fontId="5" fillId="15" borderId="0" xfId="0" applyNumberFormat="1" applyFont="1" applyFill="1"/>
    <xf numFmtId="0" fontId="0" fillId="15" borderId="45" xfId="0" applyFill="1" applyBorder="1"/>
    <xf numFmtId="49" fontId="23" fillId="28" borderId="0" xfId="0" applyNumberFormat="1" applyFont="1" applyFill="1"/>
    <xf numFmtId="0" fontId="44" fillId="28" borderId="35" xfId="0" applyFont="1" applyFill="1" applyBorder="1" applyAlignment="1">
      <alignment horizontal="center" vertical="center" wrapText="1"/>
    </xf>
    <xf numFmtId="0" fontId="23" fillId="28" borderId="1" xfId="0" applyFont="1" applyFill="1" applyBorder="1"/>
    <xf numFmtId="0" fontId="0" fillId="28" borderId="0" xfId="0" applyFill="1"/>
    <xf numFmtId="49" fontId="0" fillId="28" borderId="0" xfId="0" applyNumberFormat="1" applyFill="1"/>
    <xf numFmtId="0" fontId="0" fillId="28" borderId="45" xfId="0" applyFill="1" applyBorder="1"/>
    <xf numFmtId="49" fontId="23" fillId="29" borderId="0" xfId="0" applyNumberFormat="1" applyFont="1" applyFill="1"/>
    <xf numFmtId="0" fontId="0" fillId="29" borderId="0" xfId="0" applyFill="1"/>
    <xf numFmtId="0" fontId="44" fillId="29" borderId="35" xfId="0" applyFont="1" applyFill="1" applyBorder="1" applyAlignment="1">
      <alignment horizontal="center" vertical="center" wrapText="1"/>
    </xf>
    <xf numFmtId="49" fontId="23" fillId="29" borderId="1" xfId="0" applyNumberFormat="1" applyFont="1" applyFill="1" applyBorder="1"/>
    <xf numFmtId="0" fontId="23" fillId="29" borderId="1" xfId="0" applyFont="1" applyFill="1" applyBorder="1"/>
    <xf numFmtId="0" fontId="23" fillId="29" borderId="1" xfId="0" applyFont="1" applyFill="1" applyBorder="1" applyAlignment="1">
      <alignment wrapText="1"/>
    </xf>
    <xf numFmtId="0" fontId="23" fillId="29" borderId="1" xfId="0" applyFont="1" applyFill="1" applyBorder="1" applyAlignment="1">
      <alignment vertical="top" wrapText="1"/>
    </xf>
    <xf numFmtId="0" fontId="0" fillId="29" borderId="54" xfId="0" applyFill="1" applyBorder="1"/>
    <xf numFmtId="0" fontId="2" fillId="29" borderId="54" xfId="0" applyFont="1" applyFill="1" applyBorder="1"/>
    <xf numFmtId="0" fontId="0" fillId="30" borderId="0" xfId="0" applyFill="1"/>
    <xf numFmtId="0" fontId="44" fillId="30" borderId="35" xfId="0" applyFont="1" applyFill="1" applyBorder="1" applyAlignment="1">
      <alignment horizontal="center" vertical="center" wrapText="1"/>
    </xf>
    <xf numFmtId="0" fontId="23" fillId="30" borderId="1" xfId="0" applyFont="1" applyFill="1" applyBorder="1"/>
    <xf numFmtId="0" fontId="0" fillId="31" borderId="0" xfId="0" applyFill="1"/>
    <xf numFmtId="0" fontId="44" fillId="31" borderId="35" xfId="0" applyFont="1" applyFill="1" applyBorder="1" applyAlignment="1">
      <alignment horizontal="center" vertical="center" wrapText="1"/>
    </xf>
    <xf numFmtId="0" fontId="44" fillId="31" borderId="34" xfId="0" applyFont="1" applyFill="1" applyBorder="1" applyAlignment="1">
      <alignment horizontal="center" vertical="center" wrapText="1"/>
    </xf>
    <xf numFmtId="0" fontId="23" fillId="31" borderId="1" xfId="0" applyFont="1" applyFill="1" applyBorder="1"/>
    <xf numFmtId="0" fontId="23" fillId="31" borderId="24" xfId="0" applyFont="1" applyFill="1" applyBorder="1"/>
    <xf numFmtId="0" fontId="0" fillId="31" borderId="45" xfId="0" applyFill="1" applyBorder="1"/>
    <xf numFmtId="49" fontId="23" fillId="0" borderId="17" xfId="0" applyNumberFormat="1" applyFont="1" applyFill="1" applyBorder="1"/>
    <xf numFmtId="0" fontId="0" fillId="31" borderId="0" xfId="0" applyFill="1" applyAlignment="1">
      <alignment horizontal="center"/>
    </xf>
    <xf numFmtId="0" fontId="0" fillId="28" borderId="0" xfId="0" applyFill="1" applyAlignment="1">
      <alignment horizontal="center"/>
    </xf>
    <xf numFmtId="0" fontId="1" fillId="0" borderId="0" xfId="0" applyFont="1"/>
    <xf numFmtId="0" fontId="35" fillId="15" borderId="35" xfId="0" applyFont="1" applyFill="1" applyBorder="1" applyAlignment="1">
      <alignment wrapText="1"/>
    </xf>
    <xf numFmtId="49" fontId="0" fillId="0" borderId="0" xfId="0" applyNumberFormat="1"/>
    <xf numFmtId="0" fontId="12" fillId="2" borderId="2" xfId="0" applyFont="1" applyFill="1" applyBorder="1" applyAlignment="1">
      <alignment horizontal="center" vertical="center" wrapText="1"/>
    </xf>
    <xf numFmtId="0" fontId="13" fillId="0" borderId="3" xfId="0" applyFont="1" applyBorder="1"/>
    <xf numFmtId="0" fontId="16" fillId="3" borderId="4" xfId="0" applyFont="1" applyFill="1" applyBorder="1" applyAlignment="1">
      <alignment horizontal="center"/>
    </xf>
    <xf numFmtId="0" fontId="13" fillId="0" borderId="5" xfId="0" applyFont="1" applyBorder="1"/>
    <xf numFmtId="0" fontId="13" fillId="0" borderId="6" xfId="0" applyFont="1" applyBorder="1"/>
    <xf numFmtId="0" fontId="16" fillId="3" borderId="7" xfId="0" applyFont="1" applyFill="1" applyBorder="1" applyAlignment="1">
      <alignment horizontal="center"/>
    </xf>
    <xf numFmtId="0" fontId="16" fillId="3" borderId="21" xfId="0" applyFont="1" applyFill="1" applyBorder="1" applyAlignment="1">
      <alignment horizontal="center"/>
    </xf>
    <xf numFmtId="0" fontId="16" fillId="3" borderId="9" xfId="0" applyFont="1" applyFill="1" applyBorder="1" applyAlignment="1">
      <alignment horizontal="center"/>
    </xf>
    <xf numFmtId="0" fontId="23" fillId="2" borderId="14" xfId="0" applyFont="1" applyFill="1" applyBorder="1" applyAlignment="1">
      <alignment horizontal="left" vertical="center" wrapText="1"/>
    </xf>
    <xf numFmtId="0" fontId="13" fillId="0" borderId="15" xfId="0" applyFont="1" applyBorder="1"/>
    <xf numFmtId="0" fontId="13" fillId="0" borderId="17" xfId="0" applyFont="1" applyBorder="1"/>
    <xf numFmtId="0" fontId="0" fillId="0" borderId="0" xfId="0"/>
    <xf numFmtId="0" fontId="19" fillId="5" borderId="4" xfId="0" applyFont="1" applyFill="1" applyBorder="1" applyAlignment="1">
      <alignment horizontal="center" vertical="center"/>
    </xf>
    <xf numFmtId="0" fontId="23" fillId="6" borderId="4" xfId="0" applyFont="1" applyFill="1" applyBorder="1" applyAlignment="1">
      <alignment horizontal="left" vertical="center" wrapText="1"/>
    </xf>
    <xf numFmtId="0" fontId="23" fillId="3" borderId="4" xfId="0" applyFont="1" applyFill="1" applyBorder="1" applyAlignment="1">
      <alignment horizontal="left" vertical="center" wrapText="1"/>
    </xf>
    <xf numFmtId="0" fontId="23" fillId="0" borderId="4" xfId="0" applyFont="1" applyBorder="1" applyAlignment="1">
      <alignment horizontal="left" vertical="center" wrapText="1"/>
    </xf>
    <xf numFmtId="0" fontId="23" fillId="7" borderId="4" xfId="0" applyFont="1" applyFill="1" applyBorder="1" applyAlignment="1">
      <alignment horizontal="left" vertical="center" wrapText="1"/>
    </xf>
    <xf numFmtId="0" fontId="23" fillId="8" borderId="4" xfId="0" applyFont="1" applyFill="1" applyBorder="1" applyAlignment="1">
      <alignment horizontal="left" vertical="center" wrapText="1"/>
    </xf>
    <xf numFmtId="0" fontId="22" fillId="2" borderId="4" xfId="0" applyFont="1" applyFill="1" applyBorder="1" applyAlignment="1">
      <alignment horizontal="center" vertical="center"/>
    </xf>
    <xf numFmtId="0" fontId="44" fillId="14" borderId="37" xfId="0" applyFont="1" applyFill="1" applyBorder="1" applyAlignment="1">
      <alignment horizontal="center" vertical="center" wrapText="1"/>
    </xf>
    <xf numFmtId="0" fontId="44" fillId="14" borderId="33" xfId="0" applyFont="1" applyFill="1" applyBorder="1" applyAlignment="1">
      <alignment horizontal="center" vertical="center" wrapText="1"/>
    </xf>
    <xf numFmtId="0" fontId="44" fillId="14" borderId="36" xfId="0" applyFont="1" applyFill="1" applyBorder="1" applyAlignment="1">
      <alignment horizontal="center" vertical="center" wrapText="1"/>
    </xf>
    <xf numFmtId="0" fontId="44" fillId="14" borderId="32" xfId="0" applyFont="1" applyFill="1" applyBorder="1" applyAlignment="1">
      <alignment horizontal="center" vertical="center" wrapText="1"/>
    </xf>
    <xf numFmtId="0" fontId="44" fillId="14" borderId="31" xfId="0" applyFont="1" applyFill="1" applyBorder="1" applyAlignment="1">
      <alignment horizontal="center" vertical="center" wrapText="1"/>
    </xf>
    <xf numFmtId="0" fontId="44" fillId="31" borderId="51" xfId="0" applyFont="1" applyFill="1" applyBorder="1" applyAlignment="1">
      <alignment horizontal="center" vertical="center" wrapText="1"/>
    </xf>
    <xf numFmtId="0" fontId="44" fillId="31" borderId="52" xfId="0" applyFont="1" applyFill="1" applyBorder="1" applyAlignment="1">
      <alignment horizontal="center" vertical="center" wrapText="1"/>
    </xf>
    <xf numFmtId="0" fontId="44" fillId="31" borderId="53" xfId="0" applyFont="1" applyFill="1" applyBorder="1" applyAlignment="1">
      <alignment horizontal="center" vertical="center" wrapText="1"/>
    </xf>
    <xf numFmtId="0" fontId="44" fillId="14" borderId="39" xfId="0" applyFont="1" applyFill="1" applyBorder="1" applyAlignment="1">
      <alignment horizontal="center" vertical="center" wrapText="1"/>
    </xf>
    <xf numFmtId="0" fontId="44" fillId="14" borderId="42" xfId="0" applyFont="1" applyFill="1" applyBorder="1" applyAlignment="1">
      <alignment horizontal="center" vertical="center" wrapText="1"/>
    </xf>
    <xf numFmtId="0" fontId="44" fillId="14" borderId="41" xfId="0" applyFont="1" applyFill="1" applyBorder="1" applyAlignment="1">
      <alignment horizontal="center" vertical="center" wrapText="1"/>
    </xf>
    <xf numFmtId="0" fontId="44" fillId="14" borderId="38" xfId="0" applyFont="1" applyFill="1" applyBorder="1" applyAlignment="1">
      <alignment horizontal="center" vertical="center" wrapText="1"/>
    </xf>
    <xf numFmtId="0" fontId="44" fillId="14" borderId="43" xfId="0" applyFont="1" applyFill="1" applyBorder="1" applyAlignment="1">
      <alignment horizontal="center" vertical="center" wrapText="1"/>
    </xf>
    <xf numFmtId="0" fontId="44" fillId="14" borderId="34" xfId="0" applyFont="1" applyFill="1" applyBorder="1" applyAlignment="1">
      <alignment horizontal="center" vertical="center" wrapText="1"/>
    </xf>
    <xf numFmtId="0" fontId="44" fillId="14" borderId="35" xfId="0" applyFont="1" applyFill="1" applyBorder="1" applyAlignment="1">
      <alignment horizontal="center" vertical="center" wrapText="1"/>
    </xf>
    <xf numFmtId="0" fontId="44" fillId="29" borderId="37" xfId="0" applyFont="1" applyFill="1" applyBorder="1" applyAlignment="1">
      <alignment horizontal="center" vertical="center" wrapText="1"/>
    </xf>
    <xf numFmtId="0" fontId="44" fillId="29" borderId="39" xfId="0" applyFont="1" applyFill="1" applyBorder="1" applyAlignment="1">
      <alignment horizontal="center" vertical="center" wrapText="1"/>
    </xf>
    <xf numFmtId="0" fontId="44" fillId="29" borderId="33" xfId="0" applyFont="1" applyFill="1" applyBorder="1" applyAlignment="1">
      <alignment horizontal="center" vertical="center" wrapText="1"/>
    </xf>
    <xf numFmtId="0" fontId="44" fillId="29" borderId="42" xfId="0" applyFont="1" applyFill="1" applyBorder="1" applyAlignment="1">
      <alignment horizontal="center" vertical="center" wrapText="1"/>
    </xf>
    <xf numFmtId="0" fontId="44" fillId="29" borderId="41" xfId="0" applyFont="1" applyFill="1" applyBorder="1" applyAlignment="1">
      <alignment horizontal="center" vertical="center" wrapText="1"/>
    </xf>
    <xf numFmtId="0" fontId="44" fillId="29" borderId="38" xfId="0" applyFont="1" applyFill="1" applyBorder="1" applyAlignment="1">
      <alignment horizontal="center" vertical="center" wrapText="1"/>
    </xf>
    <xf numFmtId="0" fontId="44" fillId="29" borderId="43" xfId="0" applyFont="1" applyFill="1" applyBorder="1" applyAlignment="1">
      <alignment horizontal="center" vertical="center" wrapText="1"/>
    </xf>
    <xf numFmtId="0" fontId="44" fillId="29" borderId="34" xfId="0" applyFont="1" applyFill="1" applyBorder="1" applyAlignment="1">
      <alignment horizontal="center" vertical="center" wrapText="1"/>
    </xf>
    <xf numFmtId="0" fontId="44" fillId="29" borderId="35" xfId="0" applyFont="1" applyFill="1" applyBorder="1" applyAlignment="1">
      <alignment horizontal="center" vertical="center" wrapText="1"/>
    </xf>
    <xf numFmtId="0" fontId="44" fillId="15" borderId="36" xfId="0" applyFont="1" applyFill="1" applyBorder="1" applyAlignment="1">
      <alignment horizontal="center" vertical="center" wrapText="1"/>
    </xf>
    <xf numFmtId="0" fontId="44" fillId="15" borderId="31" xfId="0" applyFont="1" applyFill="1" applyBorder="1" applyAlignment="1">
      <alignment horizontal="center" vertical="center" wrapText="1"/>
    </xf>
    <xf numFmtId="0" fontId="44" fillId="15" borderId="32" xfId="0" applyFont="1" applyFill="1" applyBorder="1" applyAlignment="1">
      <alignment horizontal="center" vertical="center" wrapText="1"/>
    </xf>
    <xf numFmtId="0" fontId="44" fillId="28" borderId="36" xfId="0" applyFont="1" applyFill="1" applyBorder="1" applyAlignment="1">
      <alignment horizontal="center" vertical="center" wrapText="1"/>
    </xf>
    <xf numFmtId="0" fontId="44" fillId="28" borderId="31" xfId="0" applyFont="1" applyFill="1" applyBorder="1" applyAlignment="1">
      <alignment horizontal="center" vertical="center" wrapText="1"/>
    </xf>
    <xf numFmtId="0" fontId="44" fillId="28" borderId="32" xfId="0" applyFont="1" applyFill="1" applyBorder="1" applyAlignment="1">
      <alignment horizontal="center" vertical="center" wrapText="1"/>
    </xf>
    <xf numFmtId="0" fontId="44" fillId="30" borderId="36" xfId="0" applyFont="1" applyFill="1" applyBorder="1" applyAlignment="1">
      <alignment horizontal="center" vertical="center" wrapText="1"/>
    </xf>
    <xf numFmtId="0" fontId="44" fillId="30" borderId="31" xfId="0" applyFont="1" applyFill="1" applyBorder="1" applyAlignment="1">
      <alignment horizontal="center" vertical="center" wrapText="1"/>
    </xf>
    <xf numFmtId="0" fontId="44" fillId="30" borderId="32" xfId="0" applyFont="1" applyFill="1" applyBorder="1" applyAlignment="1">
      <alignment horizontal="center" vertical="center" wrapText="1"/>
    </xf>
    <xf numFmtId="0" fontId="44" fillId="31" borderId="36" xfId="0" applyFont="1" applyFill="1" applyBorder="1" applyAlignment="1">
      <alignment horizontal="center" vertical="center" wrapText="1"/>
    </xf>
    <xf numFmtId="0" fontId="44" fillId="31" borderId="31" xfId="0" applyFont="1" applyFill="1" applyBorder="1" applyAlignment="1">
      <alignment horizontal="center" vertical="center" wrapText="1"/>
    </xf>
    <xf numFmtId="0" fontId="44" fillId="31" borderId="48" xfId="0" applyFont="1" applyFill="1" applyBorder="1" applyAlignment="1">
      <alignment horizontal="center" vertical="center" wrapText="1"/>
    </xf>
    <xf numFmtId="0" fontId="44" fillId="31" borderId="49" xfId="0" applyFont="1" applyFill="1" applyBorder="1" applyAlignment="1">
      <alignment horizontal="center" vertical="center" wrapText="1"/>
    </xf>
    <xf numFmtId="0" fontId="44" fillId="17" borderId="36" xfId="0" applyFont="1" applyFill="1" applyBorder="1" applyAlignment="1">
      <alignment horizontal="center" vertical="center" wrapText="1"/>
    </xf>
    <xf numFmtId="0" fontId="44" fillId="17" borderId="31" xfId="0" applyFont="1" applyFill="1" applyBorder="1" applyAlignment="1">
      <alignment horizontal="center" vertical="center" wrapText="1"/>
    </xf>
    <xf numFmtId="0" fontId="44" fillId="17" borderId="41" xfId="0" applyFont="1" applyFill="1" applyBorder="1" applyAlignment="1">
      <alignment horizontal="center" vertical="center" wrapText="1"/>
    </xf>
    <xf numFmtId="0" fontId="44" fillId="29" borderId="36" xfId="0" applyFont="1" applyFill="1" applyBorder="1" applyAlignment="1">
      <alignment horizontal="center" vertical="center" wrapText="1"/>
    </xf>
    <xf numFmtId="0" fontId="44" fillId="29" borderId="31" xfId="0" applyFont="1" applyFill="1" applyBorder="1" applyAlignment="1">
      <alignment horizontal="center" vertical="center" wrapText="1"/>
    </xf>
    <xf numFmtId="0" fontId="44" fillId="29" borderId="32" xfId="0" applyFont="1" applyFill="1" applyBorder="1" applyAlignment="1">
      <alignment horizontal="center" vertical="center" wrapText="1"/>
    </xf>
    <xf numFmtId="49" fontId="22" fillId="2" borderId="2" xfId="0" applyNumberFormat="1" applyFont="1" applyFill="1" applyBorder="1" applyAlignment="1">
      <alignment horizontal="center" vertical="center" wrapText="1"/>
    </xf>
    <xf numFmtId="49" fontId="28" fillId="2" borderId="23" xfId="0" applyNumberFormat="1" applyFont="1" applyFill="1" applyBorder="1" applyAlignment="1">
      <alignment horizontal="center" vertical="center" wrapText="1"/>
    </xf>
    <xf numFmtId="0" fontId="13" fillId="0" borderId="24" xfId="0" applyFont="1" applyBorder="1"/>
    <xf numFmtId="49" fontId="22" fillId="2" borderId="23" xfId="0" applyNumberFormat="1" applyFont="1" applyFill="1" applyBorder="1" applyAlignment="1">
      <alignment horizontal="center" vertical="center" wrapText="1"/>
    </xf>
    <xf numFmtId="49" fontId="22" fillId="2" borderId="7" xfId="0" applyNumberFormat="1" applyFont="1" applyFill="1" applyBorder="1" applyAlignment="1">
      <alignment horizontal="center" vertical="center" wrapText="1"/>
    </xf>
    <xf numFmtId="0" fontId="13" fillId="0" borderId="9" xfId="0" applyFont="1" applyBorder="1"/>
    <xf numFmtId="49" fontId="22" fillId="2" borderId="23" xfId="0" applyNumberFormat="1" applyFont="1" applyFill="1" applyBorder="1" applyAlignment="1">
      <alignment horizontal="center" vertical="center"/>
    </xf>
    <xf numFmtId="0" fontId="44" fillId="14" borderId="48" xfId="0" applyFont="1" applyFill="1" applyBorder="1" applyAlignment="1">
      <alignment horizontal="center" vertical="center" wrapText="1"/>
    </xf>
    <xf numFmtId="0" fontId="44" fillId="14" borderId="49" xfId="0" applyFont="1" applyFill="1" applyBorder="1" applyAlignment="1">
      <alignment horizontal="center" vertical="center" wrapText="1"/>
    </xf>
    <xf numFmtId="0" fontId="44" fillId="14" borderId="50" xfId="0" applyFont="1" applyFill="1" applyBorder="1" applyAlignment="1">
      <alignment horizontal="center" vertical="center" wrapText="1"/>
    </xf>
    <xf numFmtId="0" fontId="44" fillId="17" borderId="37" xfId="0" applyFont="1" applyFill="1" applyBorder="1" applyAlignment="1">
      <alignment horizontal="center" vertical="center" wrapText="1"/>
    </xf>
    <xf numFmtId="0" fontId="44" fillId="17" borderId="33" xfId="0" applyFont="1" applyFill="1" applyBorder="1" applyAlignment="1">
      <alignment horizontal="center" vertical="center" wrapText="1"/>
    </xf>
    <xf numFmtId="0" fontId="44" fillId="15" borderId="37" xfId="0" applyFont="1" applyFill="1" applyBorder="1" applyAlignment="1">
      <alignment horizontal="center" vertical="center" wrapText="1"/>
    </xf>
    <xf numFmtId="0" fontId="44" fillId="15" borderId="33" xfId="0" applyFont="1" applyFill="1" applyBorder="1" applyAlignment="1">
      <alignment horizontal="center" vertical="center" wrapText="1"/>
    </xf>
    <xf numFmtId="0" fontId="46" fillId="14" borderId="37" xfId="0" applyFont="1" applyFill="1" applyBorder="1" applyAlignment="1">
      <alignment horizontal="center" vertical="center" wrapText="1"/>
    </xf>
    <xf numFmtId="0" fontId="46" fillId="14" borderId="33" xfId="0" applyFont="1" applyFill="1" applyBorder="1" applyAlignment="1">
      <alignment horizontal="center" vertical="center" wrapText="1"/>
    </xf>
    <xf numFmtId="0" fontId="46" fillId="15" borderId="37" xfId="0" applyFont="1" applyFill="1" applyBorder="1" applyAlignment="1">
      <alignment horizontal="center" vertical="center" wrapText="1"/>
    </xf>
    <xf numFmtId="0" fontId="46" fillId="15" borderId="33" xfId="0" applyFont="1" applyFill="1" applyBorder="1" applyAlignment="1">
      <alignment horizontal="center" vertical="center" wrapText="1"/>
    </xf>
    <xf numFmtId="49" fontId="22" fillId="3" borderId="2" xfId="0" applyNumberFormat="1" applyFont="1" applyFill="1" applyBorder="1" applyAlignment="1">
      <alignment horizontal="center" vertical="center" wrapText="1"/>
    </xf>
    <xf numFmtId="49" fontId="22" fillId="2" borderId="46" xfId="0" applyNumberFormat="1" applyFont="1" applyFill="1" applyBorder="1" applyAlignment="1">
      <alignment horizontal="center" vertical="center"/>
    </xf>
    <xf numFmtId="49" fontId="22" fillId="2" borderId="47" xfId="0" applyNumberFormat="1" applyFont="1" applyFill="1" applyBorder="1" applyAlignment="1">
      <alignment horizontal="center" vertical="center"/>
    </xf>
    <xf numFmtId="0" fontId="44" fillId="19" borderId="36" xfId="0" applyFont="1" applyFill="1" applyBorder="1" applyAlignment="1">
      <alignment horizontal="center" vertical="center" wrapText="1"/>
    </xf>
    <xf numFmtId="0" fontId="44" fillId="19" borderId="32" xfId="0" applyFont="1" applyFill="1" applyBorder="1" applyAlignment="1">
      <alignment horizontal="center" vertical="center" wrapText="1"/>
    </xf>
    <xf numFmtId="0" fontId="22" fillId="2" borderId="4" xfId="0" applyFont="1" applyFill="1" applyBorder="1" applyAlignment="1">
      <alignment horizontal="center" vertical="center" wrapText="1"/>
    </xf>
    <xf numFmtId="0" fontId="44" fillId="19" borderId="31" xfId="0" applyFont="1" applyFill="1" applyBorder="1" applyAlignment="1">
      <alignment horizontal="center" vertical="center" wrapText="1"/>
    </xf>
    <xf numFmtId="0" fontId="49" fillId="17" borderId="37" xfId="0" applyFont="1" applyFill="1" applyBorder="1" applyAlignment="1">
      <alignment horizontal="center" vertical="center" wrapText="1"/>
    </xf>
    <xf numFmtId="0" fontId="49" fillId="17" borderId="33" xfId="0" applyFont="1" applyFill="1" applyBorder="1" applyAlignment="1">
      <alignment horizontal="center" vertical="center" wrapText="1"/>
    </xf>
    <xf numFmtId="0" fontId="44" fillId="17" borderId="45" xfId="0" applyFont="1" applyFill="1" applyBorder="1" applyAlignment="1">
      <alignment horizontal="center" vertical="center" wrapText="1"/>
    </xf>
    <xf numFmtId="0" fontId="44" fillId="14" borderId="45" xfId="0" applyFont="1" applyFill="1" applyBorder="1" applyAlignment="1">
      <alignment horizontal="center" vertical="center" wrapText="1"/>
    </xf>
    <xf numFmtId="0" fontId="49" fillId="14" borderId="45" xfId="0" applyFont="1" applyFill="1" applyBorder="1" applyAlignment="1">
      <alignment horizontal="center" vertical="center" wrapText="1"/>
    </xf>
    <xf numFmtId="0" fontId="50" fillId="14" borderId="45" xfId="0" applyFont="1" applyFill="1" applyBorder="1" applyAlignment="1">
      <alignment horizontal="center" vertical="center" wrapText="1"/>
    </xf>
    <xf numFmtId="0" fontId="22" fillId="2" borderId="23" xfId="0" applyFont="1" applyFill="1" applyBorder="1" applyAlignment="1">
      <alignment horizontal="center" vertical="center" wrapText="1"/>
    </xf>
    <xf numFmtId="0" fontId="22" fillId="2" borderId="7" xfId="0" applyFont="1" applyFill="1" applyBorder="1" applyAlignment="1">
      <alignment horizontal="center" vertical="center" wrapText="1"/>
    </xf>
    <xf numFmtId="0" fontId="13" fillId="0" borderId="21" xfId="0" applyFont="1" applyBorder="1"/>
    <xf numFmtId="0" fontId="22" fillId="3" borderId="23" xfId="0" applyFont="1" applyFill="1" applyBorder="1" applyAlignment="1">
      <alignment horizontal="center" vertical="center" wrapText="1"/>
    </xf>
    <xf numFmtId="0" fontId="22" fillId="2" borderId="2" xfId="0" applyFont="1" applyFill="1" applyBorder="1" applyAlignment="1">
      <alignment horizontal="center" vertical="center" wrapText="1"/>
    </xf>
    <xf numFmtId="0" fontId="22" fillId="6" borderId="23" xfId="0" applyFont="1" applyFill="1" applyBorder="1" applyAlignment="1">
      <alignment horizontal="center" vertical="center"/>
    </xf>
    <xf numFmtId="0" fontId="22" fillId="2" borderId="23" xfId="0" applyFont="1" applyFill="1" applyBorder="1" applyAlignment="1">
      <alignment horizontal="center" vertical="center"/>
    </xf>
    <xf numFmtId="0" fontId="33" fillId="2" borderId="23" xfId="0" applyFont="1" applyFill="1" applyBorder="1" applyAlignment="1">
      <alignment horizontal="center" vertical="center" wrapText="1"/>
    </xf>
    <xf numFmtId="0" fontId="13" fillId="0" borderId="22" xfId="0" applyFont="1" applyBorder="1"/>
    <xf numFmtId="0" fontId="22" fillId="2" borderId="23" xfId="0" applyFont="1" applyFill="1" applyBorder="1" applyAlignment="1">
      <alignment horizontal="center" wrapText="1"/>
    </xf>
    <xf numFmtId="0" fontId="13" fillId="0" borderId="24" xfId="0" applyFont="1" applyBorder="1" applyAlignment="1">
      <alignment vertical="center"/>
    </xf>
    <xf numFmtId="0" fontId="33" fillId="3" borderId="23" xfId="0" applyFont="1" applyFill="1" applyBorder="1" applyAlignment="1">
      <alignment horizontal="center" vertical="center" wrapText="1"/>
    </xf>
    <xf numFmtId="0" fontId="22" fillId="2" borderId="7" xfId="0" applyFont="1" applyFill="1" applyBorder="1" applyAlignment="1">
      <alignment horizontal="center" vertical="center"/>
    </xf>
    <xf numFmtId="49" fontId="22" fillId="2" borderId="4" xfId="0" applyNumberFormat="1" applyFont="1" applyFill="1" applyBorder="1" applyAlignment="1">
      <alignment horizontal="center" vertical="center" wrapText="1"/>
    </xf>
    <xf numFmtId="165" fontId="35" fillId="0" borderId="17" xfId="2" applyFont="1" applyBorder="1" applyAlignment="1">
      <alignment horizontal="right" wrapText="1"/>
    </xf>
    <xf numFmtId="165" fontId="35" fillId="0" borderId="17" xfId="2" applyFont="1" applyBorder="1" applyAlignment="1">
      <alignment wrapText="1"/>
    </xf>
    <xf numFmtId="165" fontId="44" fillId="20" borderId="35" xfId="2" applyFont="1" applyFill="1" applyBorder="1" applyAlignment="1">
      <alignment horizontal="right" wrapText="1"/>
    </xf>
    <xf numFmtId="165" fontId="44" fillId="0" borderId="17" xfId="2" applyFont="1" applyBorder="1" applyAlignment="1">
      <alignment horizontal="right" wrapText="1"/>
    </xf>
  </cellXfs>
  <cellStyles count="3">
    <cellStyle name="Comma" xfId="2" builtinId="3"/>
    <cellStyle name="Comma [0]" xfId="1" builtinId="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customschemas.google.com/relationships/workbookmetadata" Target="metadata"/><Relationship Id="rId58"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5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6</xdr:col>
      <xdr:colOff>161925</xdr:colOff>
      <xdr:row>9</xdr:row>
      <xdr:rowOff>9525</xdr:rowOff>
    </xdr:from>
    <xdr:ext cx="3286125" cy="390525"/>
    <xdr:pic>
      <xdr:nvPicPr>
        <xdr:cNvPr id="3" name="image1.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8582025" y="1838325"/>
          <a:ext cx="3286125" cy="390525"/>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3</xdr:col>
          <xdr:colOff>488950</xdr:colOff>
          <xdr:row>3</xdr:row>
          <xdr:rowOff>6350</xdr:rowOff>
        </xdr:from>
        <xdr:to>
          <xdr:col>3</xdr:col>
          <xdr:colOff>1600200</xdr:colOff>
          <xdr:row>4</xdr:row>
          <xdr:rowOff>158750</xdr:rowOff>
        </xdr:to>
        <xdr:sp macro="" textlink="">
          <xdr:nvSpPr>
            <xdr:cNvPr id="1027" name="Button 3" descr="Generate Tek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0" i="0" u="none" strike="noStrike" baseline="0">
                  <a:solidFill>
                    <a:srgbClr val="000000"/>
                  </a:solidFill>
                  <a:latin typeface="Calibri"/>
                  <a:ea typeface="Calibri"/>
                  <a:cs typeface="Calibri"/>
                </a:rPr>
                <a:t>Generate Teks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xdr:colOff>
          <xdr:row>1</xdr:row>
          <xdr:rowOff>107950</xdr:rowOff>
        </xdr:from>
        <xdr:to>
          <xdr:col>2</xdr:col>
          <xdr:colOff>2393950</xdr:colOff>
          <xdr:row>1</xdr:row>
          <xdr:rowOff>311150</xdr:rowOff>
        </xdr:to>
        <xdr:sp macro="" textlink="">
          <xdr:nvSpPr>
            <xdr:cNvPr id="1029" name="jenisPelapora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69850</xdr:colOff>
          <xdr:row>3</xdr:row>
          <xdr:rowOff>6350</xdr:rowOff>
        </xdr:from>
        <xdr:to>
          <xdr:col>0</xdr:col>
          <xdr:colOff>1073150</xdr:colOff>
          <xdr:row>4</xdr:row>
          <xdr:rowOff>184150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1" i="0" u="none" strike="noStrike" baseline="0">
                  <a:solidFill>
                    <a:srgbClr val="000000"/>
                  </a:solidFill>
                  <a:latin typeface="Calibri"/>
                  <a:ea typeface="Calibri"/>
                  <a:cs typeface="Calibri"/>
                </a:rPr>
                <a:t>Set Lokasi Penyimpanan File Teks</a:t>
              </a:r>
            </a:p>
          </xdr:txBody>
        </xdr:sp>
        <xdr:clientData fPrintsWithSheet="0"/>
      </xdr:twoCellAnchor>
    </mc:Choice>
    <mc:Fallback/>
  </mc:AlternateContent>
  <xdr:twoCellAnchor editAs="oneCell">
    <xdr:from>
      <xdr:col>6</xdr:col>
      <xdr:colOff>161925</xdr:colOff>
      <xdr:row>1</xdr:row>
      <xdr:rowOff>228600</xdr:rowOff>
    </xdr:from>
    <xdr:to>
      <xdr:col>10</xdr:col>
      <xdr:colOff>446269</xdr:colOff>
      <xdr:row>8</xdr:row>
      <xdr:rowOff>76200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8582025" y="542925"/>
          <a:ext cx="2570344" cy="1066800"/>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
  <dimension ref="A1:AA2007"/>
  <sheetViews>
    <sheetView topLeftCell="A112" workbookViewId="0">
      <selection activeCell="B123" sqref="B123:C126"/>
    </sheetView>
  </sheetViews>
  <sheetFormatPr defaultColWidth="14.453125" defaultRowHeight="15" customHeight="1" x14ac:dyDescent="0.35"/>
  <cols>
    <col min="1" max="1" width="47.453125" customWidth="1"/>
    <col min="2" max="2" width="9.08984375" customWidth="1"/>
    <col min="3" max="3" width="42.453125" customWidth="1"/>
    <col min="4" max="4" width="9.08984375" customWidth="1"/>
    <col min="5" max="5" width="37.54296875" customWidth="1"/>
    <col min="6" max="6" width="9.08984375" customWidth="1"/>
    <col min="7" max="7" width="43.54296875" customWidth="1"/>
    <col min="8" max="8" width="9.08984375" customWidth="1"/>
    <col min="9" max="9" width="64.90625" customWidth="1"/>
    <col min="10" max="10" width="9.08984375" customWidth="1"/>
    <col min="11" max="11" width="69.54296875" customWidth="1"/>
    <col min="12" max="12" width="9.08984375" customWidth="1"/>
    <col min="13" max="13" width="12.54296875" customWidth="1"/>
    <col min="14" max="18" width="16.08984375" customWidth="1"/>
    <col min="19" max="20" width="9.08984375" customWidth="1"/>
    <col min="21" max="21" width="17.08984375" customWidth="1"/>
    <col min="22" max="22" width="38.54296875" customWidth="1"/>
    <col min="23" max="23" width="25.08984375" customWidth="1"/>
    <col min="24" max="25" width="9.08984375" customWidth="1"/>
    <col min="26" max="27" width="30.90625" customWidth="1"/>
    <col min="29" max="29" width="41.453125" bestFit="1" customWidth="1"/>
    <col min="30" max="30" width="26.54296875" bestFit="1" customWidth="1"/>
    <col min="31" max="31" width="14" bestFit="1" customWidth="1"/>
  </cols>
  <sheetData>
    <row r="1" spans="1:27" ht="12.75" customHeight="1" x14ac:dyDescent="0.35">
      <c r="A1" s="1" t="s">
        <v>0</v>
      </c>
      <c r="B1" s="2"/>
      <c r="C1" s="3"/>
      <c r="D1" s="3"/>
      <c r="E1" s="3"/>
      <c r="F1" s="3"/>
      <c r="G1" s="3"/>
      <c r="H1" s="3"/>
      <c r="I1" s="3"/>
      <c r="J1" s="3"/>
      <c r="K1" s="3"/>
      <c r="L1" s="3"/>
      <c r="M1" s="3"/>
      <c r="N1" s="3"/>
      <c r="O1" s="3"/>
      <c r="P1" s="3"/>
      <c r="Q1" s="3"/>
      <c r="R1" s="3"/>
      <c r="S1" s="3"/>
      <c r="T1" s="3"/>
      <c r="U1" s="3"/>
      <c r="V1" s="3"/>
      <c r="W1" s="3"/>
      <c r="X1" s="3"/>
      <c r="Y1" s="3"/>
      <c r="Z1" s="3"/>
      <c r="AA1" s="3"/>
    </row>
    <row r="2" spans="1:27" ht="12.75" customHeight="1" x14ac:dyDescent="0.35">
      <c r="A2" s="4" t="s">
        <v>1</v>
      </c>
      <c r="B2" s="4" t="s">
        <v>2</v>
      </c>
      <c r="C2" s="4" t="s">
        <v>3</v>
      </c>
      <c r="D2" s="3"/>
      <c r="E2" s="3" t="s">
        <v>4</v>
      </c>
      <c r="F2" s="3"/>
      <c r="G2" s="3"/>
      <c r="H2" s="3"/>
      <c r="I2" s="3" t="s">
        <v>5</v>
      </c>
      <c r="J2" s="3"/>
      <c r="K2" s="3"/>
      <c r="L2" s="3"/>
      <c r="M2" s="3" t="s">
        <v>6</v>
      </c>
      <c r="N2" s="3"/>
      <c r="O2" s="3"/>
      <c r="P2" s="3"/>
      <c r="Q2" s="3"/>
      <c r="R2" s="3"/>
      <c r="S2" s="3"/>
      <c r="T2" s="3" t="s">
        <v>7</v>
      </c>
      <c r="U2" s="3"/>
      <c r="V2" s="3"/>
      <c r="W2" s="3"/>
      <c r="X2" s="3"/>
      <c r="Y2" s="3" t="s">
        <v>8</v>
      </c>
      <c r="Z2" s="3"/>
      <c r="AA2" s="3"/>
    </row>
    <row r="3" spans="1:27" ht="12.75" customHeight="1" x14ac:dyDescent="0.35">
      <c r="A3" s="5" t="s">
        <v>9</v>
      </c>
      <c r="B3" s="6" t="s">
        <v>10</v>
      </c>
      <c r="C3" s="7" t="str">
        <f t="shared" ref="C3:C5" si="0">CONCATENATE(B3," (",A3,")")</f>
        <v>01 (Perorangan)</v>
      </c>
      <c r="D3" s="3"/>
      <c r="E3" s="8" t="s">
        <v>11</v>
      </c>
      <c r="F3" s="9" t="s">
        <v>2</v>
      </c>
      <c r="G3" s="10" t="s">
        <v>3</v>
      </c>
      <c r="H3" s="3"/>
      <c r="I3" s="8" t="s">
        <v>12</v>
      </c>
      <c r="J3" s="11" t="s">
        <v>13</v>
      </c>
      <c r="K3" s="10" t="s">
        <v>3</v>
      </c>
      <c r="L3" s="3"/>
      <c r="M3" s="398" t="s">
        <v>14</v>
      </c>
      <c r="N3" s="12" t="s">
        <v>15</v>
      </c>
      <c r="O3" s="12" t="s">
        <v>16</v>
      </c>
      <c r="P3" s="12" t="s">
        <v>17</v>
      </c>
      <c r="Q3" s="12" t="s">
        <v>18</v>
      </c>
      <c r="R3" s="12" t="s">
        <v>19</v>
      </c>
      <c r="S3" s="3"/>
      <c r="T3" s="12" t="s">
        <v>20</v>
      </c>
      <c r="U3" s="12" t="s">
        <v>21</v>
      </c>
      <c r="V3" s="12" t="s">
        <v>22</v>
      </c>
      <c r="W3" s="12" t="s">
        <v>23</v>
      </c>
      <c r="X3" s="3"/>
      <c r="Y3" s="12" t="s">
        <v>24</v>
      </c>
      <c r="Z3" s="12" t="s">
        <v>25</v>
      </c>
      <c r="AA3" s="13"/>
    </row>
    <row r="4" spans="1:27" ht="12.75" customHeight="1" x14ac:dyDescent="0.35">
      <c r="A4" s="5" t="s">
        <v>26</v>
      </c>
      <c r="B4" s="6" t="s">
        <v>27</v>
      </c>
      <c r="C4" s="7" t="str">
        <f t="shared" si="0"/>
        <v>02 (Badan Hukum)</v>
      </c>
      <c r="D4" s="3"/>
      <c r="E4" s="14" t="s">
        <v>28</v>
      </c>
      <c r="F4" s="15"/>
      <c r="G4" s="16" t="str">
        <f t="shared" ref="G4:G258" si="1">CONCATENATE(IF(F4="","----",F4)," (",E4,")")</f>
        <v>---- (Provinsi Jawa Barat)</v>
      </c>
      <c r="H4" s="3"/>
      <c r="I4" s="16" t="s">
        <v>29</v>
      </c>
      <c r="J4" s="17" t="s">
        <v>30</v>
      </c>
      <c r="K4" s="16" t="str">
        <f t="shared" ref="K4:K258" si="2">CONCATENATE(J4," (",SUBSTITUTE(I4,"  ",""),")")</f>
        <v>002 (BANK RAKYAT INDONESIA)</v>
      </c>
      <c r="L4" s="3"/>
      <c r="M4" s="399"/>
      <c r="N4" s="12" t="s">
        <v>31</v>
      </c>
      <c r="O4" s="12" t="s">
        <v>32</v>
      </c>
      <c r="P4" s="12" t="s">
        <v>33</v>
      </c>
      <c r="Q4" s="12" t="s">
        <v>34</v>
      </c>
      <c r="R4" s="12" t="s">
        <v>35</v>
      </c>
      <c r="S4" s="3"/>
      <c r="T4" s="18">
        <v>1</v>
      </c>
      <c r="U4" s="19">
        <v>810001</v>
      </c>
      <c r="V4" s="20" t="s">
        <v>36</v>
      </c>
      <c r="W4" s="20" t="s">
        <v>37</v>
      </c>
      <c r="X4" s="3"/>
      <c r="Y4" s="21" t="s">
        <v>38</v>
      </c>
      <c r="Z4" s="22" t="s">
        <v>39</v>
      </c>
      <c r="AA4" s="23" t="str">
        <f>CONCATENATE(Y4," ",Z4)</f>
        <v>AF Afghanistan</v>
      </c>
    </row>
    <row r="5" spans="1:27" ht="12.75" customHeight="1" x14ac:dyDescent="0.35">
      <c r="A5" s="5" t="s">
        <v>40</v>
      </c>
      <c r="B5" s="6" t="s">
        <v>41</v>
      </c>
      <c r="C5" s="7" t="str">
        <f t="shared" si="0"/>
        <v>03 (Pemerintah Daerah / Pemerintah Pusat)</v>
      </c>
      <c r="D5" s="3"/>
      <c r="E5" s="16" t="s">
        <v>42</v>
      </c>
      <c r="F5" s="24" t="s">
        <v>43</v>
      </c>
      <c r="G5" s="16" t="str">
        <f t="shared" si="1"/>
        <v>0102 (Kab. Bekasi)</v>
      </c>
      <c r="H5" s="3"/>
      <c r="I5" s="16" t="s">
        <v>44</v>
      </c>
      <c r="J5" s="17" t="s">
        <v>45</v>
      </c>
      <c r="K5" s="16" t="str">
        <f t="shared" si="2"/>
        <v>008 (BANK MANDIRI)</v>
      </c>
      <c r="L5" s="3"/>
      <c r="M5" s="400" t="s">
        <v>46</v>
      </c>
      <c r="N5" s="401"/>
      <c r="O5" s="401"/>
      <c r="P5" s="401"/>
      <c r="Q5" s="401"/>
      <c r="R5" s="402"/>
      <c r="S5" s="3"/>
      <c r="T5" s="18">
        <v>2</v>
      </c>
      <c r="U5" s="19">
        <v>810003</v>
      </c>
      <c r="V5" s="20" t="s">
        <v>47</v>
      </c>
      <c r="W5" s="20" t="s">
        <v>48</v>
      </c>
      <c r="X5" s="3"/>
      <c r="Y5" s="21" t="s">
        <v>49</v>
      </c>
      <c r="Z5" s="25" t="s">
        <v>50</v>
      </c>
      <c r="AA5" s="23" t="str">
        <f t="shared" ref="AA5:AA68" si="3">CONCATENATE(Y5," ",Z5)</f>
        <v>AL Albania</v>
      </c>
    </row>
    <row r="6" spans="1:27" ht="12.75" customHeight="1" x14ac:dyDescent="0.35">
      <c r="A6" s="26" t="s">
        <v>51</v>
      </c>
      <c r="B6" s="27" t="s">
        <v>52</v>
      </c>
      <c r="C6" s="26" t="s">
        <v>53</v>
      </c>
      <c r="D6" s="3"/>
      <c r="E6" s="16" t="s">
        <v>54</v>
      </c>
      <c r="F6" s="24" t="s">
        <v>55</v>
      </c>
      <c r="G6" s="16" t="str">
        <f t="shared" si="1"/>
        <v>0103 (Kab. Purwakarta)</v>
      </c>
      <c r="H6" s="3"/>
      <c r="I6" s="16" t="s">
        <v>56</v>
      </c>
      <c r="J6" s="17" t="s">
        <v>57</v>
      </c>
      <c r="K6" s="16" t="str">
        <f t="shared" si="2"/>
        <v>009 (BANK BNI 1946)</v>
      </c>
      <c r="L6" s="3"/>
      <c r="M6" s="28" t="s">
        <v>10</v>
      </c>
      <c r="N6" s="28" t="s">
        <v>58</v>
      </c>
      <c r="O6" s="28" t="s">
        <v>59</v>
      </c>
      <c r="P6" s="28" t="s">
        <v>59</v>
      </c>
      <c r="Q6" s="28" t="s">
        <v>60</v>
      </c>
      <c r="R6" s="28" t="s">
        <v>61</v>
      </c>
      <c r="S6" s="3"/>
      <c r="T6" s="18">
        <v>3</v>
      </c>
      <c r="U6" s="19">
        <v>810004</v>
      </c>
      <c r="V6" s="20" t="s">
        <v>62</v>
      </c>
      <c r="W6" s="20" t="s">
        <v>63</v>
      </c>
      <c r="X6" s="3"/>
      <c r="Y6" s="21" t="s">
        <v>64</v>
      </c>
      <c r="Z6" s="22" t="s">
        <v>65</v>
      </c>
      <c r="AA6" s="23" t="str">
        <f t="shared" si="3"/>
        <v>DZ Algeria</v>
      </c>
    </row>
    <row r="7" spans="1:27" ht="12.75" customHeight="1" x14ac:dyDescent="0.35">
      <c r="A7" s="3"/>
      <c r="B7" s="2"/>
      <c r="C7" s="3"/>
      <c r="D7" s="3"/>
      <c r="E7" s="16" t="s">
        <v>66</v>
      </c>
      <c r="F7" s="24" t="s">
        <v>67</v>
      </c>
      <c r="G7" s="16" t="str">
        <f t="shared" si="1"/>
        <v>0106 (Kab. Karawang)</v>
      </c>
      <c r="H7" s="3"/>
      <c r="I7" s="16" t="s">
        <v>68</v>
      </c>
      <c r="J7" s="17" t="s">
        <v>69</v>
      </c>
      <c r="K7" s="16" t="str">
        <f t="shared" si="2"/>
        <v>076 (BANK BUMI ARTA)</v>
      </c>
      <c r="L7" s="3"/>
      <c r="M7" s="28" t="s">
        <v>27</v>
      </c>
      <c r="N7" s="28" t="s">
        <v>70</v>
      </c>
      <c r="O7" s="28" t="s">
        <v>71</v>
      </c>
      <c r="P7" s="28" t="s">
        <v>71</v>
      </c>
      <c r="Q7" s="28" t="s">
        <v>72</v>
      </c>
      <c r="R7" s="28" t="s">
        <v>73</v>
      </c>
      <c r="S7" s="3"/>
      <c r="T7" s="18">
        <v>4</v>
      </c>
      <c r="U7" s="19">
        <v>810005</v>
      </c>
      <c r="V7" s="20" t="s">
        <v>74</v>
      </c>
      <c r="W7" s="20" t="s">
        <v>75</v>
      </c>
      <c r="X7" s="3"/>
      <c r="Y7" s="21" t="s">
        <v>76</v>
      </c>
      <c r="Z7" s="22" t="s">
        <v>77</v>
      </c>
      <c r="AA7" s="23" t="str">
        <f t="shared" si="3"/>
        <v>AS American Samoa</v>
      </c>
    </row>
    <row r="8" spans="1:27" ht="12.75" customHeight="1" x14ac:dyDescent="0.35">
      <c r="A8" s="3" t="s">
        <v>78</v>
      </c>
      <c r="B8" s="2"/>
      <c r="C8" s="3"/>
      <c r="D8" s="3"/>
      <c r="E8" s="16" t="s">
        <v>79</v>
      </c>
      <c r="F8" s="24" t="s">
        <v>80</v>
      </c>
      <c r="G8" s="16" t="str">
        <f t="shared" si="1"/>
        <v>0108 (Kab. Bogor)</v>
      </c>
      <c r="H8" s="3"/>
      <c r="I8" s="16" t="s">
        <v>81</v>
      </c>
      <c r="J8" s="17" t="s">
        <v>82</v>
      </c>
      <c r="K8" s="16" t="str">
        <f t="shared" si="2"/>
        <v>095 (BANK JTRUST INDONESIA D/H BANK MUTIARA)</v>
      </c>
      <c r="L8" s="3"/>
      <c r="M8" s="28" t="s">
        <v>41</v>
      </c>
      <c r="N8" s="28" t="s">
        <v>83</v>
      </c>
      <c r="O8" s="28" t="s">
        <v>84</v>
      </c>
      <c r="P8" s="28" t="s">
        <v>84</v>
      </c>
      <c r="Q8" s="28" t="s">
        <v>85</v>
      </c>
      <c r="R8" s="28" t="s">
        <v>86</v>
      </c>
      <c r="S8" s="3"/>
      <c r="T8" s="18">
        <v>5</v>
      </c>
      <c r="U8" s="19">
        <v>810006</v>
      </c>
      <c r="V8" s="20" t="s">
        <v>87</v>
      </c>
      <c r="W8" s="20" t="s">
        <v>88</v>
      </c>
      <c r="X8" s="3"/>
      <c r="Y8" s="21" t="s">
        <v>89</v>
      </c>
      <c r="Z8" s="22" t="s">
        <v>90</v>
      </c>
      <c r="AA8" s="23" t="str">
        <f t="shared" si="3"/>
        <v>AD Andorra</v>
      </c>
    </row>
    <row r="9" spans="1:27" ht="12.75" customHeight="1" x14ac:dyDescent="0.35">
      <c r="A9" s="10" t="s">
        <v>91</v>
      </c>
      <c r="B9" s="2"/>
      <c r="C9" s="3"/>
      <c r="D9" s="3"/>
      <c r="E9" s="16" t="s">
        <v>92</v>
      </c>
      <c r="F9" s="24" t="s">
        <v>93</v>
      </c>
      <c r="G9" s="16" t="str">
        <f t="shared" si="1"/>
        <v>0109 (Kab. Sukabumi)</v>
      </c>
      <c r="H9" s="3"/>
      <c r="I9" s="16" t="s">
        <v>94</v>
      </c>
      <c r="J9" s="17" t="s">
        <v>95</v>
      </c>
      <c r="K9" s="16" t="str">
        <f t="shared" si="2"/>
        <v>111 (BANK DKI)</v>
      </c>
      <c r="L9" s="3"/>
      <c r="M9" s="28" t="s">
        <v>52</v>
      </c>
      <c r="N9" s="28" t="s">
        <v>96</v>
      </c>
      <c r="O9" s="28" t="s">
        <v>97</v>
      </c>
      <c r="P9" s="28" t="s">
        <v>97</v>
      </c>
      <c r="Q9" s="28" t="s">
        <v>98</v>
      </c>
      <c r="R9" s="28" t="s">
        <v>99</v>
      </c>
      <c r="S9" s="3"/>
      <c r="T9" s="18">
        <v>6</v>
      </c>
      <c r="U9" s="19">
        <v>810008</v>
      </c>
      <c r="V9" s="20" t="s">
        <v>100</v>
      </c>
      <c r="W9" s="20" t="s">
        <v>101</v>
      </c>
      <c r="X9" s="3"/>
      <c r="Y9" s="21" t="s">
        <v>102</v>
      </c>
      <c r="Z9" s="22" t="s">
        <v>103</v>
      </c>
      <c r="AA9" s="23" t="str">
        <f t="shared" si="3"/>
        <v>AO Angola</v>
      </c>
    </row>
    <row r="10" spans="1:27" ht="12.75" customHeight="1" x14ac:dyDescent="0.35">
      <c r="A10" s="16" t="s">
        <v>104</v>
      </c>
      <c r="B10" s="2"/>
      <c r="C10" s="3"/>
      <c r="D10" s="3"/>
      <c r="E10" s="16" t="s">
        <v>105</v>
      </c>
      <c r="F10" s="24" t="s">
        <v>106</v>
      </c>
      <c r="G10" s="16" t="str">
        <f t="shared" si="1"/>
        <v>0110 (Kab. Cianjur)</v>
      </c>
      <c r="H10" s="3"/>
      <c r="I10" s="16" t="s">
        <v>107</v>
      </c>
      <c r="J10" s="17" t="s">
        <v>108</v>
      </c>
      <c r="K10" s="16" t="str">
        <f t="shared" si="2"/>
        <v>146 (BANK OF INDIA INDONESIA)</v>
      </c>
      <c r="L10" s="3"/>
      <c r="M10" s="28" t="s">
        <v>109</v>
      </c>
      <c r="N10" s="28" t="s">
        <v>110</v>
      </c>
      <c r="O10" s="28" t="s">
        <v>111</v>
      </c>
      <c r="P10" s="28" t="s">
        <v>111</v>
      </c>
      <c r="Q10" s="28" t="s">
        <v>112</v>
      </c>
      <c r="R10" s="28" t="s">
        <v>113</v>
      </c>
      <c r="S10" s="3"/>
      <c r="T10" s="18">
        <v>7</v>
      </c>
      <c r="U10" s="19">
        <v>810009</v>
      </c>
      <c r="V10" s="20" t="s">
        <v>114</v>
      </c>
      <c r="W10" s="20" t="s">
        <v>115</v>
      </c>
      <c r="X10" s="3"/>
      <c r="Y10" s="21" t="s">
        <v>116</v>
      </c>
      <c r="Z10" s="22" t="s">
        <v>117</v>
      </c>
      <c r="AA10" s="23" t="str">
        <f t="shared" si="3"/>
        <v>AI Anguilla</v>
      </c>
    </row>
    <row r="11" spans="1:27" ht="12.75" customHeight="1" x14ac:dyDescent="0.35">
      <c r="A11" s="16" t="s">
        <v>118</v>
      </c>
      <c r="B11" s="2"/>
      <c r="C11" s="3"/>
      <c r="D11" s="3"/>
      <c r="E11" s="16" t="s">
        <v>119</v>
      </c>
      <c r="F11" s="24" t="s">
        <v>120</v>
      </c>
      <c r="G11" s="16" t="str">
        <f t="shared" si="1"/>
        <v>0111 (Kab. Bandung)</v>
      </c>
      <c r="H11" s="3"/>
      <c r="I11" s="16" t="s">
        <v>121</v>
      </c>
      <c r="J11" s="17" t="s">
        <v>122</v>
      </c>
      <c r="K11" s="16" t="str">
        <f t="shared" si="2"/>
        <v>152 (BANK SHINHAN INDONESIA d/h BANK METRO EXPRESS)</v>
      </c>
      <c r="L11" s="3"/>
      <c r="M11" s="28" t="s">
        <v>123</v>
      </c>
      <c r="N11" s="28" t="s">
        <v>124</v>
      </c>
      <c r="O11" s="28" t="s">
        <v>125</v>
      </c>
      <c r="P11" s="28" t="s">
        <v>125</v>
      </c>
      <c r="Q11" s="28" t="s">
        <v>126</v>
      </c>
      <c r="R11" s="28" t="s">
        <v>127</v>
      </c>
      <c r="S11" s="3"/>
      <c r="T11" s="18">
        <v>8</v>
      </c>
      <c r="U11" s="19">
        <v>810010</v>
      </c>
      <c r="V11" s="20" t="s">
        <v>128</v>
      </c>
      <c r="W11" s="20" t="s">
        <v>129</v>
      </c>
      <c r="X11" s="3"/>
      <c r="Y11" s="21" t="s">
        <v>130</v>
      </c>
      <c r="Z11" s="22" t="s">
        <v>131</v>
      </c>
      <c r="AA11" s="23" t="str">
        <f t="shared" si="3"/>
        <v>AQ Antarctica</v>
      </c>
    </row>
    <row r="12" spans="1:27" ht="12.75" customHeight="1" x14ac:dyDescent="0.35">
      <c r="A12" s="3"/>
      <c r="B12" s="2"/>
      <c r="C12" s="3"/>
      <c r="D12" s="3"/>
      <c r="E12" s="16" t="s">
        <v>132</v>
      </c>
      <c r="F12" s="24" t="s">
        <v>133</v>
      </c>
      <c r="G12" s="16" t="str">
        <f t="shared" si="1"/>
        <v>0112 (Kab. Sumedang)</v>
      </c>
      <c r="H12" s="3"/>
      <c r="I12" s="16" t="s">
        <v>134</v>
      </c>
      <c r="J12" s="17" t="s">
        <v>135</v>
      </c>
      <c r="K12" s="16" t="str">
        <f t="shared" si="2"/>
        <v>200 (BANK TABUNGAN NEGARA)</v>
      </c>
      <c r="L12" s="3"/>
      <c r="M12" s="28" t="s">
        <v>136</v>
      </c>
      <c r="N12" s="28" t="s">
        <v>137</v>
      </c>
      <c r="O12" s="28" t="s">
        <v>138</v>
      </c>
      <c r="P12" s="28" t="s">
        <v>138</v>
      </c>
      <c r="Q12" s="28" t="s">
        <v>139</v>
      </c>
      <c r="R12" s="28" t="s">
        <v>140</v>
      </c>
      <c r="S12" s="3"/>
      <c r="T12" s="18">
        <v>9</v>
      </c>
      <c r="U12" s="19">
        <v>810011</v>
      </c>
      <c r="V12" s="20" t="s">
        <v>141</v>
      </c>
      <c r="W12" s="20" t="s">
        <v>142</v>
      </c>
      <c r="X12" s="3"/>
      <c r="Y12" s="21" t="s">
        <v>143</v>
      </c>
      <c r="Z12" s="22" t="s">
        <v>144</v>
      </c>
      <c r="AA12" s="23" t="str">
        <f t="shared" si="3"/>
        <v>AG Antigua and Barbuda</v>
      </c>
    </row>
    <row r="13" spans="1:27" ht="12.75" customHeight="1" x14ac:dyDescent="0.35">
      <c r="A13" s="1" t="s">
        <v>145</v>
      </c>
      <c r="B13" s="2"/>
      <c r="C13" s="3"/>
      <c r="D13" s="3"/>
      <c r="E13" s="16" t="s">
        <v>146</v>
      </c>
      <c r="F13" s="24" t="s">
        <v>147</v>
      </c>
      <c r="G13" s="16" t="str">
        <f t="shared" si="1"/>
        <v>0113 (Kab. Tasikmalaya)</v>
      </c>
      <c r="H13" s="3"/>
      <c r="I13" s="16" t="s">
        <v>148</v>
      </c>
      <c r="J13" s="17" t="s">
        <v>149</v>
      </c>
      <c r="K13" s="16" t="str">
        <f t="shared" si="2"/>
        <v>213 (BANK TABUNGAN PENSIUNAN NASIONAL)</v>
      </c>
      <c r="L13" s="3"/>
      <c r="M13" s="28" t="s">
        <v>150</v>
      </c>
      <c r="N13" s="28" t="s">
        <v>151</v>
      </c>
      <c r="O13" s="28" t="s">
        <v>152</v>
      </c>
      <c r="P13" s="28" t="s">
        <v>152</v>
      </c>
      <c r="Q13" s="28" t="s">
        <v>153</v>
      </c>
      <c r="R13" s="28" t="s">
        <v>154</v>
      </c>
      <c r="S13" s="3"/>
      <c r="T13" s="18">
        <v>10</v>
      </c>
      <c r="U13" s="19">
        <v>810013</v>
      </c>
      <c r="V13" s="20" t="s">
        <v>155</v>
      </c>
      <c r="W13" s="20" t="s">
        <v>156</v>
      </c>
      <c r="X13" s="3"/>
      <c r="Y13" s="21" t="s">
        <v>157</v>
      </c>
      <c r="Z13" s="22" t="s">
        <v>158</v>
      </c>
      <c r="AA13" s="23" t="str">
        <f t="shared" si="3"/>
        <v>AR Argentina</v>
      </c>
    </row>
    <row r="14" spans="1:27" ht="12.75" customHeight="1" x14ac:dyDescent="0.35">
      <c r="A14" s="9" t="s">
        <v>159</v>
      </c>
      <c r="B14" s="9" t="s">
        <v>2</v>
      </c>
      <c r="C14" s="10" t="s">
        <v>3</v>
      </c>
      <c r="D14" s="3"/>
      <c r="E14" s="16" t="s">
        <v>160</v>
      </c>
      <c r="F14" s="24" t="s">
        <v>161</v>
      </c>
      <c r="G14" s="16" t="str">
        <f t="shared" si="1"/>
        <v>0114 (Kab. Garut)</v>
      </c>
      <c r="H14" s="3"/>
      <c r="I14" s="16" t="s">
        <v>162</v>
      </c>
      <c r="J14" s="17" t="s">
        <v>163</v>
      </c>
      <c r="K14" s="16" t="str">
        <f t="shared" si="2"/>
        <v>426 (BANK MEGA)</v>
      </c>
      <c r="L14" s="3"/>
      <c r="M14" s="28" t="s">
        <v>164</v>
      </c>
      <c r="N14" s="28" t="s">
        <v>165</v>
      </c>
      <c r="O14" s="28" t="s">
        <v>166</v>
      </c>
      <c r="P14" s="28" t="s">
        <v>166</v>
      </c>
      <c r="Q14" s="28" t="s">
        <v>167</v>
      </c>
      <c r="R14" s="28" t="s">
        <v>168</v>
      </c>
      <c r="S14" s="3"/>
      <c r="T14" s="18">
        <v>11</v>
      </c>
      <c r="U14" s="19">
        <v>810016</v>
      </c>
      <c r="V14" s="20" t="s">
        <v>169</v>
      </c>
      <c r="W14" s="20" t="s">
        <v>170</v>
      </c>
      <c r="X14" s="3"/>
      <c r="Y14" s="21" t="s">
        <v>171</v>
      </c>
      <c r="Z14" s="22" t="s">
        <v>172</v>
      </c>
      <c r="AA14" s="23" t="str">
        <f t="shared" si="3"/>
        <v>AM Armenia</v>
      </c>
    </row>
    <row r="15" spans="1:27" ht="12.75" customHeight="1" x14ac:dyDescent="0.35">
      <c r="A15" s="16" t="s">
        <v>173</v>
      </c>
      <c r="B15" s="15">
        <v>110</v>
      </c>
      <c r="C15" s="16" t="str">
        <f t="shared" ref="C15:C18" si="4">CONCATENATE(B15," (",A15,")")</f>
        <v>110 (Direktur Utama )</v>
      </c>
      <c r="D15" s="3"/>
      <c r="E15" s="16" t="s">
        <v>174</v>
      </c>
      <c r="F15" s="24" t="s">
        <v>175</v>
      </c>
      <c r="G15" s="16" t="str">
        <f t="shared" si="1"/>
        <v>0115 (Kab. Ciamis)</v>
      </c>
      <c r="H15" s="3"/>
      <c r="I15" s="16" t="s">
        <v>176</v>
      </c>
      <c r="J15" s="17" t="s">
        <v>177</v>
      </c>
      <c r="K15" s="16" t="str">
        <f t="shared" si="2"/>
        <v>441 (BANK BUKOPIN)</v>
      </c>
      <c r="L15" s="3"/>
      <c r="M15" s="28" t="s">
        <v>178</v>
      </c>
      <c r="N15" s="28" t="s">
        <v>179</v>
      </c>
      <c r="O15" s="28" t="s">
        <v>180</v>
      </c>
      <c r="P15" s="28" t="s">
        <v>180</v>
      </c>
      <c r="Q15" s="28" t="s">
        <v>181</v>
      </c>
      <c r="R15" s="28" t="s">
        <v>182</v>
      </c>
      <c r="S15" s="3"/>
      <c r="T15" s="18">
        <v>12</v>
      </c>
      <c r="U15" s="19">
        <v>810017</v>
      </c>
      <c r="V15" s="20" t="s">
        <v>183</v>
      </c>
      <c r="W15" s="20" t="s">
        <v>184</v>
      </c>
      <c r="X15" s="3"/>
      <c r="Y15" s="21" t="s">
        <v>185</v>
      </c>
      <c r="Z15" s="22" t="s">
        <v>186</v>
      </c>
      <c r="AA15" s="23" t="str">
        <f t="shared" si="3"/>
        <v>AW Aruba</v>
      </c>
    </row>
    <row r="16" spans="1:27" ht="12.75" customHeight="1" x14ac:dyDescent="0.35">
      <c r="A16" s="16" t="s">
        <v>187</v>
      </c>
      <c r="B16" s="15">
        <v>120</v>
      </c>
      <c r="C16" s="16" t="str">
        <f t="shared" si="4"/>
        <v>120 (Direktur )</v>
      </c>
      <c r="D16" s="3"/>
      <c r="E16" s="16" t="s">
        <v>188</v>
      </c>
      <c r="F16" s="24" t="s">
        <v>189</v>
      </c>
      <c r="G16" s="16" t="str">
        <f t="shared" si="1"/>
        <v>0116 (Kab. Cirebon)</v>
      </c>
      <c r="H16" s="3"/>
      <c r="I16" s="16" t="s">
        <v>190</v>
      </c>
      <c r="J16" s="17" t="s">
        <v>191</v>
      </c>
      <c r="K16" s="16" t="str">
        <f t="shared" si="2"/>
        <v>484 (BANK KEB HANA MERGER BANK KEB INDONESIA &amp; BANK HANA)</v>
      </c>
      <c r="L16" s="3"/>
      <c r="M16" s="28" t="s">
        <v>192</v>
      </c>
      <c r="N16" s="28" t="s">
        <v>193</v>
      </c>
      <c r="O16" s="28" t="s">
        <v>194</v>
      </c>
      <c r="P16" s="28" t="s">
        <v>194</v>
      </c>
      <c r="Q16" s="28" t="s">
        <v>195</v>
      </c>
      <c r="R16" s="28" t="s">
        <v>196</v>
      </c>
      <c r="S16" s="3"/>
      <c r="T16" s="18">
        <v>13</v>
      </c>
      <c r="U16" s="19">
        <v>810018</v>
      </c>
      <c r="V16" s="20" t="s">
        <v>197</v>
      </c>
      <c r="W16" s="20" t="s">
        <v>198</v>
      </c>
      <c r="X16" s="3"/>
      <c r="Y16" s="21" t="s">
        <v>199</v>
      </c>
      <c r="Z16" s="22" t="s">
        <v>200</v>
      </c>
      <c r="AA16" s="23" t="str">
        <f t="shared" si="3"/>
        <v>AU Australia</v>
      </c>
    </row>
    <row r="17" spans="1:27" ht="12.75" customHeight="1" x14ac:dyDescent="0.35">
      <c r="A17" s="16" t="s">
        <v>201</v>
      </c>
      <c r="B17" s="15">
        <v>210</v>
      </c>
      <c r="C17" s="16" t="str">
        <f t="shared" si="4"/>
        <v>210 (Komisaris Utama)</v>
      </c>
      <c r="D17" s="3"/>
      <c r="E17" s="16" t="s">
        <v>202</v>
      </c>
      <c r="F17" s="24" t="s">
        <v>203</v>
      </c>
      <c r="G17" s="16" t="str">
        <f t="shared" si="1"/>
        <v>0117 (Kab. Kuningan)</v>
      </c>
      <c r="H17" s="3"/>
      <c r="I17" s="16" t="s">
        <v>204</v>
      </c>
      <c r="J17" s="17" t="s">
        <v>205</v>
      </c>
      <c r="K17" s="16" t="str">
        <f t="shared" si="2"/>
        <v>490 (BANK YUDHA BAKTI)</v>
      </c>
      <c r="L17" s="3"/>
      <c r="M17" s="28" t="s">
        <v>206</v>
      </c>
      <c r="N17" s="28" t="s">
        <v>207</v>
      </c>
      <c r="O17" s="28" t="s">
        <v>208</v>
      </c>
      <c r="P17" s="28" t="s">
        <v>208</v>
      </c>
      <c r="Q17" s="28" t="s">
        <v>209</v>
      </c>
      <c r="R17" s="28" t="s">
        <v>210</v>
      </c>
      <c r="S17" s="3"/>
      <c r="T17" s="18">
        <v>14</v>
      </c>
      <c r="U17" s="19">
        <v>810022</v>
      </c>
      <c r="V17" s="20" t="s">
        <v>211</v>
      </c>
      <c r="W17" s="20" t="s">
        <v>212</v>
      </c>
      <c r="X17" s="3"/>
      <c r="Y17" s="21" t="s">
        <v>213</v>
      </c>
      <c r="Z17" s="22" t="s">
        <v>214</v>
      </c>
      <c r="AA17" s="23" t="str">
        <f t="shared" si="3"/>
        <v>AT Austria</v>
      </c>
    </row>
    <row r="18" spans="1:27" ht="12.75" customHeight="1" x14ac:dyDescent="0.35">
      <c r="A18" s="16" t="s">
        <v>215</v>
      </c>
      <c r="B18" s="15">
        <v>220</v>
      </c>
      <c r="C18" s="16" t="str">
        <f t="shared" si="4"/>
        <v>220 (Komisaris )</v>
      </c>
      <c r="D18" s="3"/>
      <c r="E18" s="16" t="s">
        <v>216</v>
      </c>
      <c r="F18" s="24" t="s">
        <v>217</v>
      </c>
      <c r="G18" s="16" t="str">
        <f t="shared" si="1"/>
        <v>0118 (Kab. Indramayu)</v>
      </c>
      <c r="H18" s="3"/>
      <c r="I18" s="16" t="s">
        <v>218</v>
      </c>
      <c r="J18" s="17" t="s">
        <v>219</v>
      </c>
      <c r="K18" s="16" t="str">
        <f t="shared" si="2"/>
        <v>494 (BANK BRI AGRONIAGA)</v>
      </c>
      <c r="L18" s="3"/>
      <c r="M18" s="28" t="s">
        <v>220</v>
      </c>
      <c r="N18" s="28" t="s">
        <v>221</v>
      </c>
      <c r="O18" s="28" t="s">
        <v>222</v>
      </c>
      <c r="P18" s="28" t="s">
        <v>222</v>
      </c>
      <c r="Q18" s="28" t="s">
        <v>223</v>
      </c>
      <c r="R18" s="28" t="s">
        <v>224</v>
      </c>
      <c r="S18" s="3"/>
      <c r="T18" s="18">
        <v>15</v>
      </c>
      <c r="U18" s="19">
        <v>810024</v>
      </c>
      <c r="V18" s="20" t="s">
        <v>225</v>
      </c>
      <c r="W18" s="20" t="s">
        <v>226</v>
      </c>
      <c r="X18" s="3"/>
      <c r="Y18" s="21" t="s">
        <v>227</v>
      </c>
      <c r="Z18" s="22" t="s">
        <v>228</v>
      </c>
      <c r="AA18" s="23" t="str">
        <f t="shared" si="3"/>
        <v>AZ Azerbaijan</v>
      </c>
    </row>
    <row r="19" spans="1:27" ht="12.75" customHeight="1" x14ac:dyDescent="0.35">
      <c r="A19" s="3"/>
      <c r="B19" s="2"/>
      <c r="C19" s="3"/>
      <c r="D19" s="3"/>
      <c r="E19" s="16" t="s">
        <v>229</v>
      </c>
      <c r="F19" s="24" t="s">
        <v>230</v>
      </c>
      <c r="G19" s="16" t="str">
        <f t="shared" si="1"/>
        <v>0119 (Kab. Majalengka)</v>
      </c>
      <c r="H19" s="3"/>
      <c r="I19" s="16" t="s">
        <v>231</v>
      </c>
      <c r="J19" s="17" t="s">
        <v>232</v>
      </c>
      <c r="K19" s="16" t="str">
        <f t="shared" si="2"/>
        <v>503 (BANK NATIONALNOBU)</v>
      </c>
      <c r="L19" s="3"/>
      <c r="M19" s="28" t="s">
        <v>233</v>
      </c>
      <c r="N19" s="28" t="s">
        <v>234</v>
      </c>
      <c r="O19" s="28" t="s">
        <v>235</v>
      </c>
      <c r="P19" s="28" t="s">
        <v>235</v>
      </c>
      <c r="Q19" s="28" t="s">
        <v>236</v>
      </c>
      <c r="R19" s="28" t="s">
        <v>237</v>
      </c>
      <c r="S19" s="3"/>
      <c r="T19" s="18">
        <v>16</v>
      </c>
      <c r="U19" s="19">
        <v>810025</v>
      </c>
      <c r="V19" s="20" t="s">
        <v>238</v>
      </c>
      <c r="W19" s="20" t="s">
        <v>239</v>
      </c>
      <c r="X19" s="3"/>
      <c r="Y19" s="21" t="s">
        <v>240</v>
      </c>
      <c r="Z19" s="22" t="s">
        <v>241</v>
      </c>
      <c r="AA19" s="23" t="str">
        <f t="shared" si="3"/>
        <v>BS Bahamas (the)</v>
      </c>
    </row>
    <row r="20" spans="1:27" ht="12.75" customHeight="1" x14ac:dyDescent="0.35">
      <c r="A20" s="1" t="s">
        <v>145</v>
      </c>
      <c r="B20" s="2"/>
      <c r="C20" s="3"/>
      <c r="D20" s="3"/>
      <c r="E20" s="16" t="s">
        <v>242</v>
      </c>
      <c r="F20" s="24" t="s">
        <v>243</v>
      </c>
      <c r="G20" s="16" t="str">
        <f t="shared" si="1"/>
        <v>0120 (Kab. Subang)</v>
      </c>
      <c r="H20" s="3"/>
      <c r="I20" s="16" t="s">
        <v>244</v>
      </c>
      <c r="J20" s="17" t="s">
        <v>245</v>
      </c>
      <c r="K20" s="16" t="str">
        <f t="shared" si="2"/>
        <v>513 (BANK INA PERDANA)</v>
      </c>
      <c r="L20" s="3"/>
      <c r="M20" s="28" t="s">
        <v>246</v>
      </c>
      <c r="N20" s="28" t="s">
        <v>247</v>
      </c>
      <c r="O20" s="28" t="s">
        <v>248</v>
      </c>
      <c r="P20" s="28" t="s">
        <v>248</v>
      </c>
      <c r="Q20" s="28" t="s">
        <v>249</v>
      </c>
      <c r="R20" s="28" t="s">
        <v>250</v>
      </c>
      <c r="S20" s="3"/>
      <c r="T20" s="18">
        <v>17</v>
      </c>
      <c r="U20" s="19">
        <v>810027</v>
      </c>
      <c r="V20" s="20" t="s">
        <v>251</v>
      </c>
      <c r="W20" s="20" t="s">
        <v>252</v>
      </c>
      <c r="X20" s="3"/>
      <c r="Y20" s="21" t="s">
        <v>253</v>
      </c>
      <c r="Z20" s="22" t="s">
        <v>254</v>
      </c>
      <c r="AA20" s="23" t="str">
        <f t="shared" si="3"/>
        <v>BH Bahrain</v>
      </c>
    </row>
    <row r="21" spans="1:27" ht="12.75" customHeight="1" x14ac:dyDescent="0.35">
      <c r="A21" s="9" t="s">
        <v>255</v>
      </c>
      <c r="B21" s="9" t="s">
        <v>2</v>
      </c>
      <c r="C21" s="10" t="s">
        <v>3</v>
      </c>
      <c r="D21" s="3"/>
      <c r="E21" s="16" t="s">
        <v>256</v>
      </c>
      <c r="F21" s="24" t="s">
        <v>257</v>
      </c>
      <c r="G21" s="16" t="str">
        <f t="shared" si="1"/>
        <v>0121 (Kab. Bandung Barat)</v>
      </c>
      <c r="H21" s="3"/>
      <c r="I21" s="16" t="s">
        <v>258</v>
      </c>
      <c r="J21" s="17" t="s">
        <v>259</v>
      </c>
      <c r="K21" s="16" t="str">
        <f t="shared" si="2"/>
        <v>526 (BANK DINAR d/h BANK LIMAN INTERNASIONAL)</v>
      </c>
      <c r="L21" s="3"/>
      <c r="M21" s="28" t="s">
        <v>260</v>
      </c>
      <c r="N21" s="28" t="s">
        <v>261</v>
      </c>
      <c r="O21" s="28" t="s">
        <v>262</v>
      </c>
      <c r="P21" s="28" t="s">
        <v>262</v>
      </c>
      <c r="Q21" s="28" t="s">
        <v>263</v>
      </c>
      <c r="R21" s="28" t="s">
        <v>264</v>
      </c>
      <c r="S21" s="3"/>
      <c r="T21" s="18">
        <v>18</v>
      </c>
      <c r="U21" s="19">
        <v>810028</v>
      </c>
      <c r="V21" s="20" t="s">
        <v>265</v>
      </c>
      <c r="W21" s="20" t="s">
        <v>266</v>
      </c>
      <c r="X21" s="3"/>
      <c r="Y21" s="21" t="s">
        <v>267</v>
      </c>
      <c r="Z21" s="22" t="s">
        <v>268</v>
      </c>
      <c r="AA21" s="23" t="str">
        <f t="shared" si="3"/>
        <v>BD Bangladesh</v>
      </c>
    </row>
    <row r="22" spans="1:27" ht="12.75" customHeight="1" x14ac:dyDescent="0.35">
      <c r="A22" s="16" t="s">
        <v>269</v>
      </c>
      <c r="B22" s="24" t="s">
        <v>10</v>
      </c>
      <c r="C22" s="16" t="str">
        <f t="shared" ref="C22:C27" si="5">CONCATENATE(B22," (",A22,")")</f>
        <v>01 (S3)</v>
      </c>
      <c r="D22" s="3"/>
      <c r="E22" s="16" t="s">
        <v>270</v>
      </c>
      <c r="F22" s="24" t="s">
        <v>271</v>
      </c>
      <c r="G22" s="16" t="str">
        <f t="shared" si="1"/>
        <v>0191 (Kota Bandung)</v>
      </c>
      <c r="H22" s="3"/>
      <c r="I22" s="16" t="s">
        <v>272</v>
      </c>
      <c r="J22" s="17" t="s">
        <v>273</v>
      </c>
      <c r="K22" s="16" t="str">
        <f t="shared" si="2"/>
        <v>558 (PT BPD BANTEN, TBK d/h BANK PUNDI INDONESIA)</v>
      </c>
      <c r="L22" s="3"/>
      <c r="M22" s="28" t="s">
        <v>274</v>
      </c>
      <c r="N22" s="28" t="s">
        <v>275</v>
      </c>
      <c r="O22" s="28" t="s">
        <v>276</v>
      </c>
      <c r="P22" s="28"/>
      <c r="Q22" s="28"/>
      <c r="R22" s="28"/>
      <c r="S22" s="3"/>
      <c r="T22" s="18">
        <v>19</v>
      </c>
      <c r="U22" s="19">
        <v>810029</v>
      </c>
      <c r="V22" s="20" t="s">
        <v>277</v>
      </c>
      <c r="W22" s="20" t="s">
        <v>278</v>
      </c>
      <c r="X22" s="3"/>
      <c r="Y22" s="21" t="s">
        <v>208</v>
      </c>
      <c r="Z22" s="22" t="s">
        <v>279</v>
      </c>
      <c r="AA22" s="23" t="str">
        <f t="shared" si="3"/>
        <v>BB Barbados</v>
      </c>
    </row>
    <row r="23" spans="1:27" ht="12.75" customHeight="1" x14ac:dyDescent="0.35">
      <c r="A23" s="16" t="s">
        <v>280</v>
      </c>
      <c r="B23" s="24" t="s">
        <v>27</v>
      </c>
      <c r="C23" s="16" t="str">
        <f t="shared" si="5"/>
        <v>02 (S2)</v>
      </c>
      <c r="D23" s="3"/>
      <c r="E23" s="16" t="s">
        <v>281</v>
      </c>
      <c r="F23" s="24" t="s">
        <v>282</v>
      </c>
      <c r="G23" s="16" t="str">
        <f t="shared" si="1"/>
        <v>0192 (Kota Bogor)</v>
      </c>
      <c r="H23" s="3"/>
      <c r="I23" s="16" t="s">
        <v>283</v>
      </c>
      <c r="J23" s="17" t="s">
        <v>284</v>
      </c>
      <c r="K23" s="16" t="str">
        <f t="shared" si="2"/>
        <v>011 (BANK DANAMON)</v>
      </c>
      <c r="L23" s="3"/>
      <c r="M23" s="28" t="s">
        <v>285</v>
      </c>
      <c r="N23" s="28" t="s">
        <v>286</v>
      </c>
      <c r="O23" s="28" t="s">
        <v>287</v>
      </c>
      <c r="P23" s="28" t="s">
        <v>287</v>
      </c>
      <c r="Q23" s="28" t="s">
        <v>288</v>
      </c>
      <c r="R23" s="28" t="s">
        <v>289</v>
      </c>
      <c r="S23" s="3"/>
      <c r="T23" s="18">
        <v>20</v>
      </c>
      <c r="U23" s="19">
        <v>810030</v>
      </c>
      <c r="V23" s="20" t="s">
        <v>290</v>
      </c>
      <c r="W23" s="20" t="s">
        <v>291</v>
      </c>
      <c r="X23" s="3"/>
      <c r="Y23" s="21" t="s">
        <v>292</v>
      </c>
      <c r="Z23" s="22" t="s">
        <v>293</v>
      </c>
      <c r="AA23" s="23" t="str">
        <f t="shared" si="3"/>
        <v>BY Belarus</v>
      </c>
    </row>
    <row r="24" spans="1:27" ht="12.75" customHeight="1" x14ac:dyDescent="0.35">
      <c r="A24" s="16" t="s">
        <v>294</v>
      </c>
      <c r="B24" s="24" t="s">
        <v>41</v>
      </c>
      <c r="C24" s="16" t="str">
        <f t="shared" si="5"/>
        <v>03 (S1)</v>
      </c>
      <c r="D24" s="3"/>
      <c r="E24" s="16" t="s">
        <v>295</v>
      </c>
      <c r="F24" s="24" t="s">
        <v>296</v>
      </c>
      <c r="G24" s="16" t="str">
        <f t="shared" si="1"/>
        <v>0193 (Kota Sukabumi)</v>
      </c>
      <c r="H24" s="3"/>
      <c r="I24" s="16" t="s">
        <v>297</v>
      </c>
      <c r="J24" s="17" t="s">
        <v>298</v>
      </c>
      <c r="K24" s="16" t="str">
        <f t="shared" si="2"/>
        <v>016 (BANK MAYBANK INDONESIA d/h BANK INTERNASIONAL INDONESIA)</v>
      </c>
      <c r="L24" s="3"/>
      <c r="M24" s="28" t="s">
        <v>299</v>
      </c>
      <c r="N24" s="28" t="s">
        <v>300</v>
      </c>
      <c r="O24" s="28" t="s">
        <v>301</v>
      </c>
      <c r="P24" s="28"/>
      <c r="Q24" s="28"/>
      <c r="R24" s="28"/>
      <c r="S24" s="3"/>
      <c r="T24" s="18">
        <v>21</v>
      </c>
      <c r="U24" s="19">
        <v>810031</v>
      </c>
      <c r="V24" s="20" t="s">
        <v>302</v>
      </c>
      <c r="W24" s="20" t="s">
        <v>303</v>
      </c>
      <c r="X24" s="3"/>
      <c r="Y24" s="21" t="s">
        <v>304</v>
      </c>
      <c r="Z24" s="22" t="s">
        <v>305</v>
      </c>
      <c r="AA24" s="23" t="str">
        <f t="shared" si="3"/>
        <v>BE Belgium</v>
      </c>
    </row>
    <row r="25" spans="1:27" ht="12.75" customHeight="1" x14ac:dyDescent="0.35">
      <c r="A25" s="16" t="s">
        <v>306</v>
      </c>
      <c r="B25" s="24" t="s">
        <v>52</v>
      </c>
      <c r="C25" s="16" t="str">
        <f t="shared" si="5"/>
        <v>04 (D3)</v>
      </c>
      <c r="D25" s="3">
        <v>201</v>
      </c>
      <c r="E25" s="16" t="s">
        <v>307</v>
      </c>
      <c r="F25" s="24" t="s">
        <v>308</v>
      </c>
      <c r="G25" s="16" t="str">
        <f t="shared" si="1"/>
        <v>0194 (Kota Cirebon)</v>
      </c>
      <c r="H25" s="3"/>
      <c r="I25" s="16" t="s">
        <v>309</v>
      </c>
      <c r="J25" s="17" t="s">
        <v>310</v>
      </c>
      <c r="K25" s="16" t="str">
        <f t="shared" si="2"/>
        <v>023 (BANK UOB INDONESIA)</v>
      </c>
      <c r="L25" s="3"/>
      <c r="M25" s="28" t="s">
        <v>311</v>
      </c>
      <c r="N25" s="28" t="s">
        <v>312</v>
      </c>
      <c r="O25" s="28" t="s">
        <v>313</v>
      </c>
      <c r="P25" s="28" t="s">
        <v>313</v>
      </c>
      <c r="Q25" s="28"/>
      <c r="R25" s="28" t="s">
        <v>314</v>
      </c>
      <c r="S25" s="3"/>
      <c r="T25" s="18">
        <v>22</v>
      </c>
      <c r="U25" s="19">
        <v>810033</v>
      </c>
      <c r="V25" s="20" t="s">
        <v>315</v>
      </c>
      <c r="W25" s="20" t="s">
        <v>316</v>
      </c>
      <c r="X25" s="3"/>
      <c r="Y25" s="21" t="s">
        <v>317</v>
      </c>
      <c r="Z25" s="22" t="s">
        <v>318</v>
      </c>
      <c r="AA25" s="23" t="str">
        <f t="shared" si="3"/>
        <v>BZ Belize</v>
      </c>
    </row>
    <row r="26" spans="1:27" ht="12.75" customHeight="1" x14ac:dyDescent="0.35">
      <c r="A26" s="16" t="s">
        <v>319</v>
      </c>
      <c r="B26" s="24" t="s">
        <v>109</v>
      </c>
      <c r="C26" s="16" t="str">
        <f t="shared" si="5"/>
        <v>05 (SLTA)</v>
      </c>
      <c r="D26" s="3"/>
      <c r="E26" s="16" t="s">
        <v>320</v>
      </c>
      <c r="F26" s="24" t="s">
        <v>321</v>
      </c>
      <c r="G26" s="16" t="str">
        <f t="shared" si="1"/>
        <v>0195 (Kota Tasikmalaya)</v>
      </c>
      <c r="H26" s="3"/>
      <c r="I26" s="16" t="s">
        <v>322</v>
      </c>
      <c r="J26" s="17" t="s">
        <v>323</v>
      </c>
      <c r="K26" s="16" t="str">
        <f t="shared" si="2"/>
        <v>028 (BANK OCBC NISP)</v>
      </c>
      <c r="L26" s="3"/>
      <c r="M26" s="28" t="s">
        <v>324</v>
      </c>
      <c r="N26" s="28" t="s">
        <v>325</v>
      </c>
      <c r="O26" s="28" t="s">
        <v>325</v>
      </c>
      <c r="P26" s="28" t="s">
        <v>313</v>
      </c>
      <c r="Q26" s="28"/>
      <c r="R26" s="28" t="s">
        <v>326</v>
      </c>
      <c r="S26" s="3"/>
      <c r="T26" s="18">
        <v>23</v>
      </c>
      <c r="U26" s="19">
        <v>810036</v>
      </c>
      <c r="V26" s="20" t="s">
        <v>327</v>
      </c>
      <c r="W26" s="20" t="s">
        <v>328</v>
      </c>
      <c r="X26" s="3"/>
      <c r="Y26" s="21" t="s">
        <v>329</v>
      </c>
      <c r="Z26" s="22" t="s">
        <v>330</v>
      </c>
      <c r="AA26" s="23" t="str">
        <f t="shared" si="3"/>
        <v>BJ Benin</v>
      </c>
    </row>
    <row r="27" spans="1:27" ht="12.75" customHeight="1" x14ac:dyDescent="0.35">
      <c r="A27" s="16" t="s">
        <v>331</v>
      </c>
      <c r="B27" s="15">
        <v>99</v>
      </c>
      <c r="C27" s="16" t="str">
        <f t="shared" si="5"/>
        <v>99 (Lainnya)</v>
      </c>
      <c r="D27" s="3"/>
      <c r="E27" s="16" t="s">
        <v>332</v>
      </c>
      <c r="F27" s="24" t="s">
        <v>333</v>
      </c>
      <c r="G27" s="16" t="str">
        <f t="shared" si="1"/>
        <v>0196 (Kota Cimahi)</v>
      </c>
      <c r="H27" s="3"/>
      <c r="I27" s="16" t="s">
        <v>334</v>
      </c>
      <c r="J27" s="17" t="s">
        <v>335</v>
      </c>
      <c r="K27" s="16" t="str">
        <f t="shared" si="2"/>
        <v>031 (CITIBANK)</v>
      </c>
      <c r="L27" s="3"/>
      <c r="M27" s="28" t="s">
        <v>336</v>
      </c>
      <c r="N27" s="28"/>
      <c r="O27" s="28" t="s">
        <v>337</v>
      </c>
      <c r="P27" s="28" t="s">
        <v>338</v>
      </c>
      <c r="Q27" s="28" t="s">
        <v>339</v>
      </c>
      <c r="R27" s="28" t="s">
        <v>340</v>
      </c>
      <c r="S27" s="3"/>
      <c r="T27" s="18">
        <v>24</v>
      </c>
      <c r="U27" s="19">
        <v>810038</v>
      </c>
      <c r="V27" s="20" t="s">
        <v>341</v>
      </c>
      <c r="W27" s="20" t="s">
        <v>342</v>
      </c>
      <c r="X27" s="3"/>
      <c r="Y27" s="21" t="s">
        <v>343</v>
      </c>
      <c r="Z27" s="22" t="s">
        <v>344</v>
      </c>
      <c r="AA27" s="23" t="str">
        <f t="shared" si="3"/>
        <v>BM Bermuda</v>
      </c>
    </row>
    <row r="28" spans="1:27" ht="12.75" customHeight="1" x14ac:dyDescent="0.35">
      <c r="A28" s="3"/>
      <c r="B28" s="2"/>
      <c r="C28" s="3"/>
      <c r="D28" s="3"/>
      <c r="E28" s="16" t="s">
        <v>345</v>
      </c>
      <c r="F28" s="24" t="s">
        <v>346</v>
      </c>
      <c r="G28" s="16" t="str">
        <f t="shared" si="1"/>
        <v>0197 (Kota Depok)</v>
      </c>
      <c r="H28" s="3"/>
      <c r="I28" s="16" t="s">
        <v>347</v>
      </c>
      <c r="J28" s="17" t="s">
        <v>348</v>
      </c>
      <c r="K28" s="16" t="str">
        <f t="shared" si="2"/>
        <v>032 (JP MORGAN CHASE BANK N.A)</v>
      </c>
      <c r="L28" s="3"/>
      <c r="M28" s="186"/>
      <c r="N28" s="403" t="s">
        <v>349</v>
      </c>
      <c r="O28" s="404"/>
      <c r="P28" s="404"/>
      <c r="Q28" s="404"/>
      <c r="R28" s="405"/>
      <c r="S28" s="3"/>
      <c r="T28" s="18">
        <v>25</v>
      </c>
      <c r="U28" s="19">
        <v>810039</v>
      </c>
      <c r="V28" s="20" t="s">
        <v>350</v>
      </c>
      <c r="W28" s="20" t="s">
        <v>351</v>
      </c>
      <c r="X28" s="3"/>
      <c r="Y28" s="21" t="s">
        <v>352</v>
      </c>
      <c r="Z28" s="22" t="s">
        <v>353</v>
      </c>
      <c r="AA28" s="23" t="str">
        <f t="shared" si="3"/>
        <v>BT Bhutan</v>
      </c>
    </row>
    <row r="29" spans="1:27" ht="12.75" customHeight="1" x14ac:dyDescent="0.35">
      <c r="A29" s="1" t="s">
        <v>145</v>
      </c>
      <c r="B29" s="2"/>
      <c r="C29" s="3"/>
      <c r="D29" s="3"/>
      <c r="E29" s="16" t="s">
        <v>354</v>
      </c>
      <c r="F29" s="24" t="s">
        <v>355</v>
      </c>
      <c r="G29" s="16" t="str">
        <f t="shared" si="1"/>
        <v>0198 (Kota Bekasi)</v>
      </c>
      <c r="H29" s="3"/>
      <c r="I29" s="16" t="s">
        <v>356</v>
      </c>
      <c r="J29" s="17" t="s">
        <v>357</v>
      </c>
      <c r="K29" s="16" t="str">
        <f t="shared" si="2"/>
        <v>033 (BANK OF AMERICA)</v>
      </c>
      <c r="L29" s="3"/>
      <c r="M29" s="28">
        <v>61</v>
      </c>
      <c r="N29" s="28" t="s">
        <v>358</v>
      </c>
      <c r="O29" s="28"/>
      <c r="P29" s="28" t="s">
        <v>359</v>
      </c>
      <c r="Q29" s="28"/>
      <c r="R29" s="28" t="s">
        <v>360</v>
      </c>
      <c r="S29" s="3"/>
      <c r="T29" s="18">
        <v>26</v>
      </c>
      <c r="U29" s="19">
        <v>810040</v>
      </c>
      <c r="V29" s="20" t="s">
        <v>361</v>
      </c>
      <c r="W29" s="20" t="s">
        <v>362</v>
      </c>
      <c r="X29" s="3"/>
      <c r="Y29" s="21" t="s">
        <v>363</v>
      </c>
      <c r="Z29" s="22" t="s">
        <v>364</v>
      </c>
      <c r="AA29" s="23" t="str">
        <f t="shared" si="3"/>
        <v>BO Bolivia (Plurinational State of)</v>
      </c>
    </row>
    <row r="30" spans="1:27" ht="12.75" customHeight="1" x14ac:dyDescent="0.35">
      <c r="A30" s="9" t="s">
        <v>365</v>
      </c>
      <c r="B30" s="9" t="s">
        <v>2</v>
      </c>
      <c r="C30" s="10" t="s">
        <v>3</v>
      </c>
      <c r="D30" s="3"/>
      <c r="E30" s="16" t="s">
        <v>366</v>
      </c>
      <c r="F30" s="24" t="s">
        <v>367</v>
      </c>
      <c r="G30" s="16" t="str">
        <f t="shared" si="1"/>
        <v>0180 (Kota Banjar)</v>
      </c>
      <c r="H30" s="3"/>
      <c r="I30" s="16" t="s">
        <v>368</v>
      </c>
      <c r="J30" s="17" t="s">
        <v>369</v>
      </c>
      <c r="K30" s="16" t="str">
        <f t="shared" si="2"/>
        <v>036 (BANK WINDU KENTJANA INTERNASIONAL)</v>
      </c>
      <c r="L30" s="3"/>
      <c r="M30" s="28">
        <v>62</v>
      </c>
      <c r="N30" s="28" t="s">
        <v>370</v>
      </c>
      <c r="O30" s="28" t="s">
        <v>371</v>
      </c>
      <c r="P30" s="28" t="s">
        <v>372</v>
      </c>
      <c r="Q30" s="28" t="s">
        <v>373</v>
      </c>
      <c r="R30" s="28" t="s">
        <v>374</v>
      </c>
      <c r="S30" s="3"/>
      <c r="T30" s="18">
        <v>27</v>
      </c>
      <c r="U30" s="19">
        <v>810044</v>
      </c>
      <c r="V30" s="20" t="s">
        <v>375</v>
      </c>
      <c r="W30" s="20" t="s">
        <v>376</v>
      </c>
      <c r="X30" s="3"/>
      <c r="Y30" s="21" t="s">
        <v>377</v>
      </c>
      <c r="Z30" s="22" t="s">
        <v>378</v>
      </c>
      <c r="AA30" s="23" t="str">
        <f t="shared" si="3"/>
        <v>BA Bosnia and Herzegovina</v>
      </c>
    </row>
    <row r="31" spans="1:27" ht="12.75" customHeight="1" x14ac:dyDescent="0.35">
      <c r="A31" s="16" t="s">
        <v>379</v>
      </c>
      <c r="B31" s="24" t="s">
        <v>380</v>
      </c>
      <c r="C31" s="16" t="str">
        <f t="shared" ref="C31:C33" si="6">CONCATENATE(B31," (",A31,")")</f>
        <v>00 (Tidak Menjabat )</v>
      </c>
      <c r="D31" s="3"/>
      <c r="E31" s="16" t="s">
        <v>381</v>
      </c>
      <c r="F31" s="24" t="s">
        <v>382</v>
      </c>
      <c r="G31" s="16" t="str">
        <f t="shared" si="1"/>
        <v>0188 (Kab./Kota Lainnya)</v>
      </c>
      <c r="H31" s="3"/>
      <c r="I31" s="16" t="s">
        <v>383</v>
      </c>
      <c r="J31" s="17" t="s">
        <v>384</v>
      </c>
      <c r="K31" s="16" t="str">
        <f t="shared" si="2"/>
        <v>040 (BANGKOK BANK)</v>
      </c>
      <c r="L31" s="3"/>
      <c r="M31" s="28">
        <v>63</v>
      </c>
      <c r="N31" s="28" t="s">
        <v>385</v>
      </c>
      <c r="O31" s="28" t="s">
        <v>386</v>
      </c>
      <c r="P31" s="28" t="s">
        <v>387</v>
      </c>
      <c r="Q31" s="28" t="s">
        <v>388</v>
      </c>
      <c r="R31" s="28" t="s">
        <v>389</v>
      </c>
      <c r="S31" s="3"/>
      <c r="T31" s="18">
        <v>28</v>
      </c>
      <c r="U31" s="19">
        <v>810045</v>
      </c>
      <c r="V31" s="20" t="s">
        <v>390</v>
      </c>
      <c r="W31" s="20" t="s">
        <v>391</v>
      </c>
      <c r="X31" s="3"/>
      <c r="Y31" s="21" t="s">
        <v>392</v>
      </c>
      <c r="Z31" s="22" t="s">
        <v>393</v>
      </c>
      <c r="AA31" s="23" t="str">
        <f t="shared" si="3"/>
        <v>BW Botswana</v>
      </c>
    </row>
    <row r="32" spans="1:27" ht="12.75" customHeight="1" x14ac:dyDescent="0.35">
      <c r="A32" s="16" t="s">
        <v>394</v>
      </c>
      <c r="B32" s="24" t="s">
        <v>10</v>
      </c>
      <c r="C32" s="16" t="str">
        <f t="shared" si="6"/>
        <v>01 (Ketua )</v>
      </c>
      <c r="D32" s="3"/>
      <c r="E32" s="14" t="s">
        <v>395</v>
      </c>
      <c r="F32" s="15"/>
      <c r="G32" s="16" t="str">
        <f t="shared" si="1"/>
        <v>---- (Provinsi Banten)</v>
      </c>
      <c r="H32" s="3"/>
      <c r="I32" s="16" t="s">
        <v>396</v>
      </c>
      <c r="J32" s="17" t="s">
        <v>397</v>
      </c>
      <c r="K32" s="16" t="str">
        <f t="shared" si="2"/>
        <v>041 (HSBC)</v>
      </c>
      <c r="L32" s="3"/>
      <c r="M32" s="28">
        <v>64</v>
      </c>
      <c r="N32" s="28" t="s">
        <v>398</v>
      </c>
      <c r="O32" s="28" t="s">
        <v>399</v>
      </c>
      <c r="P32" s="28" t="s">
        <v>400</v>
      </c>
      <c r="Q32" s="28" t="s">
        <v>401</v>
      </c>
      <c r="R32" s="28" t="s">
        <v>402</v>
      </c>
      <c r="S32" s="3"/>
      <c r="T32" s="18">
        <v>29</v>
      </c>
      <c r="U32" s="19">
        <v>810047</v>
      </c>
      <c r="V32" s="20" t="s">
        <v>403</v>
      </c>
      <c r="W32" s="20" t="s">
        <v>404</v>
      </c>
      <c r="X32" s="3"/>
      <c r="Y32" s="21" t="s">
        <v>405</v>
      </c>
      <c r="Z32" s="22" t="s">
        <v>406</v>
      </c>
      <c r="AA32" s="23" t="str">
        <f t="shared" si="3"/>
        <v>BV Bouvet Island</v>
      </c>
    </row>
    <row r="33" spans="1:27" ht="12.75" customHeight="1" x14ac:dyDescent="0.35">
      <c r="A33" s="16" t="s">
        <v>407</v>
      </c>
      <c r="B33" s="24" t="s">
        <v>27</v>
      </c>
      <c r="C33" s="16" t="str">
        <f t="shared" si="6"/>
        <v>02 (Anggota )</v>
      </c>
      <c r="D33" s="3"/>
      <c r="E33" s="16" t="s">
        <v>408</v>
      </c>
      <c r="F33" s="24" t="s">
        <v>409</v>
      </c>
      <c r="G33" s="16" t="str">
        <f t="shared" si="1"/>
        <v>0201 (Kab. Lebak)</v>
      </c>
      <c r="H33" s="3"/>
      <c r="I33" s="16" t="s">
        <v>410</v>
      </c>
      <c r="J33" s="17" t="s">
        <v>411</v>
      </c>
      <c r="K33" s="16" t="str">
        <f t="shared" si="2"/>
        <v>042 (THE BANK OF TOKYO MITSUBISHI UFJ)</v>
      </c>
      <c r="L33" s="3"/>
      <c r="M33" s="28">
        <v>65</v>
      </c>
      <c r="N33" s="28"/>
      <c r="O33" s="28" t="s">
        <v>412</v>
      </c>
      <c r="P33" s="28" t="s">
        <v>248</v>
      </c>
      <c r="Q33" s="28" t="s">
        <v>413</v>
      </c>
      <c r="R33" s="28" t="s">
        <v>250</v>
      </c>
      <c r="S33" s="3"/>
      <c r="T33" s="18">
        <v>30</v>
      </c>
      <c r="U33" s="19">
        <v>810048</v>
      </c>
      <c r="V33" s="20" t="s">
        <v>414</v>
      </c>
      <c r="W33" s="20" t="s">
        <v>415</v>
      </c>
      <c r="X33" s="3"/>
      <c r="Y33" s="21" t="s">
        <v>416</v>
      </c>
      <c r="Z33" s="22" t="s">
        <v>417</v>
      </c>
      <c r="AA33" s="23" t="str">
        <f t="shared" si="3"/>
        <v>BR Brazil</v>
      </c>
    </row>
    <row r="34" spans="1:27" ht="12.75" customHeight="1" x14ac:dyDescent="0.35">
      <c r="A34" s="3"/>
      <c r="B34" s="2"/>
      <c r="C34" s="3"/>
      <c r="D34" s="3"/>
      <c r="E34" s="16" t="s">
        <v>418</v>
      </c>
      <c r="F34" s="24" t="s">
        <v>419</v>
      </c>
      <c r="G34" s="16" t="str">
        <f t="shared" si="1"/>
        <v>0202 (Kab. Pandeglang)</v>
      </c>
      <c r="H34" s="3"/>
      <c r="I34" s="16" t="s">
        <v>420</v>
      </c>
      <c r="J34" s="17" t="s">
        <v>421</v>
      </c>
      <c r="K34" s="16" t="str">
        <f t="shared" si="2"/>
        <v>045 (BANK SUMITOMO MITSUI INDONESIA)</v>
      </c>
      <c r="L34" s="3"/>
      <c r="M34" s="28">
        <v>66</v>
      </c>
      <c r="N34" s="28"/>
      <c r="O34" s="28" t="s">
        <v>422</v>
      </c>
      <c r="P34" s="28" t="s">
        <v>325</v>
      </c>
      <c r="Q34" s="28" t="s">
        <v>249</v>
      </c>
      <c r="R34" s="28" t="s">
        <v>326</v>
      </c>
      <c r="S34" s="3"/>
      <c r="T34" s="18">
        <v>31</v>
      </c>
      <c r="U34" s="19">
        <v>810049</v>
      </c>
      <c r="V34" s="20" t="s">
        <v>423</v>
      </c>
      <c r="W34" s="20" t="s">
        <v>424</v>
      </c>
      <c r="X34" s="3"/>
      <c r="Y34" s="21" t="s">
        <v>425</v>
      </c>
      <c r="Z34" s="22" t="s">
        <v>426</v>
      </c>
      <c r="AA34" s="23" t="str">
        <f t="shared" si="3"/>
        <v>IO British Indian Ocean Territory (the)</v>
      </c>
    </row>
    <row r="35" spans="1:27" ht="12.75" customHeight="1" x14ac:dyDescent="0.35">
      <c r="A35" s="1" t="s">
        <v>427</v>
      </c>
      <c r="B35" s="2"/>
      <c r="C35" s="3"/>
      <c r="D35" s="3"/>
      <c r="E35" s="16" t="s">
        <v>428</v>
      </c>
      <c r="F35" s="24" t="s">
        <v>429</v>
      </c>
      <c r="G35" s="16" t="str">
        <f t="shared" si="1"/>
        <v>0203 (Kab. Serang)</v>
      </c>
      <c r="H35" s="3"/>
      <c r="I35" s="16" t="s">
        <v>430</v>
      </c>
      <c r="J35" s="17" t="s">
        <v>431</v>
      </c>
      <c r="K35" s="16" t="str">
        <f t="shared" si="2"/>
        <v>046 (BANK DBS INDONESIA)</v>
      </c>
      <c r="L35" s="3"/>
      <c r="M35" s="28">
        <v>67</v>
      </c>
      <c r="N35" s="28"/>
      <c r="O35" s="28" t="s">
        <v>432</v>
      </c>
      <c r="P35" s="28" t="s">
        <v>337</v>
      </c>
      <c r="Q35" s="28" t="s">
        <v>433</v>
      </c>
      <c r="R35" s="28" t="s">
        <v>434</v>
      </c>
      <c r="S35" s="3"/>
      <c r="T35" s="18">
        <v>32</v>
      </c>
      <c r="U35" s="19">
        <v>810051</v>
      </c>
      <c r="V35" s="20" t="s">
        <v>435</v>
      </c>
      <c r="W35" s="20" t="s">
        <v>436</v>
      </c>
      <c r="X35" s="3"/>
      <c r="Y35" s="21" t="s">
        <v>437</v>
      </c>
      <c r="Z35" s="22" t="s">
        <v>438</v>
      </c>
      <c r="AA35" s="23" t="str">
        <f t="shared" si="3"/>
        <v>BN Brunei Darussalam</v>
      </c>
    </row>
    <row r="36" spans="1:27" ht="12.75" customHeight="1" x14ac:dyDescent="0.35">
      <c r="A36" s="9" t="s">
        <v>439</v>
      </c>
      <c r="B36" s="9" t="s">
        <v>2</v>
      </c>
      <c r="C36" s="10" t="s">
        <v>3</v>
      </c>
      <c r="D36" s="3"/>
      <c r="E36" s="16" t="s">
        <v>440</v>
      </c>
      <c r="F36" s="24" t="s">
        <v>441</v>
      </c>
      <c r="G36" s="16" t="str">
        <f t="shared" si="1"/>
        <v>0204 (Kab. Tangerang)</v>
      </c>
      <c r="H36" s="3"/>
      <c r="I36" s="16" t="s">
        <v>442</v>
      </c>
      <c r="J36" s="17" t="s">
        <v>443</v>
      </c>
      <c r="K36" s="16" t="str">
        <f t="shared" si="2"/>
        <v>047 (BANK RESONA PERDANIA)</v>
      </c>
      <c r="L36" s="3"/>
      <c r="M36" s="28">
        <v>68</v>
      </c>
      <c r="N36" s="28"/>
      <c r="O36" s="28" t="s">
        <v>325</v>
      </c>
      <c r="P36" s="28"/>
      <c r="Q36" s="28" t="s">
        <v>444</v>
      </c>
      <c r="R36" s="28"/>
      <c r="S36" s="3"/>
      <c r="T36" s="18">
        <v>33</v>
      </c>
      <c r="U36" s="19">
        <v>810052</v>
      </c>
      <c r="V36" s="20" t="s">
        <v>445</v>
      </c>
      <c r="W36" s="20" t="s">
        <v>446</v>
      </c>
      <c r="X36" s="3"/>
      <c r="Y36" s="21" t="s">
        <v>447</v>
      </c>
      <c r="Z36" s="22" t="s">
        <v>448</v>
      </c>
      <c r="AA36" s="23" t="str">
        <f t="shared" si="3"/>
        <v>BG Bulgaria</v>
      </c>
    </row>
    <row r="37" spans="1:27" ht="12.75" customHeight="1" x14ac:dyDescent="0.35">
      <c r="A37" s="16" t="s">
        <v>449</v>
      </c>
      <c r="B37" s="24" t="s">
        <v>380</v>
      </c>
      <c r="C37" s="16" t="str">
        <f t="shared" ref="C37:C39" si="7">CONCATENATE(B37," (",A37,")")</f>
        <v>00 (Tidak Menjabat)</v>
      </c>
      <c r="D37" s="3"/>
      <c r="E37" s="16" t="s">
        <v>450</v>
      </c>
      <c r="F37" s="24" t="s">
        <v>451</v>
      </c>
      <c r="G37" s="16" t="str">
        <f t="shared" si="1"/>
        <v>0291 (Kota Cilegon)</v>
      </c>
      <c r="H37" s="3"/>
      <c r="I37" s="16" t="s">
        <v>452</v>
      </c>
      <c r="J37" s="17" t="s">
        <v>453</v>
      </c>
      <c r="K37" s="16" t="str">
        <f t="shared" si="2"/>
        <v>048 (BANK MIZUHO INDONESIA)</v>
      </c>
      <c r="L37" s="3"/>
      <c r="M37" s="28">
        <v>69</v>
      </c>
      <c r="N37" s="28"/>
      <c r="O37" s="28" t="s">
        <v>337</v>
      </c>
      <c r="P37" s="28"/>
      <c r="Q37" s="28"/>
      <c r="R37" s="28"/>
      <c r="S37" s="3"/>
      <c r="T37" s="18">
        <v>34</v>
      </c>
      <c r="U37" s="19">
        <v>810059</v>
      </c>
      <c r="V37" s="20" t="s">
        <v>454</v>
      </c>
      <c r="W37" s="20" t="s">
        <v>455</v>
      </c>
      <c r="X37" s="3"/>
      <c r="Y37" s="21" t="s">
        <v>456</v>
      </c>
      <c r="Z37" s="22" t="s">
        <v>457</v>
      </c>
      <c r="AA37" s="23" t="str">
        <f t="shared" si="3"/>
        <v>BF Burkina Faso</v>
      </c>
    </row>
    <row r="38" spans="1:27" ht="12.75" customHeight="1" x14ac:dyDescent="0.35">
      <c r="A38" s="16" t="s">
        <v>458</v>
      </c>
      <c r="B38" s="24" t="s">
        <v>10</v>
      </c>
      <c r="C38" s="16" t="str">
        <f t="shared" si="7"/>
        <v>01 (Kepala Satuan Kerja)</v>
      </c>
      <c r="D38" s="3"/>
      <c r="E38" s="16" t="s">
        <v>459</v>
      </c>
      <c r="F38" s="24" t="s">
        <v>460</v>
      </c>
      <c r="G38" s="16" t="str">
        <f t="shared" si="1"/>
        <v>0292 (Kota Tangerang)</v>
      </c>
      <c r="H38" s="3"/>
      <c r="I38" s="16" t="s">
        <v>461</v>
      </c>
      <c r="J38" s="17" t="s">
        <v>462</v>
      </c>
      <c r="K38" s="16" t="str">
        <f t="shared" si="2"/>
        <v>052 (THE ROYAL BANK OF SCOTLAND)</v>
      </c>
      <c r="L38" s="3"/>
      <c r="M38" s="28">
        <v>99</v>
      </c>
      <c r="N38" s="28"/>
      <c r="O38" s="28"/>
      <c r="P38" s="28"/>
      <c r="Q38" s="28"/>
      <c r="R38" s="28"/>
      <c r="S38" s="3"/>
      <c r="T38" s="18">
        <v>35</v>
      </c>
      <c r="U38" s="19">
        <v>810061</v>
      </c>
      <c r="V38" s="20" t="s">
        <v>463</v>
      </c>
      <c r="W38" s="20" t="s">
        <v>464</v>
      </c>
      <c r="X38" s="3"/>
      <c r="Y38" s="21" t="s">
        <v>465</v>
      </c>
      <c r="Z38" s="22" t="s">
        <v>466</v>
      </c>
      <c r="AA38" s="23" t="str">
        <f t="shared" si="3"/>
        <v>BI Burundi</v>
      </c>
    </row>
    <row r="39" spans="1:27" ht="12.75" customHeight="1" x14ac:dyDescent="0.35">
      <c r="A39" s="16" t="s">
        <v>467</v>
      </c>
      <c r="B39" s="24" t="s">
        <v>27</v>
      </c>
      <c r="C39" s="16" t="str">
        <f t="shared" si="7"/>
        <v>02 (Pejabat Eksekutif)</v>
      </c>
      <c r="D39" s="3"/>
      <c r="E39" s="16" t="s">
        <v>468</v>
      </c>
      <c r="F39" s="24" t="s">
        <v>469</v>
      </c>
      <c r="G39" s="16" t="str">
        <f t="shared" si="1"/>
        <v>0293 (Kota Serang)</v>
      </c>
      <c r="H39" s="3"/>
      <c r="I39" s="16" t="s">
        <v>470</v>
      </c>
      <c r="J39" s="17" t="s">
        <v>471</v>
      </c>
      <c r="K39" s="16" t="str">
        <f t="shared" si="2"/>
        <v>057 (BANK BNP PARIBAS INDONESIA)</v>
      </c>
      <c r="L39" s="3"/>
      <c r="M39" s="28" t="s">
        <v>380</v>
      </c>
      <c r="N39" s="28"/>
      <c r="O39" s="28"/>
      <c r="P39" s="28"/>
      <c r="Q39" s="28"/>
      <c r="R39" s="28"/>
      <c r="S39" s="3"/>
      <c r="T39" s="18">
        <v>36</v>
      </c>
      <c r="U39" s="19">
        <v>810062</v>
      </c>
      <c r="V39" s="20" t="s">
        <v>472</v>
      </c>
      <c r="W39" s="20" t="s">
        <v>473</v>
      </c>
      <c r="X39" s="3"/>
      <c r="Y39" s="21" t="s">
        <v>474</v>
      </c>
      <c r="Z39" s="22" t="s">
        <v>475</v>
      </c>
      <c r="AA39" s="23" t="str">
        <f t="shared" si="3"/>
        <v>KH Cambodia</v>
      </c>
    </row>
    <row r="40" spans="1:27" ht="12.75" customHeight="1" x14ac:dyDescent="0.35">
      <c r="A40" s="3"/>
      <c r="B40" s="2"/>
      <c r="C40" s="3"/>
      <c r="D40" s="3"/>
      <c r="E40" s="16" t="s">
        <v>476</v>
      </c>
      <c r="F40" s="24" t="s">
        <v>477</v>
      </c>
      <c r="G40" s="16" t="str">
        <f t="shared" si="1"/>
        <v>0294 (Kota Tangerang Selatan)</v>
      </c>
      <c r="H40" s="3"/>
      <c r="I40" s="16" t="s">
        <v>478</v>
      </c>
      <c r="J40" s="17" t="s">
        <v>479</v>
      </c>
      <c r="K40" s="16" t="str">
        <f t="shared" si="2"/>
        <v>067 (DEUTSCHE BANK AG)</v>
      </c>
      <c r="L40" s="3"/>
      <c r="M40" s="3"/>
      <c r="N40" s="3"/>
      <c r="O40" s="3"/>
      <c r="P40" s="3"/>
      <c r="Q40" s="3"/>
      <c r="R40" s="3"/>
      <c r="S40" s="3"/>
      <c r="T40" s="18">
        <v>37</v>
      </c>
      <c r="U40" s="19">
        <v>810063</v>
      </c>
      <c r="V40" s="20" t="s">
        <v>480</v>
      </c>
      <c r="W40" s="20" t="s">
        <v>481</v>
      </c>
      <c r="X40" s="3"/>
      <c r="Y40" s="21" t="s">
        <v>482</v>
      </c>
      <c r="Z40" s="22" t="s">
        <v>483</v>
      </c>
      <c r="AA40" s="23" t="str">
        <f t="shared" si="3"/>
        <v>CM Cameroon</v>
      </c>
    </row>
    <row r="41" spans="1:27" ht="12.75" customHeight="1" x14ac:dyDescent="0.35">
      <c r="A41" s="1" t="s">
        <v>484</v>
      </c>
      <c r="B41" s="2"/>
      <c r="C41" s="3"/>
      <c r="D41" s="3"/>
      <c r="E41" s="16" t="s">
        <v>381</v>
      </c>
      <c r="F41" s="24" t="s">
        <v>485</v>
      </c>
      <c r="G41" s="16" t="str">
        <f t="shared" si="1"/>
        <v>0288 (Kab./Kota Lainnya)</v>
      </c>
      <c r="H41" s="3"/>
      <c r="I41" s="16" t="s">
        <v>486</v>
      </c>
      <c r="J41" s="17" t="s">
        <v>487</v>
      </c>
      <c r="K41" s="16" t="str">
        <f t="shared" si="2"/>
        <v>069 (BANK OF CHINA)</v>
      </c>
      <c r="L41" s="3"/>
      <c r="M41" s="3"/>
      <c r="N41" s="3"/>
      <c r="O41" s="3"/>
      <c r="P41" s="3"/>
      <c r="Q41" s="3"/>
      <c r="R41" s="3"/>
      <c r="S41" s="3"/>
      <c r="T41" s="18">
        <v>38</v>
      </c>
      <c r="U41" s="19">
        <v>810065</v>
      </c>
      <c r="V41" s="20" t="s">
        <v>488</v>
      </c>
      <c r="W41" s="20" t="s">
        <v>489</v>
      </c>
      <c r="X41" s="3"/>
      <c r="Y41" s="21" t="s">
        <v>490</v>
      </c>
      <c r="Z41" s="22" t="s">
        <v>491</v>
      </c>
      <c r="AA41" s="23" t="str">
        <f t="shared" si="3"/>
        <v>CA Canada</v>
      </c>
    </row>
    <row r="42" spans="1:27" ht="12.75" customHeight="1" x14ac:dyDescent="0.35">
      <c r="A42" s="9" t="s">
        <v>492</v>
      </c>
      <c r="B42" s="9" t="s">
        <v>2</v>
      </c>
      <c r="C42" s="10" t="s">
        <v>3</v>
      </c>
      <c r="D42" s="3"/>
      <c r="E42" s="14" t="s">
        <v>493</v>
      </c>
      <c r="F42" s="15"/>
      <c r="G42" s="16" t="str">
        <f t="shared" si="1"/>
        <v>---- (Provinsi DKI Jakarta)</v>
      </c>
      <c r="H42" s="3"/>
      <c r="I42" s="16" t="s">
        <v>494</v>
      </c>
      <c r="J42" s="17" t="s">
        <v>495</v>
      </c>
      <c r="K42" s="16" t="str">
        <f t="shared" si="2"/>
        <v>089 (RABOBANK INTERNATIONAL INDONESIA)</v>
      </c>
      <c r="L42" s="3"/>
      <c r="M42" s="3"/>
      <c r="N42" s="3"/>
      <c r="O42" s="3"/>
      <c r="P42" s="3"/>
      <c r="Q42" s="3"/>
      <c r="R42" s="3"/>
      <c r="S42" s="3"/>
      <c r="T42" s="18">
        <v>39</v>
      </c>
      <c r="U42" s="19">
        <v>810068</v>
      </c>
      <c r="V42" s="20" t="s">
        <v>496</v>
      </c>
      <c r="W42" s="20" t="s">
        <v>497</v>
      </c>
      <c r="X42" s="3"/>
      <c r="Y42" s="21" t="s">
        <v>498</v>
      </c>
      <c r="Z42" s="22" t="s">
        <v>499</v>
      </c>
      <c r="AA42" s="23" t="str">
        <f t="shared" si="3"/>
        <v>CV Cabo Verde</v>
      </c>
    </row>
    <row r="43" spans="1:27" ht="12.75" customHeight="1" x14ac:dyDescent="0.35">
      <c r="A43" s="16" t="s">
        <v>500</v>
      </c>
      <c r="B43" s="24" t="s">
        <v>10</v>
      </c>
      <c r="C43" s="16" t="str">
        <f t="shared" ref="C43:C45" si="8">CONCATENATE(B43," (",A43,")")</f>
        <v>01 (Sewa )</v>
      </c>
      <c r="D43" s="3"/>
      <c r="E43" s="16" t="s">
        <v>501</v>
      </c>
      <c r="F43" s="24" t="s">
        <v>502</v>
      </c>
      <c r="G43" s="16" t="str">
        <f t="shared" si="1"/>
        <v>0391 (Wil. Kota Jakarta Pusat)</v>
      </c>
      <c r="H43" s="3"/>
      <c r="I43" s="16" t="s">
        <v>503</v>
      </c>
      <c r="J43" s="17" t="s">
        <v>504</v>
      </c>
      <c r="K43" s="16" t="str">
        <f t="shared" si="2"/>
        <v>164 (BANK ICBC INDONESIA)</v>
      </c>
      <c r="L43" s="3"/>
      <c r="M43" s="3"/>
      <c r="N43" s="3"/>
      <c r="O43" s="3"/>
      <c r="P43" s="3"/>
      <c r="Q43" s="3"/>
      <c r="R43" s="3"/>
      <c r="S43" s="3"/>
      <c r="T43" s="18">
        <v>40</v>
      </c>
      <c r="U43" s="19">
        <v>810069</v>
      </c>
      <c r="V43" s="20" t="s">
        <v>505</v>
      </c>
      <c r="W43" s="20" t="s">
        <v>506</v>
      </c>
      <c r="X43" s="3"/>
      <c r="Y43" s="21" t="s">
        <v>507</v>
      </c>
      <c r="Z43" s="22" t="s">
        <v>508</v>
      </c>
      <c r="AA43" s="23" t="str">
        <f t="shared" si="3"/>
        <v>KY Cayman Islands (the)</v>
      </c>
    </row>
    <row r="44" spans="1:27" ht="12.75" customHeight="1" x14ac:dyDescent="0.35">
      <c r="A44" s="16" t="s">
        <v>509</v>
      </c>
      <c r="B44" s="24" t="s">
        <v>27</v>
      </c>
      <c r="C44" s="16" t="str">
        <f t="shared" si="8"/>
        <v>02 (Milik Sendiri)</v>
      </c>
      <c r="D44" s="3"/>
      <c r="E44" s="16" t="s">
        <v>510</v>
      </c>
      <c r="F44" s="24" t="s">
        <v>511</v>
      </c>
      <c r="G44" s="16" t="str">
        <f t="shared" si="1"/>
        <v>0392 (Wil. Kota Jakarta Utara)</v>
      </c>
      <c r="H44" s="3"/>
      <c r="I44" s="16" t="s">
        <v>512</v>
      </c>
      <c r="J44" s="17" t="s">
        <v>513</v>
      </c>
      <c r="K44" s="16" t="str">
        <f t="shared" si="2"/>
        <v>466 (BANK ANDARA)</v>
      </c>
      <c r="L44" s="3"/>
      <c r="M44" s="3"/>
      <c r="N44" s="3"/>
      <c r="O44" s="3"/>
      <c r="P44" s="3"/>
      <c r="Q44" s="3"/>
      <c r="R44" s="3"/>
      <c r="S44" s="3"/>
      <c r="T44" s="18">
        <v>41</v>
      </c>
      <c r="U44" s="19">
        <v>810071</v>
      </c>
      <c r="V44" s="20" t="s">
        <v>514</v>
      </c>
      <c r="W44" s="20" t="s">
        <v>515</v>
      </c>
      <c r="X44" s="3"/>
      <c r="Y44" s="21" t="s">
        <v>516</v>
      </c>
      <c r="Z44" s="22" t="s">
        <v>517</v>
      </c>
      <c r="AA44" s="23" t="str">
        <f t="shared" si="3"/>
        <v>CF Central African Republic (the)</v>
      </c>
    </row>
    <row r="45" spans="1:27" ht="12.75" customHeight="1" x14ac:dyDescent="0.35">
      <c r="A45" s="16" t="s">
        <v>331</v>
      </c>
      <c r="B45" s="15">
        <v>99</v>
      </c>
      <c r="C45" s="16" t="str">
        <f t="shared" si="8"/>
        <v>99 (Lainnya)</v>
      </c>
      <c r="D45" s="3"/>
      <c r="E45" s="16" t="s">
        <v>518</v>
      </c>
      <c r="F45" s="24" t="s">
        <v>519</v>
      </c>
      <c r="G45" s="16" t="str">
        <f t="shared" si="1"/>
        <v>0393 (Wil. Kota Jakarta Barat)</v>
      </c>
      <c r="H45" s="3"/>
      <c r="I45" s="16" t="s">
        <v>520</v>
      </c>
      <c r="J45" s="17" t="s">
        <v>521</v>
      </c>
      <c r="K45" s="16" t="str">
        <f t="shared" si="2"/>
        <v>945 (BANK AGRIS)</v>
      </c>
      <c r="L45" s="3"/>
      <c r="M45" s="3"/>
      <c r="N45" s="3"/>
      <c r="O45" s="3"/>
      <c r="P45" s="3"/>
      <c r="Q45" s="3"/>
      <c r="R45" s="3"/>
      <c r="S45" s="3"/>
      <c r="T45" s="18">
        <v>42</v>
      </c>
      <c r="U45" s="19">
        <v>810073</v>
      </c>
      <c r="V45" s="20" t="s">
        <v>522</v>
      </c>
      <c r="W45" s="20" t="s">
        <v>523</v>
      </c>
      <c r="X45" s="3"/>
      <c r="Y45" s="21" t="s">
        <v>524</v>
      </c>
      <c r="Z45" s="22" t="s">
        <v>525</v>
      </c>
      <c r="AA45" s="23" t="str">
        <f t="shared" si="3"/>
        <v>TD Chad</v>
      </c>
    </row>
    <row r="46" spans="1:27" ht="12.75" customHeight="1" x14ac:dyDescent="0.35">
      <c r="A46" s="3"/>
      <c r="B46" s="2"/>
      <c r="C46" s="3"/>
      <c r="D46" s="3"/>
      <c r="E46" s="16" t="s">
        <v>526</v>
      </c>
      <c r="F46" s="24" t="s">
        <v>527</v>
      </c>
      <c r="G46" s="16" t="str">
        <f t="shared" si="1"/>
        <v>0394 (Wil. Kota Jakarta Selatan)</v>
      </c>
      <c r="H46" s="3"/>
      <c r="I46" s="16" t="s">
        <v>528</v>
      </c>
      <c r="J46" s="17" t="s">
        <v>529</v>
      </c>
      <c r="K46" s="16" t="str">
        <f t="shared" si="2"/>
        <v>949 (BANK CTBC INDONESIA d/h BANK CHINATRUST INDONESIA)</v>
      </c>
      <c r="L46" s="3"/>
      <c r="M46" s="3"/>
      <c r="N46" s="3"/>
      <c r="O46" s="3"/>
      <c r="P46" s="3"/>
      <c r="Q46" s="3"/>
      <c r="R46" s="3"/>
      <c r="S46" s="3"/>
      <c r="T46" s="18">
        <v>43</v>
      </c>
      <c r="U46" s="19">
        <v>810074</v>
      </c>
      <c r="V46" s="20" t="s">
        <v>530</v>
      </c>
      <c r="W46" s="20" t="s">
        <v>531</v>
      </c>
      <c r="X46" s="3"/>
      <c r="Y46" s="21" t="s">
        <v>532</v>
      </c>
      <c r="Z46" s="22" t="s">
        <v>533</v>
      </c>
      <c r="AA46" s="23" t="str">
        <f t="shared" si="3"/>
        <v>CL Chile</v>
      </c>
    </row>
    <row r="47" spans="1:27" ht="12.75" customHeight="1" x14ac:dyDescent="0.35">
      <c r="A47" s="1" t="s">
        <v>534</v>
      </c>
      <c r="B47" s="2"/>
      <c r="C47" s="3"/>
      <c r="D47" s="3"/>
      <c r="E47" s="16" t="s">
        <v>535</v>
      </c>
      <c r="F47" s="24" t="s">
        <v>536</v>
      </c>
      <c r="G47" s="16" t="str">
        <f t="shared" si="1"/>
        <v>0395 (Wil. Kota Jakarta Timur)</v>
      </c>
      <c r="H47" s="3"/>
      <c r="I47" s="16" t="s">
        <v>537</v>
      </c>
      <c r="J47" s="17" t="s">
        <v>538</v>
      </c>
      <c r="K47" s="16" t="str">
        <f t="shared" si="2"/>
        <v>950 (BANK COMMONWEALTH)</v>
      </c>
      <c r="L47" s="3"/>
      <c r="M47" s="3"/>
      <c r="N47" s="3"/>
      <c r="O47" s="3"/>
      <c r="P47" s="3"/>
      <c r="Q47" s="3"/>
      <c r="R47" s="3"/>
      <c r="S47" s="3"/>
      <c r="T47" s="18">
        <v>44</v>
      </c>
      <c r="U47" s="19">
        <v>810076</v>
      </c>
      <c r="V47" s="20" t="s">
        <v>539</v>
      </c>
      <c r="W47" s="20" t="s">
        <v>540</v>
      </c>
      <c r="X47" s="3"/>
      <c r="Y47" s="21" t="s">
        <v>541</v>
      </c>
      <c r="Z47" s="22" t="s">
        <v>542</v>
      </c>
      <c r="AA47" s="23" t="str">
        <f t="shared" si="3"/>
        <v>CN China</v>
      </c>
    </row>
    <row r="48" spans="1:27" ht="12.75" customHeight="1" x14ac:dyDescent="0.35">
      <c r="A48" s="9" t="s">
        <v>543</v>
      </c>
      <c r="B48" s="9" t="s">
        <v>2</v>
      </c>
      <c r="C48" s="10" t="s">
        <v>3</v>
      </c>
      <c r="D48" s="3"/>
      <c r="E48" s="16" t="s">
        <v>544</v>
      </c>
      <c r="F48" s="24" t="s">
        <v>545</v>
      </c>
      <c r="G48" s="16" t="str">
        <f t="shared" si="1"/>
        <v>0396 (Wil. Kepulauan Seribu)</v>
      </c>
      <c r="H48" s="3"/>
      <c r="I48" s="16" t="s">
        <v>546</v>
      </c>
      <c r="J48" s="17" t="s">
        <v>547</v>
      </c>
      <c r="K48" s="16" t="str">
        <f t="shared" si="2"/>
        <v>013 (BANK PERMATA)</v>
      </c>
      <c r="L48" s="3"/>
      <c r="M48" s="3"/>
      <c r="N48" s="3"/>
      <c r="O48" s="3"/>
      <c r="P48" s="3"/>
      <c r="Q48" s="3"/>
      <c r="R48" s="3"/>
      <c r="S48" s="3"/>
      <c r="T48" s="18">
        <v>45</v>
      </c>
      <c r="U48" s="19">
        <v>810077</v>
      </c>
      <c r="V48" s="20" t="s">
        <v>548</v>
      </c>
      <c r="W48" s="20" t="s">
        <v>549</v>
      </c>
      <c r="X48" s="3"/>
      <c r="Y48" s="21" t="s">
        <v>550</v>
      </c>
      <c r="Z48" s="22" t="s">
        <v>551</v>
      </c>
      <c r="AA48" s="23" t="str">
        <f t="shared" si="3"/>
        <v>CX Christmas Island</v>
      </c>
    </row>
    <row r="49" spans="1:27" ht="12.75" customHeight="1" x14ac:dyDescent="0.35">
      <c r="A49" s="16" t="s">
        <v>9</v>
      </c>
      <c r="B49" s="24" t="s">
        <v>10</v>
      </c>
      <c r="C49" s="16" t="str">
        <f t="shared" ref="C49:C51" si="9">CONCATENATE(B49," (",A49,")")</f>
        <v>01 (Perorangan)</v>
      </c>
      <c r="D49" s="3"/>
      <c r="E49" s="14" t="s">
        <v>552</v>
      </c>
      <c r="F49" s="15"/>
      <c r="G49" s="16" t="str">
        <f t="shared" si="1"/>
        <v>---- (Provinsi D.I. Yogyakarta)</v>
      </c>
      <c r="H49" s="3"/>
      <c r="I49" s="16" t="s">
        <v>553</v>
      </c>
      <c r="J49" s="17" t="s">
        <v>554</v>
      </c>
      <c r="K49" s="16" t="str">
        <f t="shared" si="2"/>
        <v>014 (BANK CENTRAL ASIA)</v>
      </c>
      <c r="L49" s="3"/>
      <c r="M49" s="3"/>
      <c r="N49" s="3"/>
      <c r="O49" s="3"/>
      <c r="P49" s="3"/>
      <c r="Q49" s="3"/>
      <c r="R49" s="3"/>
      <c r="S49" s="3"/>
      <c r="T49" s="18">
        <v>46</v>
      </c>
      <c r="U49" s="19">
        <v>810078</v>
      </c>
      <c r="V49" s="20" t="s">
        <v>555</v>
      </c>
      <c r="W49" s="20" t="s">
        <v>556</v>
      </c>
      <c r="X49" s="3"/>
      <c r="Y49" s="21" t="s">
        <v>313</v>
      </c>
      <c r="Z49" s="22" t="s">
        <v>557</v>
      </c>
      <c r="AA49" s="23" t="str">
        <f t="shared" si="3"/>
        <v>CC Cocos (Keeling) Islands (the)</v>
      </c>
    </row>
    <row r="50" spans="1:27" ht="12.75" customHeight="1" x14ac:dyDescent="0.35">
      <c r="A50" s="16" t="s">
        <v>26</v>
      </c>
      <c r="B50" s="24" t="s">
        <v>27</v>
      </c>
      <c r="C50" s="16" t="str">
        <f t="shared" si="9"/>
        <v>02 (Badan Hukum)</v>
      </c>
      <c r="D50" s="3"/>
      <c r="E50" s="16" t="s">
        <v>558</v>
      </c>
      <c r="F50" s="24" t="s">
        <v>559</v>
      </c>
      <c r="G50" s="16" t="str">
        <f t="shared" si="1"/>
        <v>0501 (Kab. Bantul)</v>
      </c>
      <c r="H50" s="3"/>
      <c r="I50" s="16" t="s">
        <v>560</v>
      </c>
      <c r="J50" s="17" t="s">
        <v>561</v>
      </c>
      <c r="K50" s="16" t="str">
        <f t="shared" si="2"/>
        <v>019 (PANIN BANK)</v>
      </c>
      <c r="L50" s="3"/>
      <c r="M50" s="3"/>
      <c r="N50" s="3"/>
      <c r="O50" s="3"/>
      <c r="P50" s="3"/>
      <c r="Q50" s="3"/>
      <c r="R50" s="3"/>
      <c r="S50" s="3"/>
      <c r="T50" s="18">
        <v>47</v>
      </c>
      <c r="U50" s="19">
        <v>810081</v>
      </c>
      <c r="V50" s="20" t="s">
        <v>562</v>
      </c>
      <c r="W50" s="20" t="s">
        <v>563</v>
      </c>
      <c r="X50" s="3"/>
      <c r="Y50" s="21" t="s">
        <v>564</v>
      </c>
      <c r="Z50" s="22" t="s">
        <v>565</v>
      </c>
      <c r="AA50" s="23" t="str">
        <f t="shared" si="3"/>
        <v>CO Colombia</v>
      </c>
    </row>
    <row r="51" spans="1:27" ht="12.75" customHeight="1" x14ac:dyDescent="0.35">
      <c r="A51" s="16" t="s">
        <v>40</v>
      </c>
      <c r="B51" s="24" t="s">
        <v>41</v>
      </c>
      <c r="C51" s="16" t="str">
        <f t="shared" si="9"/>
        <v>03 (Pemerintah Daerah / Pemerintah Pusat)</v>
      </c>
      <c r="D51" s="3"/>
      <c r="E51" s="16" t="s">
        <v>566</v>
      </c>
      <c r="F51" s="24" t="s">
        <v>567</v>
      </c>
      <c r="G51" s="16" t="str">
        <f t="shared" si="1"/>
        <v>0502 (Kab. Sleman)</v>
      </c>
      <c r="H51" s="3"/>
      <c r="I51" s="16" t="s">
        <v>568</v>
      </c>
      <c r="J51" s="17" t="s">
        <v>569</v>
      </c>
      <c r="K51" s="16" t="str">
        <f t="shared" si="2"/>
        <v>022 (BANK CIMB NIAGA)</v>
      </c>
      <c r="L51" s="3"/>
      <c r="M51" s="3"/>
      <c r="N51" s="3"/>
      <c r="O51" s="3"/>
      <c r="P51" s="3"/>
      <c r="Q51" s="3"/>
      <c r="R51" s="3"/>
      <c r="S51" s="3"/>
      <c r="T51" s="18">
        <v>48</v>
      </c>
      <c r="U51" s="19">
        <v>810090</v>
      </c>
      <c r="V51" s="20" t="s">
        <v>570</v>
      </c>
      <c r="W51" s="20" t="s">
        <v>571</v>
      </c>
      <c r="X51" s="3"/>
      <c r="Y51" s="21" t="s">
        <v>572</v>
      </c>
      <c r="Z51" s="22" t="s">
        <v>573</v>
      </c>
      <c r="AA51" s="23" t="str">
        <f t="shared" si="3"/>
        <v>KM Comoros (the)</v>
      </c>
    </row>
    <row r="52" spans="1:27" ht="12.75" customHeight="1" x14ac:dyDescent="0.35">
      <c r="A52" s="3"/>
      <c r="B52" s="2"/>
      <c r="C52" s="3"/>
      <c r="D52" s="3"/>
      <c r="E52" s="16" t="s">
        <v>574</v>
      </c>
      <c r="F52" s="24" t="s">
        <v>575</v>
      </c>
      <c r="G52" s="16" t="str">
        <f t="shared" si="1"/>
        <v>0503 (Kab. Gunung Kidul)</v>
      </c>
      <c r="H52" s="3"/>
      <c r="I52" s="16" t="s">
        <v>576</v>
      </c>
      <c r="J52" s="17" t="s">
        <v>577</v>
      </c>
      <c r="K52" s="16" t="str">
        <f t="shared" si="2"/>
        <v>037 (BANK ARTHA GRAHA INTERNASIONAL)</v>
      </c>
      <c r="L52" s="3"/>
      <c r="M52" s="3"/>
      <c r="N52" s="3"/>
      <c r="O52" s="3"/>
      <c r="P52" s="3"/>
      <c r="Q52" s="3"/>
      <c r="R52" s="3"/>
      <c r="S52" s="3"/>
      <c r="T52" s="18">
        <v>49</v>
      </c>
      <c r="U52" s="19">
        <v>810091</v>
      </c>
      <c r="V52" s="20" t="s">
        <v>578</v>
      </c>
      <c r="W52" s="20" t="s">
        <v>579</v>
      </c>
      <c r="X52" s="3"/>
      <c r="Y52" s="21" t="s">
        <v>580</v>
      </c>
      <c r="Z52" s="22" t="s">
        <v>581</v>
      </c>
      <c r="AA52" s="23" t="str">
        <f t="shared" si="3"/>
        <v>CG Congo (the)</v>
      </c>
    </row>
    <row r="53" spans="1:27" ht="12.75" customHeight="1" x14ac:dyDescent="0.35">
      <c r="A53" s="1" t="s">
        <v>534</v>
      </c>
      <c r="B53" s="2"/>
      <c r="C53" s="3"/>
      <c r="D53" s="3"/>
      <c r="E53" s="16" t="s">
        <v>582</v>
      </c>
      <c r="F53" s="24" t="s">
        <v>583</v>
      </c>
      <c r="G53" s="16" t="str">
        <f t="shared" si="1"/>
        <v>0504 (Kab. Kulon Progo)</v>
      </c>
      <c r="H53" s="3"/>
      <c r="I53" s="16" t="s">
        <v>584</v>
      </c>
      <c r="J53" s="17" t="s">
        <v>585</v>
      </c>
      <c r="K53" s="16" t="str">
        <f t="shared" si="2"/>
        <v>050 (STANDART CHARTERED BANK)</v>
      </c>
      <c r="L53" s="3"/>
      <c r="M53" s="3"/>
      <c r="N53" s="3"/>
      <c r="O53" s="3"/>
      <c r="P53" s="3"/>
      <c r="Q53" s="3"/>
      <c r="R53" s="3"/>
      <c r="S53" s="3"/>
      <c r="T53" s="18">
        <v>50</v>
      </c>
      <c r="U53" s="19">
        <v>810093</v>
      </c>
      <c r="V53" s="20" t="s">
        <v>586</v>
      </c>
      <c r="W53" s="20" t="s">
        <v>587</v>
      </c>
      <c r="X53" s="3"/>
      <c r="Y53" s="21" t="s">
        <v>588</v>
      </c>
      <c r="Z53" s="22" t="s">
        <v>589</v>
      </c>
      <c r="AA53" s="23" t="str">
        <f t="shared" si="3"/>
        <v>CD Congo (the Democratic Republic of the)</v>
      </c>
    </row>
    <row r="54" spans="1:27" ht="12.75" customHeight="1" x14ac:dyDescent="0.35">
      <c r="A54" s="9" t="s">
        <v>590</v>
      </c>
      <c r="B54" s="9" t="s">
        <v>2</v>
      </c>
      <c r="C54" s="10" t="s">
        <v>3</v>
      </c>
      <c r="D54" s="3"/>
      <c r="E54" s="16" t="s">
        <v>591</v>
      </c>
      <c r="F54" s="24" t="s">
        <v>592</v>
      </c>
      <c r="G54" s="16" t="str">
        <f t="shared" si="1"/>
        <v>0591 (Kota Yogyakarta)</v>
      </c>
      <c r="H54" s="3"/>
      <c r="I54" s="16" t="s">
        <v>593</v>
      </c>
      <c r="J54" s="17" t="s">
        <v>594</v>
      </c>
      <c r="K54" s="16" t="str">
        <f t="shared" si="2"/>
        <v>054 (BANK CAPITAL INDONESIA)</v>
      </c>
      <c r="L54" s="3"/>
      <c r="M54" s="3"/>
      <c r="N54" s="3"/>
      <c r="O54" s="3"/>
      <c r="P54" s="3"/>
      <c r="Q54" s="3"/>
      <c r="R54" s="3"/>
      <c r="S54" s="3"/>
      <c r="T54" s="18">
        <v>51</v>
      </c>
      <c r="U54" s="19">
        <v>810094</v>
      </c>
      <c r="V54" s="20" t="s">
        <v>595</v>
      </c>
      <c r="W54" s="20" t="s">
        <v>596</v>
      </c>
      <c r="X54" s="3"/>
      <c r="Y54" s="21" t="s">
        <v>597</v>
      </c>
      <c r="Z54" s="22" t="s">
        <v>598</v>
      </c>
      <c r="AA54" s="23" t="str">
        <f t="shared" si="3"/>
        <v>CK Cook Islands (the)</v>
      </c>
    </row>
    <row r="55" spans="1:27" ht="12.75" customHeight="1" x14ac:dyDescent="0.35">
      <c r="A55" s="29" t="s">
        <v>599</v>
      </c>
      <c r="B55" s="6" t="s">
        <v>10</v>
      </c>
      <c r="C55" s="30" t="str">
        <f t="shared" ref="C55:C60" si="10">CONCATENATE(B55," (",A55,")")</f>
        <v>01 (Hubungan Keluarga dengan Anggota Direksi, Anggota Dewan Komisaris dan Pemegang saham)</v>
      </c>
      <c r="D55" s="3"/>
      <c r="E55" s="16" t="s">
        <v>381</v>
      </c>
      <c r="F55" s="24" t="s">
        <v>600</v>
      </c>
      <c r="G55" s="16" t="str">
        <f t="shared" si="1"/>
        <v>0588 (Kab./Kota Lainnya)</v>
      </c>
      <c r="H55" s="3"/>
      <c r="I55" s="16" t="s">
        <v>601</v>
      </c>
      <c r="J55" s="17" t="s">
        <v>602</v>
      </c>
      <c r="K55" s="16" t="str">
        <f t="shared" si="2"/>
        <v>061 (BANK ANZ INDONESIA)</v>
      </c>
      <c r="L55" s="3"/>
      <c r="M55" s="3"/>
      <c r="N55" s="3"/>
      <c r="O55" s="3"/>
      <c r="P55" s="3"/>
      <c r="Q55" s="3"/>
      <c r="R55" s="3"/>
      <c r="S55" s="3"/>
      <c r="T55" s="18">
        <v>52</v>
      </c>
      <c r="U55" s="19">
        <v>810097</v>
      </c>
      <c r="V55" s="20" t="s">
        <v>603</v>
      </c>
      <c r="W55" s="20" t="s">
        <v>604</v>
      </c>
      <c r="X55" s="3"/>
      <c r="Y55" s="21" t="s">
        <v>605</v>
      </c>
      <c r="Z55" s="22" t="s">
        <v>606</v>
      </c>
      <c r="AA55" s="23" t="str">
        <f t="shared" si="3"/>
        <v>CR Costa Rica</v>
      </c>
    </row>
    <row r="56" spans="1:27" ht="12.75" customHeight="1" x14ac:dyDescent="0.35">
      <c r="A56" s="29" t="s">
        <v>607</v>
      </c>
      <c r="B56" s="6" t="s">
        <v>27</v>
      </c>
      <c r="C56" s="31" t="str">
        <f t="shared" si="10"/>
        <v>02 (Perusahaan bukan bank yang dimiliki oleh Anggota Direksi, Anggota Dewan Komisaris, pemegang saham, pejabat eksekutif, dan pihak nomor 1 diatas)</v>
      </c>
      <c r="D56" s="3"/>
      <c r="E56" s="14" t="s">
        <v>608</v>
      </c>
      <c r="F56" s="15"/>
      <c r="G56" s="16" t="str">
        <f t="shared" si="1"/>
        <v>---- (Provinsi Jawa Tengah)</v>
      </c>
      <c r="H56" s="3"/>
      <c r="I56" s="16" t="s">
        <v>609</v>
      </c>
      <c r="J56" s="17" t="s">
        <v>610</v>
      </c>
      <c r="K56" s="16" t="str">
        <f t="shared" si="2"/>
        <v>087 (BANK EKONOMI RAHARJA)</v>
      </c>
      <c r="L56" s="3"/>
      <c r="M56" s="3"/>
      <c r="N56" s="3"/>
      <c r="O56" s="3"/>
      <c r="P56" s="3"/>
      <c r="Q56" s="3"/>
      <c r="R56" s="3"/>
      <c r="S56" s="3"/>
      <c r="T56" s="18">
        <v>53</v>
      </c>
      <c r="U56" s="19">
        <v>810099</v>
      </c>
      <c r="V56" s="20" t="s">
        <v>611</v>
      </c>
      <c r="W56" s="20" t="s">
        <v>612</v>
      </c>
      <c r="X56" s="3"/>
      <c r="Y56" s="21" t="s">
        <v>613</v>
      </c>
      <c r="Z56" s="22" t="s">
        <v>614</v>
      </c>
      <c r="AA56" s="23" t="str">
        <f t="shared" si="3"/>
        <v>CI Côte d'Ivoire</v>
      </c>
    </row>
    <row r="57" spans="1:27" ht="12.75" customHeight="1" x14ac:dyDescent="0.35">
      <c r="A57" s="32" t="s">
        <v>615</v>
      </c>
      <c r="B57" s="6" t="s">
        <v>41</v>
      </c>
      <c r="C57" s="31" t="str">
        <f t="shared" si="10"/>
        <v>03 (BPR lain yang dimiliki oleh Anggota Direksi, Anggota Dewan Komisaris, pemegang saham, pejabat eksekutif, dan pihak nomor 1 diatas)</v>
      </c>
      <c r="D57" s="3"/>
      <c r="E57" s="16" t="s">
        <v>616</v>
      </c>
      <c r="F57" s="24" t="s">
        <v>617</v>
      </c>
      <c r="G57" s="16" t="str">
        <f t="shared" si="1"/>
        <v>0901 (Kab. Semarang)</v>
      </c>
      <c r="H57" s="3"/>
      <c r="I57" s="16" t="s">
        <v>618</v>
      </c>
      <c r="J57" s="17" t="s">
        <v>619</v>
      </c>
      <c r="K57" s="16" t="str">
        <f t="shared" si="2"/>
        <v>097 (BANK MAYAPADA)</v>
      </c>
      <c r="L57" s="3"/>
      <c r="M57" s="3"/>
      <c r="N57" s="3"/>
      <c r="O57" s="3"/>
      <c r="P57" s="3"/>
      <c r="Q57" s="3"/>
      <c r="R57" s="3"/>
      <c r="S57" s="3"/>
      <c r="T57" s="18">
        <v>54</v>
      </c>
      <c r="U57" s="19">
        <v>810101</v>
      </c>
      <c r="V57" s="20" t="s">
        <v>620</v>
      </c>
      <c r="W57" s="20" t="s">
        <v>621</v>
      </c>
      <c r="X57" s="3"/>
      <c r="Y57" s="21" t="s">
        <v>622</v>
      </c>
      <c r="Z57" s="22" t="s">
        <v>623</v>
      </c>
      <c r="AA57" s="23" t="str">
        <f t="shared" si="3"/>
        <v>HR Croatia</v>
      </c>
    </row>
    <row r="58" spans="1:27" ht="12.75" customHeight="1" x14ac:dyDescent="0.35">
      <c r="A58" s="33" t="s">
        <v>624</v>
      </c>
      <c r="B58" s="6" t="s">
        <v>52</v>
      </c>
      <c r="C58" s="31" t="str">
        <f t="shared" si="10"/>
        <v>04 (BPR lain yang anggota Dewan Komisarisnya merangkap jabatan sebagai anggota Dewan Komisaris BPR dengan jumlah paling sedikit 50% dari keseluruhan anggota Direksi dan anggota Dewan Komisaris pada BPR)</v>
      </c>
      <c r="D58" s="3"/>
      <c r="E58" s="16" t="s">
        <v>625</v>
      </c>
      <c r="F58" s="24" t="s">
        <v>626</v>
      </c>
      <c r="G58" s="16" t="str">
        <f t="shared" si="1"/>
        <v>0902 (Kab. Kendal)</v>
      </c>
      <c r="H58" s="3"/>
      <c r="I58" s="16" t="s">
        <v>627</v>
      </c>
      <c r="J58" s="17" t="s">
        <v>628</v>
      </c>
      <c r="K58" s="16" t="str">
        <f t="shared" si="2"/>
        <v>153 (BANK SINARMAS)</v>
      </c>
      <c r="L58" s="3"/>
      <c r="M58" s="3"/>
      <c r="N58" s="3"/>
      <c r="O58" s="3"/>
      <c r="P58" s="3"/>
      <c r="Q58" s="3"/>
      <c r="R58" s="3"/>
      <c r="S58" s="3"/>
      <c r="T58" s="18">
        <v>55</v>
      </c>
      <c r="U58" s="19">
        <v>810103</v>
      </c>
      <c r="V58" s="20" t="s">
        <v>629</v>
      </c>
      <c r="W58" s="20" t="s">
        <v>630</v>
      </c>
      <c r="X58" s="3"/>
      <c r="Y58" s="21" t="s">
        <v>631</v>
      </c>
      <c r="Z58" s="22" t="s">
        <v>632</v>
      </c>
      <c r="AA58" s="23" t="str">
        <f t="shared" si="3"/>
        <v>CU Cuba</v>
      </c>
    </row>
    <row r="59" spans="1:27" ht="12.75" customHeight="1" x14ac:dyDescent="0.35">
      <c r="A59" s="32" t="s">
        <v>633</v>
      </c>
      <c r="B59" s="6" t="s">
        <v>109</v>
      </c>
      <c r="C59" s="31" t="str">
        <f t="shared" si="10"/>
        <v>05 (perusahaan yang paling sedikit 50% (lima puluh persen) dari jumlah keseluruhan anggota Direksi dan anggota Dewan Komisaris merupakan anggota Dewan Komisaris BPR)</v>
      </c>
      <c r="D59" s="3"/>
      <c r="E59" s="16" t="s">
        <v>634</v>
      </c>
      <c r="F59" s="24" t="s">
        <v>635</v>
      </c>
      <c r="G59" s="16" t="str">
        <f t="shared" si="1"/>
        <v>0903 (Kab. Demak)</v>
      </c>
      <c r="H59" s="3"/>
      <c r="I59" s="16" t="s">
        <v>636</v>
      </c>
      <c r="J59" s="17" t="s">
        <v>637</v>
      </c>
      <c r="K59" s="16" t="str">
        <f t="shared" si="2"/>
        <v>161 (BANK GANESHA)</v>
      </c>
      <c r="L59" s="3"/>
      <c r="M59" s="3"/>
      <c r="N59" s="3"/>
      <c r="O59" s="3"/>
      <c r="P59" s="3"/>
      <c r="Q59" s="3"/>
      <c r="R59" s="3"/>
      <c r="S59" s="3"/>
      <c r="T59" s="18">
        <v>56</v>
      </c>
      <c r="U59" s="19">
        <v>810107</v>
      </c>
      <c r="V59" s="20" t="s">
        <v>638</v>
      </c>
      <c r="W59" s="20" t="s">
        <v>639</v>
      </c>
      <c r="X59" s="3"/>
      <c r="Y59" s="21" t="s">
        <v>640</v>
      </c>
      <c r="Z59" s="22" t="s">
        <v>641</v>
      </c>
      <c r="AA59" s="23" t="str">
        <f t="shared" si="3"/>
        <v>CY Cyprus</v>
      </c>
    </row>
    <row r="60" spans="1:27" ht="12.75" customHeight="1" x14ac:dyDescent="0.35">
      <c r="A60" s="29" t="s">
        <v>642</v>
      </c>
      <c r="B60" s="6" t="s">
        <v>123</v>
      </c>
      <c r="C60" s="31" t="str">
        <f t="shared" si="10"/>
        <v>06 ( Peminjam yang diberikan jaminan oleh Anggota Direksi, Anggota Dewan Komisaris, pemegang saham, pejabat eksekutif, dan pihak 1 s.d 5 diatas. )</v>
      </c>
      <c r="D60" s="3"/>
      <c r="E60" s="16" t="s">
        <v>643</v>
      </c>
      <c r="F60" s="24" t="s">
        <v>644</v>
      </c>
      <c r="G60" s="16" t="str">
        <f t="shared" si="1"/>
        <v>0904 (Kab. Grobogan)</v>
      </c>
      <c r="H60" s="3"/>
      <c r="I60" s="16" t="s">
        <v>645</v>
      </c>
      <c r="J60" s="17" t="s">
        <v>646</v>
      </c>
      <c r="K60" s="16" t="str">
        <f t="shared" si="2"/>
        <v>167 (BANK QNB INDONESIA)</v>
      </c>
      <c r="L60" s="3"/>
      <c r="M60" s="3"/>
      <c r="N60" s="3"/>
      <c r="O60" s="3"/>
      <c r="P60" s="3"/>
      <c r="Q60" s="3"/>
      <c r="R60" s="3"/>
      <c r="S60" s="3"/>
      <c r="T60" s="18">
        <v>57</v>
      </c>
      <c r="U60" s="19">
        <v>810109</v>
      </c>
      <c r="V60" s="20" t="s">
        <v>647</v>
      </c>
      <c r="W60" s="20" t="s">
        <v>648</v>
      </c>
      <c r="X60" s="3"/>
      <c r="Y60" s="21" t="s">
        <v>649</v>
      </c>
      <c r="Z60" s="22" t="s">
        <v>650</v>
      </c>
      <c r="AA60" s="23" t="str">
        <f t="shared" si="3"/>
        <v>CZ Czechia</v>
      </c>
    </row>
    <row r="61" spans="1:27" ht="12.75" customHeight="1" x14ac:dyDescent="0.35">
      <c r="A61" s="3"/>
      <c r="B61" s="2"/>
      <c r="C61" s="3"/>
      <c r="D61" s="3"/>
      <c r="E61" s="16" t="s">
        <v>651</v>
      </c>
      <c r="F61" s="24" t="s">
        <v>652</v>
      </c>
      <c r="G61" s="16" t="str">
        <f t="shared" si="1"/>
        <v>0905 (Kab. Pekalongan)</v>
      </c>
      <c r="H61" s="3"/>
      <c r="I61" s="16" t="s">
        <v>653</v>
      </c>
      <c r="J61" s="17" t="s">
        <v>654</v>
      </c>
      <c r="K61" s="16" t="str">
        <f t="shared" si="2"/>
        <v>472 (BANK JASA JAKARTA)</v>
      </c>
      <c r="L61" s="3"/>
      <c r="M61" s="3"/>
      <c r="N61" s="3"/>
      <c r="O61" s="3"/>
      <c r="P61" s="3"/>
      <c r="Q61" s="3"/>
      <c r="R61" s="3"/>
      <c r="S61" s="3"/>
      <c r="T61" s="18">
        <v>58</v>
      </c>
      <c r="U61" s="19">
        <v>810110</v>
      </c>
      <c r="V61" s="20" t="s">
        <v>655</v>
      </c>
      <c r="W61" s="20" t="s">
        <v>656</v>
      </c>
      <c r="X61" s="3"/>
      <c r="Y61" s="21" t="s">
        <v>657</v>
      </c>
      <c r="Z61" s="22" t="s">
        <v>658</v>
      </c>
      <c r="AA61" s="23" t="str">
        <f t="shared" si="3"/>
        <v>DK Denmark</v>
      </c>
    </row>
    <row r="62" spans="1:27" ht="12.75" customHeight="1" x14ac:dyDescent="0.35">
      <c r="A62" s="1" t="s">
        <v>659</v>
      </c>
      <c r="B62" s="2"/>
      <c r="C62" s="3"/>
      <c r="D62" s="3"/>
      <c r="E62" s="16" t="s">
        <v>660</v>
      </c>
      <c r="F62" s="24" t="s">
        <v>661</v>
      </c>
      <c r="G62" s="16" t="str">
        <f t="shared" si="1"/>
        <v>0906 (Kab. Tegal)</v>
      </c>
      <c r="H62" s="3"/>
      <c r="I62" s="16" t="s">
        <v>662</v>
      </c>
      <c r="J62" s="17" t="s">
        <v>663</v>
      </c>
      <c r="K62" s="16" t="str">
        <f t="shared" si="2"/>
        <v>485 (BANK MNC INTERNASIONAL d/h BANK ICB BUMIPUTERA)</v>
      </c>
      <c r="L62" s="3"/>
      <c r="M62" s="3"/>
      <c r="N62" s="3"/>
      <c r="O62" s="3"/>
      <c r="P62" s="3"/>
      <c r="Q62" s="3"/>
      <c r="R62" s="3"/>
      <c r="S62" s="3"/>
      <c r="T62" s="18">
        <v>59</v>
      </c>
      <c r="U62" s="19">
        <v>810114</v>
      </c>
      <c r="V62" s="20" t="s">
        <v>664</v>
      </c>
      <c r="W62" s="20" t="s">
        <v>665</v>
      </c>
      <c r="X62" s="3"/>
      <c r="Y62" s="21" t="s">
        <v>666</v>
      </c>
      <c r="Z62" s="22" t="s">
        <v>667</v>
      </c>
      <c r="AA62" s="23" t="str">
        <f t="shared" si="3"/>
        <v>DJ Djibouti</v>
      </c>
    </row>
    <row r="63" spans="1:27" ht="12.75" customHeight="1" x14ac:dyDescent="0.35">
      <c r="A63" s="8" t="s">
        <v>668</v>
      </c>
      <c r="B63" s="9" t="s">
        <v>2</v>
      </c>
      <c r="C63" s="10" t="s">
        <v>3</v>
      </c>
      <c r="D63" s="3"/>
      <c r="E63" s="16" t="s">
        <v>669</v>
      </c>
      <c r="F63" s="24" t="s">
        <v>670</v>
      </c>
      <c r="G63" s="16" t="str">
        <f t="shared" si="1"/>
        <v>0907 (Kab. Brebes)</v>
      </c>
      <c r="H63" s="3"/>
      <c r="I63" s="16" t="s">
        <v>671</v>
      </c>
      <c r="J63" s="17" t="s">
        <v>672</v>
      </c>
      <c r="K63" s="16" t="str">
        <f t="shared" si="2"/>
        <v>491 (BANK MITRA NIAGA)</v>
      </c>
      <c r="L63" s="3"/>
      <c r="M63" s="3"/>
      <c r="N63" s="3"/>
      <c r="O63" s="3"/>
      <c r="P63" s="3"/>
      <c r="Q63" s="3"/>
      <c r="R63" s="3"/>
      <c r="S63" s="3"/>
      <c r="T63" s="18">
        <v>60</v>
      </c>
      <c r="U63" s="19">
        <v>810115</v>
      </c>
      <c r="V63" s="20" t="s">
        <v>673</v>
      </c>
      <c r="W63" s="20" t="s">
        <v>674</v>
      </c>
      <c r="X63" s="3"/>
      <c r="Y63" s="21" t="s">
        <v>675</v>
      </c>
      <c r="Z63" s="22" t="s">
        <v>676</v>
      </c>
      <c r="AA63" s="23" t="str">
        <f t="shared" si="3"/>
        <v>DO Dominican Republic (the)</v>
      </c>
    </row>
    <row r="64" spans="1:27" ht="12.75" customHeight="1" x14ac:dyDescent="0.35">
      <c r="A64" s="31" t="s">
        <v>677</v>
      </c>
      <c r="B64" s="24" t="s">
        <v>10</v>
      </c>
      <c r="C64" s="16" t="str">
        <f t="shared" ref="C64:C66" si="11">CONCATENATE(B64," (",A64,")")</f>
        <v>01 (Dana)</v>
      </c>
      <c r="D64" s="3"/>
      <c r="E64" s="16" t="s">
        <v>678</v>
      </c>
      <c r="F64" s="24" t="s">
        <v>679</v>
      </c>
      <c r="G64" s="16" t="str">
        <f t="shared" si="1"/>
        <v>0908 (Kab. Pati)</v>
      </c>
      <c r="H64" s="3"/>
      <c r="I64" s="16" t="s">
        <v>680</v>
      </c>
      <c r="J64" s="17" t="s">
        <v>681</v>
      </c>
      <c r="K64" s="16" t="str">
        <f t="shared" si="2"/>
        <v>498 (BANK SBI)</v>
      </c>
      <c r="L64" s="3"/>
      <c r="M64" s="3"/>
      <c r="N64" s="3"/>
      <c r="O64" s="3"/>
      <c r="P64" s="3"/>
      <c r="Q64" s="3"/>
      <c r="R64" s="3"/>
      <c r="S64" s="3"/>
      <c r="T64" s="18">
        <v>61</v>
      </c>
      <c r="U64" s="19">
        <v>810119</v>
      </c>
      <c r="V64" s="20" t="s">
        <v>682</v>
      </c>
      <c r="W64" s="20" t="s">
        <v>683</v>
      </c>
      <c r="X64" s="3"/>
      <c r="Y64" s="21" t="s">
        <v>684</v>
      </c>
      <c r="Z64" s="22" t="s">
        <v>685</v>
      </c>
      <c r="AA64" s="23" t="str">
        <f t="shared" si="3"/>
        <v>DM Dominica</v>
      </c>
    </row>
    <row r="65" spans="1:27" ht="12.75" customHeight="1" x14ac:dyDescent="0.35">
      <c r="A65" s="31" t="s">
        <v>686</v>
      </c>
      <c r="B65" s="24" t="s">
        <v>27</v>
      </c>
      <c r="C65" s="31" t="str">
        <f t="shared" si="11"/>
        <v>02 (Tanah dan bangunan yang dapat diperhitungkan sebagai modal inti)</v>
      </c>
      <c r="D65" s="3"/>
      <c r="E65" s="16" t="s">
        <v>687</v>
      </c>
      <c r="F65" s="24" t="s">
        <v>688</v>
      </c>
      <c r="G65" s="16" t="str">
        <f t="shared" si="1"/>
        <v>0909 (Kab. Kudus)</v>
      </c>
      <c r="H65" s="3"/>
      <c r="I65" s="16" t="s">
        <v>689</v>
      </c>
      <c r="J65" s="17" t="s">
        <v>690</v>
      </c>
      <c r="K65" s="16" t="str">
        <f t="shared" si="2"/>
        <v>501 (BANK ROYAL INDONESIA)</v>
      </c>
      <c r="L65" s="3"/>
      <c r="M65" s="3"/>
      <c r="N65" s="3"/>
      <c r="O65" s="3"/>
      <c r="P65" s="3"/>
      <c r="Q65" s="3"/>
      <c r="R65" s="3"/>
      <c r="S65" s="3"/>
      <c r="T65" s="18">
        <v>62</v>
      </c>
      <c r="U65" s="19">
        <v>810121</v>
      </c>
      <c r="V65" s="20" t="s">
        <v>691</v>
      </c>
      <c r="W65" s="20" t="s">
        <v>692</v>
      </c>
      <c r="X65" s="3"/>
      <c r="Y65" s="21" t="s">
        <v>693</v>
      </c>
      <c r="Z65" s="22" t="s">
        <v>694</v>
      </c>
      <c r="AA65" s="23" t="str">
        <f t="shared" si="3"/>
        <v>EC Ecuador</v>
      </c>
    </row>
    <row r="66" spans="1:27" ht="12.75" customHeight="1" x14ac:dyDescent="0.35">
      <c r="A66" s="31" t="s">
        <v>695</v>
      </c>
      <c r="B66" s="24" t="s">
        <v>41</v>
      </c>
      <c r="C66" s="31" t="str">
        <f t="shared" si="11"/>
        <v>03 (Tanah dan bangunan yang tidak dapat diperhitungkan sebagai modal inti)</v>
      </c>
      <c r="D66" s="3"/>
      <c r="E66" s="16" t="s">
        <v>696</v>
      </c>
      <c r="F66" s="24" t="s">
        <v>697</v>
      </c>
      <c r="G66" s="16" t="str">
        <f t="shared" si="1"/>
        <v>0910 (Kab. Pemalang)</v>
      </c>
      <c r="H66" s="3"/>
      <c r="I66" s="16" t="s">
        <v>698</v>
      </c>
      <c r="J66" s="17" t="s">
        <v>699</v>
      </c>
      <c r="K66" s="16" t="str">
        <f t="shared" si="2"/>
        <v>523 (BANK SAHABAT SAMPOERNA d/h BANK DIPO INTERNASIONAL)</v>
      </c>
      <c r="L66" s="3"/>
      <c r="M66" s="3"/>
      <c r="N66" s="3"/>
      <c r="O66" s="3"/>
      <c r="P66" s="3"/>
      <c r="Q66" s="3"/>
      <c r="R66" s="3"/>
      <c r="S66" s="3"/>
      <c r="T66" s="18">
        <v>63</v>
      </c>
      <c r="U66" s="19">
        <v>810125</v>
      </c>
      <c r="V66" s="20" t="s">
        <v>700</v>
      </c>
      <c r="W66" s="20" t="s">
        <v>701</v>
      </c>
      <c r="X66" s="3"/>
      <c r="Y66" s="21" t="s">
        <v>702</v>
      </c>
      <c r="Z66" s="22" t="s">
        <v>703</v>
      </c>
      <c r="AA66" s="23" t="str">
        <f t="shared" si="3"/>
        <v>EG Egypt</v>
      </c>
    </row>
    <row r="67" spans="1:27" ht="12.75" customHeight="1" x14ac:dyDescent="0.35">
      <c r="A67" s="3"/>
      <c r="B67" s="2"/>
      <c r="C67" s="3"/>
      <c r="D67" s="3"/>
      <c r="E67" s="16" t="s">
        <v>704</v>
      </c>
      <c r="F67" s="24" t="s">
        <v>705</v>
      </c>
      <c r="G67" s="16" t="str">
        <f t="shared" si="1"/>
        <v>0911 (Kab. Jepara)</v>
      </c>
      <c r="H67" s="3"/>
      <c r="I67" s="16" t="s">
        <v>706</v>
      </c>
      <c r="J67" s="17" t="s">
        <v>707</v>
      </c>
      <c r="K67" s="16" t="str">
        <f t="shared" si="2"/>
        <v>535 (BANK KESEJAHTERAAN)</v>
      </c>
      <c r="L67" s="3"/>
      <c r="M67" s="3"/>
      <c r="N67" s="3"/>
      <c r="O67" s="3"/>
      <c r="P67" s="3"/>
      <c r="Q67" s="3"/>
      <c r="R67" s="3"/>
      <c r="S67" s="3"/>
      <c r="T67" s="18">
        <v>64</v>
      </c>
      <c r="U67" s="19">
        <v>810126</v>
      </c>
      <c r="V67" s="20" t="s">
        <v>708</v>
      </c>
      <c r="W67" s="20" t="s">
        <v>709</v>
      </c>
      <c r="X67" s="3"/>
      <c r="Y67" s="21" t="s">
        <v>710</v>
      </c>
      <c r="Z67" s="22" t="s">
        <v>711</v>
      </c>
      <c r="AA67" s="23" t="str">
        <f t="shared" si="3"/>
        <v>SV El Salvador</v>
      </c>
    </row>
    <row r="68" spans="1:27" ht="12.75" customHeight="1" x14ac:dyDescent="0.35">
      <c r="A68" s="1" t="s">
        <v>659</v>
      </c>
      <c r="B68" s="2"/>
      <c r="C68" s="3"/>
      <c r="D68" s="3"/>
      <c r="E68" s="16" t="s">
        <v>712</v>
      </c>
      <c r="F68" s="24" t="s">
        <v>713</v>
      </c>
      <c r="G68" s="16" t="str">
        <f t="shared" si="1"/>
        <v>0912 (Kab. Rembang)</v>
      </c>
      <c r="H68" s="3"/>
      <c r="I68" s="16" t="s">
        <v>714</v>
      </c>
      <c r="J68" s="17" t="s">
        <v>715</v>
      </c>
      <c r="K68" s="16" t="str">
        <f t="shared" si="2"/>
        <v>548 (BANK MULTIARTA SENTOSA)</v>
      </c>
      <c r="L68" s="3"/>
      <c r="M68" s="3"/>
      <c r="N68" s="3"/>
      <c r="O68" s="3"/>
      <c r="P68" s="3"/>
      <c r="Q68" s="3"/>
      <c r="R68" s="3"/>
      <c r="S68" s="3"/>
      <c r="T68" s="18">
        <v>65</v>
      </c>
      <c r="U68" s="19">
        <v>810132</v>
      </c>
      <c r="V68" s="20" t="s">
        <v>716</v>
      </c>
      <c r="W68" s="20" t="s">
        <v>717</v>
      </c>
      <c r="X68" s="3"/>
      <c r="Y68" s="21" t="s">
        <v>718</v>
      </c>
      <c r="Z68" s="22" t="s">
        <v>719</v>
      </c>
      <c r="AA68" s="23" t="str">
        <f t="shared" si="3"/>
        <v>GQ Equatorial Guinea</v>
      </c>
    </row>
    <row r="69" spans="1:27" ht="12.75" customHeight="1" x14ac:dyDescent="0.35">
      <c r="A69" s="34" t="s">
        <v>720</v>
      </c>
      <c r="B69" s="9" t="s">
        <v>2</v>
      </c>
      <c r="C69" s="10" t="s">
        <v>3</v>
      </c>
      <c r="D69" s="3"/>
      <c r="E69" s="16" t="s">
        <v>721</v>
      </c>
      <c r="F69" s="24" t="s">
        <v>722</v>
      </c>
      <c r="G69" s="16" t="str">
        <f t="shared" si="1"/>
        <v>0913 (Kab. Blora)</v>
      </c>
      <c r="H69" s="3"/>
      <c r="I69" s="16" t="s">
        <v>723</v>
      </c>
      <c r="J69" s="17" t="s">
        <v>724</v>
      </c>
      <c r="K69" s="16" t="str">
        <f t="shared" si="2"/>
        <v>553 (BANK MAYORA)</v>
      </c>
      <c r="L69" s="3"/>
      <c r="M69" s="3"/>
      <c r="N69" s="3"/>
      <c r="O69" s="3"/>
      <c r="P69" s="3"/>
      <c r="Q69" s="3"/>
      <c r="R69" s="3"/>
      <c r="S69" s="3"/>
      <c r="T69" s="18">
        <v>66</v>
      </c>
      <c r="U69" s="19">
        <v>810135</v>
      </c>
      <c r="V69" s="20" t="s">
        <v>725</v>
      </c>
      <c r="W69" s="20" t="s">
        <v>726</v>
      </c>
      <c r="X69" s="3"/>
      <c r="Y69" s="21" t="s">
        <v>727</v>
      </c>
      <c r="Z69" s="22" t="s">
        <v>728</v>
      </c>
      <c r="AA69" s="23" t="str">
        <f t="shared" ref="AA69:AA132" si="12">CONCATENATE(Y69," ",Z69)</f>
        <v>ER Eritrea</v>
      </c>
    </row>
    <row r="70" spans="1:27" ht="12.75" customHeight="1" x14ac:dyDescent="0.35">
      <c r="A70" s="35" t="s">
        <v>729</v>
      </c>
      <c r="B70" s="24" t="s">
        <v>10</v>
      </c>
      <c r="C70" s="16" t="str">
        <f t="shared" ref="C70:C72" si="13">CONCATENATE(B70," (",A70,")")</f>
        <v>01 (Modal Disetor)</v>
      </c>
      <c r="D70" s="3"/>
      <c r="E70" s="16" t="s">
        <v>730</v>
      </c>
      <c r="F70" s="24" t="s">
        <v>731</v>
      </c>
      <c r="G70" s="16" t="str">
        <f t="shared" si="1"/>
        <v>0914 (Kab. Banyumas)</v>
      </c>
      <c r="H70" s="3"/>
      <c r="I70" s="16" t="s">
        <v>732</v>
      </c>
      <c r="J70" s="17" t="s">
        <v>733</v>
      </c>
      <c r="K70" s="16" t="str">
        <f t="shared" si="2"/>
        <v>555 (INDEX SELINDO)</v>
      </c>
      <c r="L70" s="3"/>
      <c r="M70" s="3"/>
      <c r="N70" s="3"/>
      <c r="O70" s="3"/>
      <c r="P70" s="3"/>
      <c r="Q70" s="3"/>
      <c r="R70" s="3"/>
      <c r="S70" s="3"/>
      <c r="T70" s="18">
        <v>67</v>
      </c>
      <c r="U70" s="19">
        <v>810145</v>
      </c>
      <c r="V70" s="20" t="s">
        <v>734</v>
      </c>
      <c r="W70" s="20" t="s">
        <v>735</v>
      </c>
      <c r="X70" s="3"/>
      <c r="Y70" s="21" t="s">
        <v>736</v>
      </c>
      <c r="Z70" s="22" t="s">
        <v>737</v>
      </c>
      <c r="AA70" s="23" t="str">
        <f t="shared" si="12"/>
        <v>EE Estonia</v>
      </c>
    </row>
    <row r="71" spans="1:27" ht="12.75" customHeight="1" x14ac:dyDescent="0.35">
      <c r="A71" s="35" t="s">
        <v>738</v>
      </c>
      <c r="B71" s="24" t="s">
        <v>27</v>
      </c>
      <c r="C71" s="16" t="str">
        <f t="shared" si="13"/>
        <v>02 (Modal Sumbangan)</v>
      </c>
      <c r="D71" s="3"/>
      <c r="E71" s="16" t="s">
        <v>739</v>
      </c>
      <c r="F71" s="24" t="s">
        <v>740</v>
      </c>
      <c r="G71" s="16" t="str">
        <f t="shared" si="1"/>
        <v>0915 (Kab. Cilacap)</v>
      </c>
      <c r="H71" s="3"/>
      <c r="I71" s="16" t="s">
        <v>741</v>
      </c>
      <c r="J71" s="17" t="s">
        <v>742</v>
      </c>
      <c r="K71" s="16" t="str">
        <f t="shared" si="2"/>
        <v>566 (BANK VICTORIA INTERNASIONAL)</v>
      </c>
      <c r="L71" s="3"/>
      <c r="M71" s="3"/>
      <c r="N71" s="3"/>
      <c r="O71" s="3"/>
      <c r="P71" s="3"/>
      <c r="Q71" s="3"/>
      <c r="R71" s="3"/>
      <c r="S71" s="3"/>
      <c r="T71" s="18">
        <v>68</v>
      </c>
      <c r="U71" s="19">
        <v>810146</v>
      </c>
      <c r="V71" s="20" t="s">
        <v>743</v>
      </c>
      <c r="W71" s="20" t="s">
        <v>744</v>
      </c>
      <c r="X71" s="3"/>
      <c r="Y71" s="21" t="s">
        <v>745</v>
      </c>
      <c r="Z71" s="22" t="s">
        <v>746</v>
      </c>
      <c r="AA71" s="23" t="str">
        <f t="shared" si="12"/>
        <v>ET Ethiopia</v>
      </c>
    </row>
    <row r="72" spans="1:27" ht="12.75" customHeight="1" x14ac:dyDescent="0.35">
      <c r="A72" s="35" t="s">
        <v>747</v>
      </c>
      <c r="B72" s="24" t="s">
        <v>41</v>
      </c>
      <c r="C72" s="16" t="str">
        <f t="shared" si="13"/>
        <v>03 (Dana Setoran Modal - Ekuitas)</v>
      </c>
      <c r="D72" s="3"/>
      <c r="E72" s="16" t="s">
        <v>748</v>
      </c>
      <c r="F72" s="24" t="s">
        <v>749</v>
      </c>
      <c r="G72" s="16" t="str">
        <f t="shared" si="1"/>
        <v>0916 (Kab. Purbalingga)</v>
      </c>
      <c r="H72" s="3"/>
      <c r="I72" s="16" t="s">
        <v>750</v>
      </c>
      <c r="J72" s="17" t="s">
        <v>751</v>
      </c>
      <c r="K72" s="16" t="str">
        <f t="shared" si="2"/>
        <v>567 (BANK HARDA INTERNASIONAL)</v>
      </c>
      <c r="L72" s="3"/>
      <c r="M72" s="3"/>
      <c r="N72" s="3"/>
      <c r="O72" s="3"/>
      <c r="P72" s="3"/>
      <c r="Q72" s="3"/>
      <c r="R72" s="3"/>
      <c r="S72" s="3"/>
      <c r="T72" s="18">
        <v>69</v>
      </c>
      <c r="U72" s="19">
        <v>810148</v>
      </c>
      <c r="V72" s="20" t="s">
        <v>752</v>
      </c>
      <c r="W72" s="20" t="s">
        <v>753</v>
      </c>
      <c r="X72" s="3"/>
      <c r="Y72" s="21" t="s">
        <v>754</v>
      </c>
      <c r="Z72" s="22" t="s">
        <v>755</v>
      </c>
      <c r="AA72" s="23" t="str">
        <f t="shared" si="12"/>
        <v>FK Falkland Islands (the) [Malvinas]</v>
      </c>
    </row>
    <row r="73" spans="1:27" ht="12.75" customHeight="1" x14ac:dyDescent="0.35">
      <c r="A73" s="36"/>
      <c r="B73" s="37"/>
      <c r="C73" s="36"/>
      <c r="D73" s="3"/>
      <c r="E73" s="16" t="s">
        <v>756</v>
      </c>
      <c r="F73" s="24" t="s">
        <v>757</v>
      </c>
      <c r="G73" s="16" t="str">
        <f t="shared" si="1"/>
        <v>0917 (Kab. Banjarnegara)</v>
      </c>
      <c r="H73" s="3"/>
      <c r="I73" s="16" t="s">
        <v>758</v>
      </c>
      <c r="J73" s="17" t="s">
        <v>759</v>
      </c>
      <c r="K73" s="16" t="str">
        <f t="shared" si="2"/>
        <v>110 (BANK JABAR DAN BANTEN)</v>
      </c>
      <c r="L73" s="3"/>
      <c r="M73" s="3"/>
      <c r="N73" s="3"/>
      <c r="O73" s="3"/>
      <c r="P73" s="3"/>
      <c r="Q73" s="3"/>
      <c r="R73" s="3"/>
      <c r="S73" s="3"/>
      <c r="T73" s="18">
        <v>70</v>
      </c>
      <c r="U73" s="19">
        <v>810149</v>
      </c>
      <c r="V73" s="20" t="s">
        <v>760</v>
      </c>
      <c r="W73" s="20" t="s">
        <v>761</v>
      </c>
      <c r="X73" s="3"/>
      <c r="Y73" s="21" t="s">
        <v>762</v>
      </c>
      <c r="Z73" s="22" t="s">
        <v>763</v>
      </c>
      <c r="AA73" s="23" t="str">
        <f t="shared" si="12"/>
        <v>FO Faroe Islands (the)</v>
      </c>
    </row>
    <row r="74" spans="1:27" ht="12.75" customHeight="1" x14ac:dyDescent="0.35">
      <c r="A74" s="3" t="s">
        <v>764</v>
      </c>
      <c r="B74" s="2"/>
      <c r="C74" s="3"/>
      <c r="D74" s="3"/>
      <c r="E74" s="16" t="s">
        <v>765</v>
      </c>
      <c r="F74" s="24" t="s">
        <v>766</v>
      </c>
      <c r="G74" s="16" t="str">
        <f t="shared" si="1"/>
        <v>0918 (Kab. Magelang)</v>
      </c>
      <c r="H74" s="3"/>
      <c r="I74" s="16" t="s">
        <v>767</v>
      </c>
      <c r="J74" s="17" t="s">
        <v>768</v>
      </c>
      <c r="K74" s="16" t="str">
        <f t="shared" si="2"/>
        <v>112 (BPD YOGYAKARTA)</v>
      </c>
      <c r="L74" s="3"/>
      <c r="M74" s="3"/>
      <c r="N74" s="3"/>
      <c r="O74" s="3"/>
      <c r="P74" s="3"/>
      <c r="Q74" s="3"/>
      <c r="R74" s="3"/>
      <c r="S74" s="3"/>
      <c r="T74" s="18">
        <v>71</v>
      </c>
      <c r="U74" s="19">
        <v>810151</v>
      </c>
      <c r="V74" s="20" t="s">
        <v>769</v>
      </c>
      <c r="W74" s="20" t="s">
        <v>770</v>
      </c>
      <c r="X74" s="3"/>
      <c r="Y74" s="21" t="s">
        <v>771</v>
      </c>
      <c r="Z74" s="22" t="s">
        <v>772</v>
      </c>
      <c r="AA74" s="23" t="str">
        <f t="shared" si="12"/>
        <v>FJ Fiji</v>
      </c>
    </row>
    <row r="75" spans="1:27" ht="12.75" customHeight="1" x14ac:dyDescent="0.35">
      <c r="A75" s="34" t="s">
        <v>773</v>
      </c>
      <c r="B75" s="9" t="s">
        <v>2</v>
      </c>
      <c r="C75" s="10" t="s">
        <v>3</v>
      </c>
      <c r="D75" s="3"/>
      <c r="E75" s="16" t="s">
        <v>774</v>
      </c>
      <c r="F75" s="24" t="s">
        <v>775</v>
      </c>
      <c r="G75" s="16" t="str">
        <f t="shared" si="1"/>
        <v>0919 (Kab. Temanggung)</v>
      </c>
      <c r="H75" s="3"/>
      <c r="I75" s="16" t="s">
        <v>776</v>
      </c>
      <c r="J75" s="17" t="s">
        <v>777</v>
      </c>
      <c r="K75" s="16" t="str">
        <f t="shared" si="2"/>
        <v>113 (BPD JAWA TENGAH)</v>
      </c>
      <c r="L75" s="3"/>
      <c r="M75" s="3"/>
      <c r="N75" s="3"/>
      <c r="O75" s="3"/>
      <c r="P75" s="3"/>
      <c r="Q75" s="3"/>
      <c r="R75" s="3"/>
      <c r="S75" s="3"/>
      <c r="T75" s="18">
        <v>72</v>
      </c>
      <c r="U75" s="19">
        <v>810153</v>
      </c>
      <c r="V75" s="20" t="s">
        <v>778</v>
      </c>
      <c r="W75" s="20" t="s">
        <v>779</v>
      </c>
      <c r="X75" s="3"/>
      <c r="Y75" s="21" t="s">
        <v>780</v>
      </c>
      <c r="Z75" s="22" t="s">
        <v>781</v>
      </c>
      <c r="AA75" s="23" t="str">
        <f t="shared" si="12"/>
        <v>FI Finland</v>
      </c>
    </row>
    <row r="76" spans="1:27" ht="12.75" customHeight="1" x14ac:dyDescent="0.35">
      <c r="A76" s="16" t="s">
        <v>782</v>
      </c>
      <c r="B76" s="24" t="s">
        <v>783</v>
      </c>
      <c r="C76" s="31" t="str">
        <f t="shared" ref="C76:C102" si="14">CONCATENATE(B76," (",A76,")")</f>
        <v>001 (Bank Indonesia)</v>
      </c>
      <c r="D76" s="3"/>
      <c r="E76" s="16" t="s">
        <v>784</v>
      </c>
      <c r="F76" s="24" t="s">
        <v>785</v>
      </c>
      <c r="G76" s="16" t="str">
        <f t="shared" si="1"/>
        <v>0920 (Kab. Wonosobo)</v>
      </c>
      <c r="H76" s="3"/>
      <c r="I76" s="16" t="s">
        <v>786</v>
      </c>
      <c r="J76" s="17" t="s">
        <v>787</v>
      </c>
      <c r="K76" s="16" t="str">
        <f t="shared" si="2"/>
        <v>114 (BPD JAWA TIMUR)</v>
      </c>
      <c r="L76" s="3"/>
      <c r="M76" s="3"/>
      <c r="N76" s="3"/>
      <c r="O76" s="3"/>
      <c r="P76" s="3"/>
      <c r="Q76" s="3"/>
      <c r="R76" s="3"/>
      <c r="S76" s="3"/>
      <c r="T76" s="18">
        <v>73</v>
      </c>
      <c r="U76" s="19">
        <v>810159</v>
      </c>
      <c r="V76" s="20" t="s">
        <v>788</v>
      </c>
      <c r="W76" s="20" t="s">
        <v>789</v>
      </c>
      <c r="X76" s="3"/>
      <c r="Y76" s="21" t="s">
        <v>790</v>
      </c>
      <c r="Z76" s="22" t="s">
        <v>791</v>
      </c>
      <c r="AA76" s="23" t="str">
        <f t="shared" si="12"/>
        <v>FR France</v>
      </c>
    </row>
    <row r="77" spans="1:27" ht="12.75" customHeight="1" x14ac:dyDescent="0.35">
      <c r="A77" s="5" t="s">
        <v>792</v>
      </c>
      <c r="B77" s="15">
        <v>600</v>
      </c>
      <c r="C77" s="31" t="str">
        <f t="shared" si="14"/>
        <v>600 (BPR Konvensional)</v>
      </c>
      <c r="D77" s="3"/>
      <c r="E77" s="16" t="s">
        <v>793</v>
      </c>
      <c r="F77" s="24" t="s">
        <v>794</v>
      </c>
      <c r="G77" s="16" t="str">
        <f t="shared" si="1"/>
        <v>0921 (Kab. Purworejo)</v>
      </c>
      <c r="H77" s="3"/>
      <c r="I77" s="16" t="s">
        <v>795</v>
      </c>
      <c r="J77" s="17" t="s">
        <v>796</v>
      </c>
      <c r="K77" s="16" t="str">
        <f t="shared" si="2"/>
        <v>115 (BPD JAMBI)</v>
      </c>
      <c r="L77" s="3"/>
      <c r="M77" s="3"/>
      <c r="N77" s="3"/>
      <c r="O77" s="3"/>
      <c r="P77" s="3"/>
      <c r="Q77" s="3"/>
      <c r="R77" s="3"/>
      <c r="S77" s="3"/>
      <c r="T77" s="18">
        <v>74</v>
      </c>
      <c r="U77" s="19">
        <v>810161</v>
      </c>
      <c r="V77" s="20" t="s">
        <v>797</v>
      </c>
      <c r="W77" s="20" t="s">
        <v>798</v>
      </c>
      <c r="X77" s="3"/>
      <c r="Y77" s="21" t="s">
        <v>799</v>
      </c>
      <c r="Z77" s="22" t="s">
        <v>800</v>
      </c>
      <c r="AA77" s="23" t="str">
        <f t="shared" si="12"/>
        <v>GF French Guiana</v>
      </c>
    </row>
    <row r="78" spans="1:27" ht="12.75" customHeight="1" x14ac:dyDescent="0.35">
      <c r="A78" s="5" t="s">
        <v>801</v>
      </c>
      <c r="B78" s="15">
        <v>601</v>
      </c>
      <c r="C78" s="31" t="str">
        <f t="shared" si="14"/>
        <v>601 (BPR Syariah)</v>
      </c>
      <c r="D78" s="3"/>
      <c r="E78" s="16" t="s">
        <v>802</v>
      </c>
      <c r="F78" s="24" t="s">
        <v>803</v>
      </c>
      <c r="G78" s="16" t="str">
        <f t="shared" si="1"/>
        <v>0922 (Kab. Kebumen)</v>
      </c>
      <c r="H78" s="3"/>
      <c r="I78" s="16" t="s">
        <v>804</v>
      </c>
      <c r="J78" s="17" t="s">
        <v>805</v>
      </c>
      <c r="K78" s="16" t="str">
        <f t="shared" si="2"/>
        <v>116 (BPD ACEH)</v>
      </c>
      <c r="L78" s="3"/>
      <c r="M78" s="3"/>
      <c r="N78" s="3"/>
      <c r="O78" s="3"/>
      <c r="P78" s="3"/>
      <c r="Q78" s="3"/>
      <c r="R78" s="3"/>
      <c r="S78" s="3"/>
      <c r="T78" s="18">
        <v>75</v>
      </c>
      <c r="U78" s="19">
        <v>820007</v>
      </c>
      <c r="V78" s="20" t="s">
        <v>806</v>
      </c>
      <c r="W78" s="20" t="s">
        <v>807</v>
      </c>
      <c r="X78" s="3"/>
      <c r="Y78" s="21" t="s">
        <v>808</v>
      </c>
      <c r="Z78" s="22" t="s">
        <v>809</v>
      </c>
      <c r="AA78" s="23" t="str">
        <f t="shared" si="12"/>
        <v>PF French Polynesia</v>
      </c>
    </row>
    <row r="79" spans="1:27" ht="12.75" customHeight="1" x14ac:dyDescent="0.35">
      <c r="A79" s="5" t="s">
        <v>810</v>
      </c>
      <c r="B79" s="15">
        <v>700</v>
      </c>
      <c r="C79" s="31" t="str">
        <f t="shared" si="14"/>
        <v>700 (Bank Umum Konvensional)</v>
      </c>
      <c r="D79" s="3"/>
      <c r="E79" s="16" t="s">
        <v>811</v>
      </c>
      <c r="F79" s="24" t="s">
        <v>812</v>
      </c>
      <c r="G79" s="16" t="str">
        <f t="shared" si="1"/>
        <v>0923 (Kab. Klaten)</v>
      </c>
      <c r="H79" s="3"/>
      <c r="I79" s="16" t="s">
        <v>813</v>
      </c>
      <c r="J79" s="17" t="s">
        <v>814</v>
      </c>
      <c r="K79" s="16" t="str">
        <f t="shared" si="2"/>
        <v>117 (BPD SUMATERA UTARA)</v>
      </c>
      <c r="L79" s="3"/>
      <c r="M79" s="3"/>
      <c r="N79" s="3"/>
      <c r="O79" s="3"/>
      <c r="P79" s="3"/>
      <c r="Q79" s="3"/>
      <c r="R79" s="3"/>
      <c r="S79" s="3"/>
      <c r="T79" s="18">
        <v>76</v>
      </c>
      <c r="U79" s="19">
        <v>820014</v>
      </c>
      <c r="V79" s="20" t="s">
        <v>815</v>
      </c>
      <c r="W79" s="20" t="s">
        <v>816</v>
      </c>
      <c r="X79" s="3"/>
      <c r="Y79" s="21" t="s">
        <v>817</v>
      </c>
      <c r="Z79" s="22" t="s">
        <v>818</v>
      </c>
      <c r="AA79" s="23" t="str">
        <f t="shared" si="12"/>
        <v>TF French Southern Territories (the)</v>
      </c>
    </row>
    <row r="80" spans="1:27" ht="12.75" customHeight="1" x14ac:dyDescent="0.35">
      <c r="A80" s="5" t="s">
        <v>819</v>
      </c>
      <c r="B80" s="15">
        <v>701</v>
      </c>
      <c r="C80" s="31" t="str">
        <f t="shared" si="14"/>
        <v>701 (Bank Umum Syariah)</v>
      </c>
      <c r="D80" s="3"/>
      <c r="E80" s="16" t="s">
        <v>820</v>
      </c>
      <c r="F80" s="24" t="s">
        <v>821</v>
      </c>
      <c r="G80" s="16" t="str">
        <f t="shared" si="1"/>
        <v>0924 (Kab. Boyolali)</v>
      </c>
      <c r="H80" s="3"/>
      <c r="I80" s="16" t="s">
        <v>822</v>
      </c>
      <c r="J80" s="17" t="s">
        <v>823</v>
      </c>
      <c r="K80" s="16" t="str">
        <f t="shared" si="2"/>
        <v>118 (BPD SUMATERA BARAT)</v>
      </c>
      <c r="L80" s="3"/>
      <c r="M80" s="3"/>
      <c r="N80" s="3"/>
      <c r="O80" s="3"/>
      <c r="P80" s="3"/>
      <c r="Q80" s="3"/>
      <c r="R80" s="3"/>
      <c r="S80" s="3"/>
      <c r="T80" s="18">
        <v>77</v>
      </c>
      <c r="U80" s="19">
        <v>820020</v>
      </c>
      <c r="V80" s="20" t="s">
        <v>824</v>
      </c>
      <c r="W80" s="20" t="s">
        <v>825</v>
      </c>
      <c r="X80" s="3"/>
      <c r="Y80" s="21" t="s">
        <v>826</v>
      </c>
      <c r="Z80" s="22" t="s">
        <v>827</v>
      </c>
      <c r="AA80" s="23" t="str">
        <f t="shared" si="12"/>
        <v>GA Gabon</v>
      </c>
    </row>
    <row r="81" spans="1:27" ht="12.75" customHeight="1" x14ac:dyDescent="0.35">
      <c r="A81" s="5" t="s">
        <v>828</v>
      </c>
      <c r="B81" s="15">
        <v>901</v>
      </c>
      <c r="C81" s="31" t="str">
        <f t="shared" si="14"/>
        <v>901 (Unit Usaha Syariah (KC Syariah Bank Umum Konvensional))</v>
      </c>
      <c r="D81" s="3"/>
      <c r="E81" s="16" t="s">
        <v>829</v>
      </c>
      <c r="F81" s="24" t="s">
        <v>830</v>
      </c>
      <c r="G81" s="16" t="str">
        <f t="shared" si="1"/>
        <v>0925 (Kab. Sragen)</v>
      </c>
      <c r="H81" s="3"/>
      <c r="I81" s="16" t="s">
        <v>831</v>
      </c>
      <c r="J81" s="17" t="s">
        <v>832</v>
      </c>
      <c r="K81" s="16" t="str">
        <f t="shared" si="2"/>
        <v>119 (BPD RIAU KEPRI)</v>
      </c>
      <c r="L81" s="3"/>
      <c r="M81" s="3"/>
      <c r="N81" s="3"/>
      <c r="O81" s="3"/>
      <c r="P81" s="3"/>
      <c r="Q81" s="3"/>
      <c r="R81" s="3"/>
      <c r="S81" s="3"/>
      <c r="T81" s="18">
        <v>78</v>
      </c>
      <c r="U81" s="19">
        <v>820034</v>
      </c>
      <c r="V81" s="20" t="s">
        <v>833</v>
      </c>
      <c r="W81" s="20" t="s">
        <v>834</v>
      </c>
      <c r="X81" s="3"/>
      <c r="Y81" s="21" t="s">
        <v>835</v>
      </c>
      <c r="Z81" s="22" t="s">
        <v>836</v>
      </c>
      <c r="AA81" s="23" t="str">
        <f t="shared" si="12"/>
        <v>GM Gambia (the)</v>
      </c>
    </row>
    <row r="82" spans="1:27" ht="12.75" customHeight="1" x14ac:dyDescent="0.35">
      <c r="A82" s="5" t="s">
        <v>837</v>
      </c>
      <c r="B82" s="15">
        <v>800</v>
      </c>
      <c r="C82" s="31" t="str">
        <f t="shared" si="14"/>
        <v>800 (Pemerintah Pusat)</v>
      </c>
      <c r="D82" s="3"/>
      <c r="E82" s="16" t="s">
        <v>838</v>
      </c>
      <c r="F82" s="24" t="s">
        <v>839</v>
      </c>
      <c r="G82" s="16" t="str">
        <f t="shared" si="1"/>
        <v>0926 (Kab. Sukoharjo)</v>
      </c>
      <c r="H82" s="3"/>
      <c r="I82" s="16" t="s">
        <v>840</v>
      </c>
      <c r="J82" s="17" t="s">
        <v>841</v>
      </c>
      <c r="K82" s="16" t="str">
        <f t="shared" si="2"/>
        <v>120 (BPD SUMATERA SELATAN DAN BANGKA BELITUNG)</v>
      </c>
      <c r="L82" s="3"/>
      <c r="M82" s="3"/>
      <c r="N82" s="3"/>
      <c r="O82" s="3"/>
      <c r="P82" s="3"/>
      <c r="Q82" s="3"/>
      <c r="R82" s="3"/>
      <c r="S82" s="3"/>
      <c r="T82" s="18">
        <v>79</v>
      </c>
      <c r="U82" s="19">
        <v>820041</v>
      </c>
      <c r="V82" s="20" t="s">
        <v>842</v>
      </c>
      <c r="W82" s="20" t="s">
        <v>843</v>
      </c>
      <c r="X82" s="3"/>
      <c r="Y82" s="21" t="s">
        <v>844</v>
      </c>
      <c r="Z82" s="22" t="s">
        <v>845</v>
      </c>
      <c r="AA82" s="23" t="str">
        <f t="shared" si="12"/>
        <v>GE Georgia</v>
      </c>
    </row>
    <row r="83" spans="1:27" ht="12.75" customHeight="1" x14ac:dyDescent="0.35">
      <c r="A83" s="5" t="s">
        <v>846</v>
      </c>
      <c r="B83" s="15">
        <v>805</v>
      </c>
      <c r="C83" s="31" t="str">
        <f t="shared" si="14"/>
        <v>805 (Pemerintah Daerah)</v>
      </c>
      <c r="D83" s="3"/>
      <c r="E83" s="16" t="s">
        <v>847</v>
      </c>
      <c r="F83" s="24" t="s">
        <v>848</v>
      </c>
      <c r="G83" s="16" t="str">
        <f t="shared" si="1"/>
        <v>0927 (Kab. Karanganyar)</v>
      </c>
      <c r="H83" s="3"/>
      <c r="I83" s="16" t="s">
        <v>849</v>
      </c>
      <c r="J83" s="17" t="s">
        <v>850</v>
      </c>
      <c r="K83" s="16" t="str">
        <f t="shared" si="2"/>
        <v>121 (BPD LAMPUNG)</v>
      </c>
      <c r="L83" s="3"/>
      <c r="M83" s="3"/>
      <c r="N83" s="3"/>
      <c r="O83" s="3"/>
      <c r="P83" s="3"/>
      <c r="Q83" s="3"/>
      <c r="R83" s="3"/>
      <c r="S83" s="3"/>
      <c r="T83" s="18">
        <v>80</v>
      </c>
      <c r="U83" s="19">
        <v>820043</v>
      </c>
      <c r="V83" s="20" t="s">
        <v>851</v>
      </c>
      <c r="W83" s="20" t="s">
        <v>852</v>
      </c>
      <c r="X83" s="3"/>
      <c r="Y83" s="21" t="s">
        <v>853</v>
      </c>
      <c r="Z83" s="22" t="s">
        <v>854</v>
      </c>
      <c r="AA83" s="23" t="str">
        <f t="shared" si="12"/>
        <v>DE Germany</v>
      </c>
    </row>
    <row r="84" spans="1:27" ht="12.75" customHeight="1" x14ac:dyDescent="0.35">
      <c r="A84" s="38" t="s">
        <v>855</v>
      </c>
      <c r="B84" s="15">
        <v>831</v>
      </c>
      <c r="C84" s="31" t="str">
        <f t="shared" si="14"/>
        <v>831 (BUMN yang melakukan usaha penjaminan kredit dan memenuhi persyaratan sebagaimana POJK KPMM)</v>
      </c>
      <c r="D84" s="3"/>
      <c r="E84" s="16" t="s">
        <v>856</v>
      </c>
      <c r="F84" s="24" t="s">
        <v>857</v>
      </c>
      <c r="G84" s="16" t="str">
        <f t="shared" si="1"/>
        <v>0928 (Kab. Wonogiri)</v>
      </c>
      <c r="H84" s="3"/>
      <c r="I84" s="16" t="s">
        <v>858</v>
      </c>
      <c r="J84" s="17" t="s">
        <v>859</v>
      </c>
      <c r="K84" s="16" t="str">
        <f t="shared" si="2"/>
        <v>122 (BPD KALIMANTAN SELATAN)</v>
      </c>
      <c r="L84" s="3"/>
      <c r="M84" s="3"/>
      <c r="N84" s="3"/>
      <c r="O84" s="3"/>
      <c r="P84" s="3"/>
      <c r="Q84" s="3"/>
      <c r="R84" s="3"/>
      <c r="S84" s="3"/>
      <c r="T84" s="18">
        <v>81</v>
      </c>
      <c r="U84" s="19">
        <v>820046</v>
      </c>
      <c r="V84" s="20" t="s">
        <v>860</v>
      </c>
      <c r="W84" s="20" t="s">
        <v>861</v>
      </c>
      <c r="X84" s="3"/>
      <c r="Y84" s="21" t="s">
        <v>862</v>
      </c>
      <c r="Z84" s="22" t="s">
        <v>863</v>
      </c>
      <c r="AA84" s="23" t="str">
        <f t="shared" si="12"/>
        <v>GH Ghana</v>
      </c>
    </row>
    <row r="85" spans="1:27" ht="12.75" customHeight="1" x14ac:dyDescent="0.35">
      <c r="A85" s="38" t="s">
        <v>864</v>
      </c>
      <c r="B85" s="15">
        <v>832</v>
      </c>
      <c r="C85" s="31" t="str">
        <f t="shared" si="14"/>
        <v>832 (BUMN Lainnya)</v>
      </c>
      <c r="D85" s="3"/>
      <c r="E85" s="16" t="s">
        <v>865</v>
      </c>
      <c r="F85" s="24" t="s">
        <v>866</v>
      </c>
      <c r="G85" s="16" t="str">
        <f t="shared" si="1"/>
        <v>0929 (Kab. Batang)</v>
      </c>
      <c r="H85" s="3"/>
      <c r="I85" s="16" t="s">
        <v>867</v>
      </c>
      <c r="J85" s="17" t="s">
        <v>868</v>
      </c>
      <c r="K85" s="16" t="str">
        <f t="shared" si="2"/>
        <v>123 (BPD KALIMANTAN BARAT)</v>
      </c>
      <c r="L85" s="3"/>
      <c r="M85" s="3"/>
      <c r="N85" s="3"/>
      <c r="O85" s="3"/>
      <c r="P85" s="3"/>
      <c r="Q85" s="3"/>
      <c r="R85" s="3"/>
      <c r="S85" s="3"/>
      <c r="T85" s="18">
        <v>82</v>
      </c>
      <c r="U85" s="19">
        <v>820054</v>
      </c>
      <c r="V85" s="20" t="s">
        <v>869</v>
      </c>
      <c r="W85" s="20" t="s">
        <v>870</v>
      </c>
      <c r="X85" s="3"/>
      <c r="Y85" s="21" t="s">
        <v>871</v>
      </c>
      <c r="Z85" s="22" t="s">
        <v>872</v>
      </c>
      <c r="AA85" s="23" t="str">
        <f t="shared" si="12"/>
        <v>GI Gibraltar</v>
      </c>
    </row>
    <row r="86" spans="1:27" ht="12.75" customHeight="1" x14ac:dyDescent="0.35">
      <c r="A86" s="38" t="s">
        <v>873</v>
      </c>
      <c r="B86" s="15">
        <v>833</v>
      </c>
      <c r="C86" s="31" t="str">
        <f t="shared" si="14"/>
        <v>833 (BUMD yang melakukan usaha penjaminan kredit dan memenuhi persyaratan sebagaimana POJK KPMM)</v>
      </c>
      <c r="D86" s="3"/>
      <c r="E86" s="16" t="s">
        <v>874</v>
      </c>
      <c r="F86" s="24" t="s">
        <v>875</v>
      </c>
      <c r="G86" s="16" t="str">
        <f t="shared" si="1"/>
        <v>0991 (Kota Semarang)</v>
      </c>
      <c r="H86" s="3"/>
      <c r="I86" s="16" t="s">
        <v>876</v>
      </c>
      <c r="J86" s="17" t="s">
        <v>877</v>
      </c>
      <c r="K86" s="16" t="str">
        <f t="shared" si="2"/>
        <v>124 (BPD KALIMANTAN TIMUR)</v>
      </c>
      <c r="L86" s="3"/>
      <c r="M86" s="3"/>
      <c r="N86" s="3"/>
      <c r="O86" s="3"/>
      <c r="P86" s="3"/>
      <c r="Q86" s="3"/>
      <c r="R86" s="3"/>
      <c r="S86" s="3"/>
      <c r="T86" s="18">
        <v>83</v>
      </c>
      <c r="U86" s="19">
        <v>820055</v>
      </c>
      <c r="V86" s="20" t="s">
        <v>878</v>
      </c>
      <c r="W86" s="20" t="s">
        <v>879</v>
      </c>
      <c r="X86" s="3"/>
      <c r="Y86" s="21" t="s">
        <v>880</v>
      </c>
      <c r="Z86" s="22" t="s">
        <v>881</v>
      </c>
      <c r="AA86" s="23" t="str">
        <f t="shared" si="12"/>
        <v>GR Greece</v>
      </c>
    </row>
    <row r="87" spans="1:27" ht="12.75" customHeight="1" x14ac:dyDescent="0.35">
      <c r="A87" s="38" t="s">
        <v>882</v>
      </c>
      <c r="B87" s="15">
        <v>834</v>
      </c>
      <c r="C87" s="31" t="str">
        <f t="shared" si="14"/>
        <v>834 (BUMD Lainnya)</v>
      </c>
      <c r="D87" s="3"/>
      <c r="E87" s="16" t="s">
        <v>883</v>
      </c>
      <c r="F87" s="24" t="s">
        <v>884</v>
      </c>
      <c r="G87" s="16" t="str">
        <f t="shared" si="1"/>
        <v>0992 (Kota Salatiga)</v>
      </c>
      <c r="H87" s="3"/>
      <c r="I87" s="16" t="s">
        <v>885</v>
      </c>
      <c r="J87" s="17" t="s">
        <v>886</v>
      </c>
      <c r="K87" s="16" t="str">
        <f t="shared" si="2"/>
        <v>125 (BPD KALIMANTAN TENGAH)</v>
      </c>
      <c r="L87" s="3"/>
      <c r="M87" s="3"/>
      <c r="N87" s="3"/>
      <c r="O87" s="3"/>
      <c r="P87" s="3"/>
      <c r="Q87" s="3"/>
      <c r="R87" s="3"/>
      <c r="S87" s="3"/>
      <c r="T87" s="18">
        <v>84</v>
      </c>
      <c r="U87" s="19">
        <v>820056</v>
      </c>
      <c r="V87" s="20" t="s">
        <v>887</v>
      </c>
      <c r="W87" s="20" t="s">
        <v>888</v>
      </c>
      <c r="X87" s="3"/>
      <c r="Y87" s="21" t="s">
        <v>889</v>
      </c>
      <c r="Z87" s="22" t="s">
        <v>890</v>
      </c>
      <c r="AA87" s="23" t="str">
        <f t="shared" si="12"/>
        <v>GL Greenland</v>
      </c>
    </row>
    <row r="88" spans="1:27" ht="12.75" customHeight="1" x14ac:dyDescent="0.35">
      <c r="A88" s="5" t="s">
        <v>331</v>
      </c>
      <c r="B88" s="15">
        <v>835</v>
      </c>
      <c r="C88" s="31" t="str">
        <f t="shared" si="14"/>
        <v>835 (Lainnya)</v>
      </c>
      <c r="D88" s="3"/>
      <c r="E88" s="16" t="s">
        <v>891</v>
      </c>
      <c r="F88" s="24" t="s">
        <v>892</v>
      </c>
      <c r="G88" s="16" t="str">
        <f t="shared" si="1"/>
        <v>0993 (Kota Pekalongan)</v>
      </c>
      <c r="H88" s="3"/>
      <c r="I88" s="16" t="s">
        <v>893</v>
      </c>
      <c r="J88" s="17" t="s">
        <v>894</v>
      </c>
      <c r="K88" s="16" t="str">
        <f t="shared" si="2"/>
        <v>126 (BPD SULAWESI SELATAN DAN SULAWESI BARAT)</v>
      </c>
      <c r="L88" s="3"/>
      <c r="M88" s="3"/>
      <c r="N88" s="3"/>
      <c r="O88" s="3"/>
      <c r="P88" s="3"/>
      <c r="Q88" s="3"/>
      <c r="R88" s="3"/>
      <c r="S88" s="3"/>
      <c r="T88" s="18">
        <v>85</v>
      </c>
      <c r="U88" s="19">
        <v>820057</v>
      </c>
      <c r="V88" s="20" t="s">
        <v>895</v>
      </c>
      <c r="W88" s="20" t="s">
        <v>896</v>
      </c>
      <c r="X88" s="3"/>
      <c r="Y88" s="21" t="s">
        <v>897</v>
      </c>
      <c r="Z88" s="22" t="s">
        <v>898</v>
      </c>
      <c r="AA88" s="23" t="str">
        <f t="shared" si="12"/>
        <v>GD Grenada</v>
      </c>
    </row>
    <row r="89" spans="1:27" ht="12.75" customHeight="1" x14ac:dyDescent="0.35">
      <c r="A89" s="5" t="s">
        <v>899</v>
      </c>
      <c r="B89" s="15">
        <v>840</v>
      </c>
      <c r="C89" s="31" t="str">
        <f t="shared" si="14"/>
        <v>840 (Sektor Pemerintah Campuran)</v>
      </c>
      <c r="D89" s="3"/>
      <c r="E89" s="16" t="s">
        <v>900</v>
      </c>
      <c r="F89" s="24" t="s">
        <v>901</v>
      </c>
      <c r="G89" s="16" t="str">
        <f t="shared" si="1"/>
        <v>0994 (Kota Tegal)</v>
      </c>
      <c r="H89" s="3"/>
      <c r="I89" s="16" t="s">
        <v>902</v>
      </c>
      <c r="J89" s="17" t="s">
        <v>903</v>
      </c>
      <c r="K89" s="16" t="str">
        <f t="shared" si="2"/>
        <v>127 (BPD SULAWESI UTARA GORONTALO)</v>
      </c>
      <c r="L89" s="3"/>
      <c r="M89" s="3"/>
      <c r="N89" s="3"/>
      <c r="O89" s="3"/>
      <c r="P89" s="3"/>
      <c r="Q89" s="3"/>
      <c r="R89" s="3"/>
      <c r="S89" s="3"/>
      <c r="T89" s="18">
        <v>86</v>
      </c>
      <c r="U89" s="19">
        <v>820066</v>
      </c>
      <c r="V89" s="20" t="s">
        <v>904</v>
      </c>
      <c r="W89" s="20" t="s">
        <v>905</v>
      </c>
      <c r="X89" s="3"/>
      <c r="Y89" s="21" t="s">
        <v>906</v>
      </c>
      <c r="Z89" s="22" t="s">
        <v>907</v>
      </c>
      <c r="AA89" s="23" t="str">
        <f t="shared" si="12"/>
        <v>GP Guadeloupe</v>
      </c>
    </row>
    <row r="90" spans="1:27" ht="12.75" customHeight="1" x14ac:dyDescent="0.35">
      <c r="A90" s="5" t="s">
        <v>908</v>
      </c>
      <c r="B90" s="15">
        <v>860</v>
      </c>
      <c r="C90" s="31" t="str">
        <f t="shared" si="14"/>
        <v>860 (Perusahaan)</v>
      </c>
      <c r="D90" s="3"/>
      <c r="E90" s="16" t="s">
        <v>909</v>
      </c>
      <c r="F90" s="24" t="s">
        <v>910</v>
      </c>
      <c r="G90" s="16" t="str">
        <f t="shared" si="1"/>
        <v>0995 (Kota Magelang)</v>
      </c>
      <c r="H90" s="3"/>
      <c r="I90" s="16" t="s">
        <v>911</v>
      </c>
      <c r="J90" s="17" t="s">
        <v>912</v>
      </c>
      <c r="K90" s="16" t="str">
        <f t="shared" si="2"/>
        <v>135 (BPD SULAWESI TENGGARA)</v>
      </c>
      <c r="L90" s="3"/>
      <c r="M90" s="3"/>
      <c r="N90" s="3"/>
      <c r="O90" s="3"/>
      <c r="P90" s="3"/>
      <c r="Q90" s="3"/>
      <c r="R90" s="3"/>
      <c r="S90" s="3"/>
      <c r="T90" s="18">
        <v>87</v>
      </c>
      <c r="U90" s="19">
        <v>820067</v>
      </c>
      <c r="V90" s="20" t="s">
        <v>913</v>
      </c>
      <c r="W90" s="20" t="s">
        <v>914</v>
      </c>
      <c r="X90" s="3"/>
      <c r="Y90" s="21" t="s">
        <v>915</v>
      </c>
      <c r="Z90" s="22" t="s">
        <v>916</v>
      </c>
      <c r="AA90" s="23" t="str">
        <f t="shared" si="12"/>
        <v>GU Guam</v>
      </c>
    </row>
    <row r="91" spans="1:27" ht="12.75" customHeight="1" x14ac:dyDescent="0.35">
      <c r="A91" s="5" t="s">
        <v>917</v>
      </c>
      <c r="B91" s="15">
        <v>870</v>
      </c>
      <c r="C91" s="31" t="str">
        <f t="shared" si="14"/>
        <v>870 (Koperasi)</v>
      </c>
      <c r="D91" s="3"/>
      <c r="E91" s="16" t="s">
        <v>918</v>
      </c>
      <c r="F91" s="24" t="s">
        <v>919</v>
      </c>
      <c r="G91" s="16" t="str">
        <f t="shared" si="1"/>
        <v>0996 (Kota Surakarta/Solo)</v>
      </c>
      <c r="H91" s="3"/>
      <c r="I91" s="16" t="s">
        <v>920</v>
      </c>
      <c r="J91" s="17" t="s">
        <v>921</v>
      </c>
      <c r="K91" s="16" t="str">
        <f t="shared" si="2"/>
        <v>128 (BPD NTB)</v>
      </c>
      <c r="L91" s="3"/>
      <c r="M91" s="3"/>
      <c r="N91" s="3"/>
      <c r="O91" s="3"/>
      <c r="P91" s="3"/>
      <c r="Q91" s="3"/>
      <c r="R91" s="3"/>
      <c r="S91" s="3"/>
      <c r="T91" s="18">
        <v>88</v>
      </c>
      <c r="U91" s="19">
        <v>820070</v>
      </c>
      <c r="V91" s="20" t="s">
        <v>922</v>
      </c>
      <c r="W91" s="20" t="s">
        <v>923</v>
      </c>
      <c r="X91" s="3"/>
      <c r="Y91" s="21" t="s">
        <v>924</v>
      </c>
      <c r="Z91" s="22" t="s">
        <v>925</v>
      </c>
      <c r="AA91" s="23" t="str">
        <f t="shared" si="12"/>
        <v>GT Guatemala</v>
      </c>
    </row>
    <row r="92" spans="1:27" ht="12.75" customHeight="1" x14ac:dyDescent="0.35">
      <c r="A92" s="39" t="s">
        <v>926</v>
      </c>
      <c r="B92" s="28">
        <v>871</v>
      </c>
      <c r="C92" s="40" t="str">
        <f t="shared" si="14"/>
        <v>871 (Yayasan)</v>
      </c>
      <c r="D92" s="3"/>
      <c r="E92" s="16" t="s">
        <v>381</v>
      </c>
      <c r="F92" s="24" t="s">
        <v>927</v>
      </c>
      <c r="G92" s="16" t="str">
        <f t="shared" si="1"/>
        <v>0988 (Kab./Kota Lainnya)</v>
      </c>
      <c r="H92" s="3"/>
      <c r="I92" s="16" t="s">
        <v>928</v>
      </c>
      <c r="J92" s="17" t="s">
        <v>929</v>
      </c>
      <c r="K92" s="16" t="str">
        <f t="shared" si="2"/>
        <v>129 (BPD BALI)</v>
      </c>
      <c r="L92" s="3"/>
      <c r="M92" s="3"/>
      <c r="N92" s="3"/>
      <c r="O92" s="3"/>
      <c r="P92" s="3"/>
      <c r="Q92" s="3"/>
      <c r="R92" s="3"/>
      <c r="S92" s="3"/>
      <c r="T92" s="18">
        <v>89</v>
      </c>
      <c r="U92" s="19">
        <v>820085</v>
      </c>
      <c r="V92" s="20" t="s">
        <v>930</v>
      </c>
      <c r="W92" s="20" t="s">
        <v>931</v>
      </c>
      <c r="X92" s="3"/>
      <c r="Y92" s="21" t="s">
        <v>932</v>
      </c>
      <c r="Z92" s="22" t="s">
        <v>933</v>
      </c>
      <c r="AA92" s="23" t="str">
        <f t="shared" si="12"/>
        <v>GN Guinea</v>
      </c>
    </row>
    <row r="93" spans="1:27" ht="12.75" customHeight="1" x14ac:dyDescent="0.35">
      <c r="A93" s="5" t="s">
        <v>934</v>
      </c>
      <c r="B93" s="15">
        <v>872</v>
      </c>
      <c r="C93" s="31" t="str">
        <f t="shared" si="14"/>
        <v>872 (Kelompok)</v>
      </c>
      <c r="D93" s="3"/>
      <c r="E93" s="14" t="s">
        <v>935</v>
      </c>
      <c r="F93" s="15"/>
      <c r="G93" s="16" t="str">
        <f t="shared" si="1"/>
        <v>---- (Provinsi Jawa Timur)</v>
      </c>
      <c r="H93" s="3"/>
      <c r="I93" s="16" t="s">
        <v>936</v>
      </c>
      <c r="J93" s="17" t="s">
        <v>937</v>
      </c>
      <c r="K93" s="16" t="str">
        <f t="shared" si="2"/>
        <v>130 (BPD NUSA TENGGARA TIMUR)</v>
      </c>
      <c r="L93" s="3"/>
      <c r="M93" s="3"/>
      <c r="N93" s="3"/>
      <c r="O93" s="3"/>
      <c r="P93" s="3"/>
      <c r="Q93" s="3"/>
      <c r="R93" s="3"/>
      <c r="S93" s="3"/>
      <c r="T93" s="18">
        <v>90</v>
      </c>
      <c r="U93" s="19">
        <v>820086</v>
      </c>
      <c r="V93" s="20" t="s">
        <v>938</v>
      </c>
      <c r="W93" s="20" t="s">
        <v>939</v>
      </c>
      <c r="X93" s="3"/>
      <c r="Y93" s="21" t="s">
        <v>940</v>
      </c>
      <c r="Z93" s="22" t="s">
        <v>941</v>
      </c>
      <c r="AA93" s="23" t="str">
        <f t="shared" si="12"/>
        <v>GW Guinea-Bissau</v>
      </c>
    </row>
    <row r="94" spans="1:27" ht="12.75" customHeight="1" x14ac:dyDescent="0.35">
      <c r="A94" s="38" t="s">
        <v>942</v>
      </c>
      <c r="B94" s="15">
        <v>874</v>
      </c>
      <c r="C94" s="31" t="str">
        <f t="shared" si="14"/>
        <v>874 (Pegawai/Pensiunan (PNS, TNI/POLRI, Lembaga Negara dan BUMN/BUMD) yang kreditnya memenuhi persyaratan )</v>
      </c>
      <c r="D94" s="3"/>
      <c r="E94" s="16" t="s">
        <v>943</v>
      </c>
      <c r="F94" s="15">
        <v>1201</v>
      </c>
      <c r="G94" s="16" t="str">
        <f t="shared" si="1"/>
        <v>1201 (Kab. Gresik)</v>
      </c>
      <c r="H94" s="3"/>
      <c r="I94" s="16" t="s">
        <v>944</v>
      </c>
      <c r="J94" s="17" t="s">
        <v>945</v>
      </c>
      <c r="K94" s="16" t="str">
        <f t="shared" si="2"/>
        <v>131 (BPD MALUKU DAN MALUKU UTARA)</v>
      </c>
      <c r="L94" s="3"/>
      <c r="M94" s="3"/>
      <c r="N94" s="3"/>
      <c r="O94" s="3"/>
      <c r="P94" s="3"/>
      <c r="Q94" s="3"/>
      <c r="R94" s="3"/>
      <c r="S94" s="3"/>
      <c r="T94" s="18">
        <v>91</v>
      </c>
      <c r="U94" s="19">
        <v>820088</v>
      </c>
      <c r="V94" s="20" t="s">
        <v>946</v>
      </c>
      <c r="W94" s="20" t="s">
        <v>947</v>
      </c>
      <c r="X94" s="3"/>
      <c r="Y94" s="21" t="s">
        <v>948</v>
      </c>
      <c r="Z94" s="22" t="s">
        <v>949</v>
      </c>
      <c r="AA94" s="23" t="str">
        <f t="shared" si="12"/>
        <v>GY Guyana</v>
      </c>
    </row>
    <row r="95" spans="1:27" ht="12.75" customHeight="1" x14ac:dyDescent="0.35">
      <c r="A95" s="5" t="s">
        <v>331</v>
      </c>
      <c r="B95" s="15">
        <v>875</v>
      </c>
      <c r="C95" s="31" t="str">
        <f t="shared" si="14"/>
        <v>875 (Lainnya)</v>
      </c>
      <c r="D95" s="3"/>
      <c r="E95" s="16" t="s">
        <v>950</v>
      </c>
      <c r="F95" s="15">
        <v>1202</v>
      </c>
      <c r="G95" s="16" t="str">
        <f t="shared" si="1"/>
        <v>1202 (Kab. Sidoarjo)</v>
      </c>
      <c r="H95" s="3"/>
      <c r="I95" s="16" t="s">
        <v>951</v>
      </c>
      <c r="J95" s="17" t="s">
        <v>952</v>
      </c>
      <c r="K95" s="16" t="str">
        <f t="shared" si="2"/>
        <v>132 (BPD PAPUA)</v>
      </c>
      <c r="L95" s="3"/>
      <c r="M95" s="3"/>
      <c r="N95" s="3"/>
      <c r="O95" s="3"/>
      <c r="P95" s="3"/>
      <c r="Q95" s="3"/>
      <c r="R95" s="3"/>
      <c r="S95" s="3"/>
      <c r="T95" s="18">
        <v>92</v>
      </c>
      <c r="U95" s="19">
        <v>820092</v>
      </c>
      <c r="V95" s="20" t="s">
        <v>953</v>
      </c>
      <c r="W95" s="20" t="s">
        <v>954</v>
      </c>
      <c r="X95" s="3"/>
      <c r="Y95" s="21" t="s">
        <v>955</v>
      </c>
      <c r="Z95" s="22" t="s">
        <v>956</v>
      </c>
      <c r="AA95" s="23" t="str">
        <f t="shared" si="12"/>
        <v>HT Haiti</v>
      </c>
    </row>
    <row r="96" spans="1:27" ht="12.75" customHeight="1" x14ac:dyDescent="0.35">
      <c r="A96" s="5" t="s">
        <v>957</v>
      </c>
      <c r="B96" s="15">
        <v>880</v>
      </c>
      <c r="C96" s="31" t="str">
        <f t="shared" si="14"/>
        <v>880 (Asuransi jiwa)</v>
      </c>
      <c r="D96" s="3"/>
      <c r="E96" s="16" t="s">
        <v>958</v>
      </c>
      <c r="F96" s="15">
        <v>1203</v>
      </c>
      <c r="G96" s="16" t="str">
        <f t="shared" si="1"/>
        <v>1203 (Kab. Mojokerto)</v>
      </c>
      <c r="H96" s="3"/>
      <c r="I96" s="16" t="s">
        <v>959</v>
      </c>
      <c r="J96" s="17" t="s">
        <v>960</v>
      </c>
      <c r="K96" s="16" t="str">
        <f t="shared" si="2"/>
        <v>133 (BPD BENGKULU)</v>
      </c>
      <c r="L96" s="3"/>
      <c r="M96" s="3"/>
      <c r="N96" s="3"/>
      <c r="O96" s="3"/>
      <c r="P96" s="3"/>
      <c r="Q96" s="3"/>
      <c r="R96" s="3"/>
      <c r="S96" s="3"/>
      <c r="T96" s="18">
        <v>93</v>
      </c>
      <c r="U96" s="19">
        <v>820106</v>
      </c>
      <c r="V96" s="20" t="s">
        <v>961</v>
      </c>
      <c r="W96" s="20" t="s">
        <v>962</v>
      </c>
      <c r="X96" s="3"/>
      <c r="Y96" s="21" t="s">
        <v>963</v>
      </c>
      <c r="Z96" s="22" t="s">
        <v>964</v>
      </c>
      <c r="AA96" s="23" t="str">
        <f t="shared" si="12"/>
        <v>HM Heard Island and McDonald Islands</v>
      </c>
    </row>
    <row r="97" spans="1:27" ht="12.75" customHeight="1" x14ac:dyDescent="0.35">
      <c r="A97" s="5" t="s">
        <v>965</v>
      </c>
      <c r="B97" s="15">
        <v>890</v>
      </c>
      <c r="C97" s="31" t="str">
        <f t="shared" si="14"/>
        <v>890 (Asuransi kredit)</v>
      </c>
      <c r="D97" s="3"/>
      <c r="E97" s="16" t="s">
        <v>966</v>
      </c>
      <c r="F97" s="15">
        <v>1204</v>
      </c>
      <c r="G97" s="16" t="str">
        <f t="shared" si="1"/>
        <v>1204 (Kab. Jombang)</v>
      </c>
      <c r="H97" s="3"/>
      <c r="I97" s="16" t="s">
        <v>967</v>
      </c>
      <c r="J97" s="17" t="s">
        <v>968</v>
      </c>
      <c r="K97" s="16" t="str">
        <f t="shared" si="2"/>
        <v>134 (BPD SULAWESI TENGAH)</v>
      </c>
      <c r="L97" s="3"/>
      <c r="M97" s="3"/>
      <c r="N97" s="3"/>
      <c r="O97" s="3"/>
      <c r="P97" s="3"/>
      <c r="Q97" s="3"/>
      <c r="R97" s="3"/>
      <c r="S97" s="3"/>
      <c r="T97" s="18">
        <v>94</v>
      </c>
      <c r="U97" s="19">
        <v>820112</v>
      </c>
      <c r="V97" s="20" t="s">
        <v>969</v>
      </c>
      <c r="W97" s="20" t="s">
        <v>970</v>
      </c>
      <c r="X97" s="3"/>
      <c r="Y97" s="21" t="s">
        <v>971</v>
      </c>
      <c r="Z97" s="22" t="s">
        <v>972</v>
      </c>
      <c r="AA97" s="23" t="str">
        <f t="shared" si="12"/>
        <v>HN Honduras</v>
      </c>
    </row>
    <row r="98" spans="1:27" ht="12.75" customHeight="1" x14ac:dyDescent="0.35">
      <c r="A98" s="39" t="s">
        <v>973</v>
      </c>
      <c r="B98" s="28">
        <v>891</v>
      </c>
      <c r="C98" s="40" t="str">
        <f t="shared" si="14"/>
        <v>891 (Pelaku Jasa Keuangan Lainnya)</v>
      </c>
      <c r="D98" s="3"/>
      <c r="E98" s="16" t="s">
        <v>974</v>
      </c>
      <c r="F98" s="15">
        <v>1205</v>
      </c>
      <c r="G98" s="16" t="str">
        <f t="shared" si="1"/>
        <v>1205 (Kab. Sampang)</v>
      </c>
      <c r="H98" s="3"/>
      <c r="I98" s="16" t="s">
        <v>975</v>
      </c>
      <c r="J98" s="17" t="s">
        <v>976</v>
      </c>
      <c r="K98" s="16" t="str">
        <f t="shared" si="2"/>
        <v>145 (BANK NUSANTARA PARAHYANGAN)</v>
      </c>
      <c r="L98" s="3"/>
      <c r="M98" s="3"/>
      <c r="N98" s="3"/>
      <c r="O98" s="3"/>
      <c r="P98" s="3"/>
      <c r="Q98" s="3"/>
      <c r="R98" s="3"/>
      <c r="S98" s="3"/>
      <c r="T98" s="18">
        <v>95</v>
      </c>
      <c r="U98" s="19">
        <v>820127</v>
      </c>
      <c r="V98" s="20" t="s">
        <v>977</v>
      </c>
      <c r="W98" s="20" t="s">
        <v>978</v>
      </c>
      <c r="X98" s="3"/>
      <c r="Y98" s="21" t="s">
        <v>979</v>
      </c>
      <c r="Z98" s="22" t="s">
        <v>980</v>
      </c>
      <c r="AA98" s="23" t="str">
        <f t="shared" si="12"/>
        <v>HK Hong Kong</v>
      </c>
    </row>
    <row r="99" spans="1:27" ht="12.75" customHeight="1" x14ac:dyDescent="0.35">
      <c r="A99" s="41" t="s">
        <v>981</v>
      </c>
      <c r="B99" s="28">
        <v>892</v>
      </c>
      <c r="C99" s="40" t="str">
        <f t="shared" si="14"/>
        <v>892 (Lembaga Internasional)</v>
      </c>
      <c r="D99" s="3"/>
      <c r="E99" s="16" t="s">
        <v>982</v>
      </c>
      <c r="F99" s="15">
        <v>1206</v>
      </c>
      <c r="G99" s="16" t="str">
        <f t="shared" si="1"/>
        <v>1206 (Kab. Pamekasan)</v>
      </c>
      <c r="H99" s="3"/>
      <c r="I99" s="16" t="s">
        <v>983</v>
      </c>
      <c r="J99" s="17" t="s">
        <v>984</v>
      </c>
      <c r="K99" s="16" t="str">
        <f t="shared" si="2"/>
        <v>151 (BANK MESTIKA DHARMA)</v>
      </c>
      <c r="L99" s="3"/>
      <c r="M99" s="3"/>
      <c r="N99" s="3"/>
      <c r="O99" s="3"/>
      <c r="P99" s="3"/>
      <c r="Q99" s="3"/>
      <c r="R99" s="3"/>
      <c r="S99" s="3"/>
      <c r="T99" s="18">
        <v>96</v>
      </c>
      <c r="U99" s="19">
        <v>820129</v>
      </c>
      <c r="V99" s="20" t="s">
        <v>985</v>
      </c>
      <c r="W99" s="20" t="s">
        <v>986</v>
      </c>
      <c r="X99" s="3"/>
      <c r="Y99" s="21" t="s">
        <v>987</v>
      </c>
      <c r="Z99" s="22" t="s">
        <v>988</v>
      </c>
      <c r="AA99" s="23" t="str">
        <f t="shared" si="12"/>
        <v>HU Hungary</v>
      </c>
    </row>
    <row r="100" spans="1:27" ht="12.75" customHeight="1" x14ac:dyDescent="0.35">
      <c r="A100" s="39" t="s">
        <v>989</v>
      </c>
      <c r="B100" s="28">
        <v>893</v>
      </c>
      <c r="C100" s="40" t="str">
        <f t="shared" si="14"/>
        <v>893 (Perwakilan Negara Asing)</v>
      </c>
      <c r="D100" s="3"/>
      <c r="E100" s="16" t="s">
        <v>990</v>
      </c>
      <c r="F100" s="15">
        <v>1207</v>
      </c>
      <c r="G100" s="16" t="str">
        <f t="shared" si="1"/>
        <v>1207 (Kab. Sumenep)</v>
      </c>
      <c r="H100" s="3"/>
      <c r="I100" s="16" t="s">
        <v>991</v>
      </c>
      <c r="J100" s="17" t="s">
        <v>992</v>
      </c>
      <c r="K100" s="16" t="str">
        <f t="shared" si="2"/>
        <v>157 (BANK MASPION INDONESIA)</v>
      </c>
      <c r="L100" s="3"/>
      <c r="M100" s="3"/>
      <c r="N100" s="3"/>
      <c r="O100" s="3"/>
      <c r="P100" s="3"/>
      <c r="Q100" s="3"/>
      <c r="R100" s="3"/>
      <c r="S100" s="3"/>
      <c r="T100" s="18">
        <v>97</v>
      </c>
      <c r="U100" s="19">
        <v>820136</v>
      </c>
      <c r="V100" s="20" t="s">
        <v>993</v>
      </c>
      <c r="W100" s="20" t="s">
        <v>994</v>
      </c>
      <c r="X100" s="3"/>
      <c r="Y100" s="21" t="s">
        <v>995</v>
      </c>
      <c r="Z100" s="22" t="s">
        <v>996</v>
      </c>
      <c r="AA100" s="23" t="str">
        <f t="shared" si="12"/>
        <v>IS Iceland</v>
      </c>
    </row>
    <row r="101" spans="1:27" ht="12.75" customHeight="1" x14ac:dyDescent="0.35">
      <c r="A101" s="39" t="s">
        <v>997</v>
      </c>
      <c r="B101" s="28">
        <v>894</v>
      </c>
      <c r="C101" s="40" t="str">
        <f t="shared" si="14"/>
        <v>894 (Cross Border Correspondent Banking)</v>
      </c>
      <c r="D101" s="3"/>
      <c r="E101" s="16" t="s">
        <v>998</v>
      </c>
      <c r="F101" s="15">
        <v>1208</v>
      </c>
      <c r="G101" s="16" t="str">
        <f t="shared" si="1"/>
        <v>1208 (Kab. Bangkalan)</v>
      </c>
      <c r="H101" s="3"/>
      <c r="I101" s="16" t="s">
        <v>999</v>
      </c>
      <c r="J101" s="17" t="s">
        <v>1000</v>
      </c>
      <c r="K101" s="16" t="str">
        <f t="shared" si="2"/>
        <v>212 (BANK WOORI SAUDARA INDONESIA 1906)</v>
      </c>
      <c r="L101" s="3"/>
      <c r="M101" s="3"/>
      <c r="N101" s="3"/>
      <c r="O101" s="3"/>
      <c r="P101" s="3"/>
      <c r="Q101" s="3"/>
      <c r="R101" s="3"/>
      <c r="S101" s="3"/>
      <c r="T101" s="18">
        <v>98</v>
      </c>
      <c r="U101" s="19">
        <v>820141</v>
      </c>
      <c r="V101" s="20" t="s">
        <v>1001</v>
      </c>
      <c r="W101" s="20" t="s">
        <v>1002</v>
      </c>
      <c r="X101" s="3"/>
      <c r="Y101" s="21" t="s">
        <v>1003</v>
      </c>
      <c r="Z101" s="22" t="s">
        <v>1004</v>
      </c>
      <c r="AA101" s="23" t="str">
        <f t="shared" si="12"/>
        <v>IN India</v>
      </c>
    </row>
    <row r="102" spans="1:27" ht="12.75" customHeight="1" x14ac:dyDescent="0.35">
      <c r="A102" s="5" t="s">
        <v>1005</v>
      </c>
      <c r="B102" s="24" t="s">
        <v>1006</v>
      </c>
      <c r="C102" s="31" t="str">
        <f t="shared" si="14"/>
        <v>000 (Tanpa penjamin)</v>
      </c>
      <c r="D102" s="3"/>
      <c r="E102" s="16" t="s">
        <v>1007</v>
      </c>
      <c r="F102" s="15">
        <v>1209</v>
      </c>
      <c r="G102" s="16" t="str">
        <f t="shared" si="1"/>
        <v>1209 (Kab. Bondowoso)</v>
      </c>
      <c r="H102" s="3"/>
      <c r="I102" s="16" t="s">
        <v>1008</v>
      </c>
      <c r="J102" s="17" t="s">
        <v>1009</v>
      </c>
      <c r="K102" s="16" t="str">
        <f t="shared" si="2"/>
        <v>459 (BANK BISNIS INTERNATIONAL)</v>
      </c>
      <c r="L102" s="3"/>
      <c r="M102" s="3"/>
      <c r="N102" s="3"/>
      <c r="O102" s="3"/>
      <c r="P102" s="3"/>
      <c r="Q102" s="3"/>
      <c r="R102" s="3"/>
      <c r="S102" s="3"/>
      <c r="T102" s="18">
        <v>99</v>
      </c>
      <c r="U102" s="19">
        <v>820144</v>
      </c>
      <c r="V102" s="20" t="s">
        <v>1010</v>
      </c>
      <c r="W102" s="20" t="s">
        <v>1011</v>
      </c>
      <c r="X102" s="3"/>
      <c r="Y102" s="21" t="s">
        <v>1012</v>
      </c>
      <c r="Z102" s="22" t="s">
        <v>1013</v>
      </c>
      <c r="AA102" s="23" t="str">
        <f t="shared" si="12"/>
        <v>ID Indonesia</v>
      </c>
    </row>
    <row r="103" spans="1:27" ht="12.75" customHeight="1" x14ac:dyDescent="0.35">
      <c r="A103" s="3"/>
      <c r="B103" s="2"/>
      <c r="C103" s="3"/>
      <c r="D103" s="3"/>
      <c r="E103" s="16" t="s">
        <v>1014</v>
      </c>
      <c r="F103" s="15">
        <v>1211</v>
      </c>
      <c r="G103" s="16" t="str">
        <f t="shared" si="1"/>
        <v>1211 (Kab. Banyuwangi)</v>
      </c>
      <c r="H103" s="3"/>
      <c r="I103" s="16" t="s">
        <v>1015</v>
      </c>
      <c r="J103" s="17" t="s">
        <v>1016</v>
      </c>
      <c r="K103" s="16" t="str">
        <f t="shared" si="2"/>
        <v>520 (PRIMA MASTER BANK VETERAN)</v>
      </c>
      <c r="L103" s="3"/>
      <c r="M103" s="3"/>
      <c r="N103" s="3"/>
      <c r="O103" s="3"/>
      <c r="P103" s="3"/>
      <c r="Q103" s="3"/>
      <c r="R103" s="3"/>
      <c r="S103" s="3"/>
      <c r="T103" s="18">
        <v>100</v>
      </c>
      <c r="U103" s="19">
        <v>820150</v>
      </c>
      <c r="V103" s="20" t="s">
        <v>1017</v>
      </c>
      <c r="W103" s="20" t="s">
        <v>1018</v>
      </c>
      <c r="X103" s="3"/>
      <c r="Y103" s="21" t="s">
        <v>1019</v>
      </c>
      <c r="Z103" s="22" t="s">
        <v>1020</v>
      </c>
      <c r="AA103" s="23" t="str">
        <f t="shared" si="12"/>
        <v>IR Iran (Islamic Republic of)</v>
      </c>
    </row>
    <row r="104" spans="1:27" ht="12.75" customHeight="1" x14ac:dyDescent="0.35">
      <c r="A104" s="42"/>
      <c r="B104" s="2"/>
      <c r="C104" s="1"/>
      <c r="D104" s="3"/>
      <c r="E104" s="16" t="s">
        <v>1021</v>
      </c>
      <c r="F104" s="15">
        <v>1212</v>
      </c>
      <c r="G104" s="16" t="str">
        <f t="shared" si="1"/>
        <v>1212 (Kab. Jember)</v>
      </c>
      <c r="H104" s="3"/>
      <c r="I104" s="16" t="s">
        <v>1022</v>
      </c>
      <c r="J104" s="17" t="s">
        <v>1023</v>
      </c>
      <c r="K104" s="16" t="str">
        <f t="shared" si="2"/>
        <v>531 (BANK AMAR INDONESIA d/h BANK ANGLOMAS INDONESIA)</v>
      </c>
      <c r="L104" s="3"/>
      <c r="M104" s="3"/>
      <c r="N104" s="3"/>
      <c r="O104" s="3"/>
      <c r="P104" s="3"/>
      <c r="Q104" s="3"/>
      <c r="R104" s="3"/>
      <c r="S104" s="3"/>
      <c r="T104" s="18">
        <v>101</v>
      </c>
      <c r="U104" s="19">
        <v>820152</v>
      </c>
      <c r="V104" s="20" t="s">
        <v>1024</v>
      </c>
      <c r="W104" s="20" t="s">
        <v>1025</v>
      </c>
      <c r="X104" s="3"/>
      <c r="Y104" s="21" t="s">
        <v>1026</v>
      </c>
      <c r="Z104" s="22" t="s">
        <v>1027</v>
      </c>
      <c r="AA104" s="23" t="str">
        <f t="shared" si="12"/>
        <v>IQ Iraq</v>
      </c>
    </row>
    <row r="105" spans="1:27" ht="12.75" customHeight="1" x14ac:dyDescent="0.35">
      <c r="A105" s="42"/>
      <c r="B105" s="2"/>
      <c r="C105" s="1"/>
      <c r="D105" s="3"/>
      <c r="E105" s="16" t="s">
        <v>1028</v>
      </c>
      <c r="F105" s="15">
        <v>1213</v>
      </c>
      <c r="G105" s="16" t="str">
        <f t="shared" si="1"/>
        <v>1213 (Kab. Malang)</v>
      </c>
      <c r="H105" s="3"/>
      <c r="I105" s="16" t="s">
        <v>1029</v>
      </c>
      <c r="J105" s="17" t="s">
        <v>1030</v>
      </c>
      <c r="K105" s="16" t="str">
        <f t="shared" si="2"/>
        <v>542 (BANK ARTOS INDONESIA)</v>
      </c>
      <c r="L105" s="3"/>
      <c r="M105" s="3"/>
      <c r="N105" s="3"/>
      <c r="O105" s="3"/>
      <c r="P105" s="3"/>
      <c r="Q105" s="3"/>
      <c r="R105" s="3"/>
      <c r="S105" s="3"/>
      <c r="T105" s="3"/>
      <c r="U105" s="3"/>
      <c r="V105" s="3"/>
      <c r="W105" s="3"/>
      <c r="X105" s="3"/>
      <c r="Y105" s="21" t="s">
        <v>1031</v>
      </c>
      <c r="Z105" s="22" t="s">
        <v>1032</v>
      </c>
      <c r="AA105" s="23" t="str">
        <f t="shared" si="12"/>
        <v>IE Ireland</v>
      </c>
    </row>
    <row r="106" spans="1:27" ht="12.75" customHeight="1" x14ac:dyDescent="0.35">
      <c r="A106" s="1" t="s">
        <v>1033</v>
      </c>
      <c r="B106" s="2"/>
      <c r="C106" s="3"/>
      <c r="D106" s="3"/>
      <c r="E106" s="16" t="s">
        <v>1034</v>
      </c>
      <c r="F106" s="15">
        <v>1214</v>
      </c>
      <c r="G106" s="16" t="str">
        <f t="shared" si="1"/>
        <v>1214 (Kab. Pasuruan)</v>
      </c>
      <c r="H106" s="3"/>
      <c r="I106" s="16" t="s">
        <v>1035</v>
      </c>
      <c r="J106" s="17" t="s">
        <v>1036</v>
      </c>
      <c r="K106" s="16" t="str">
        <f t="shared" si="2"/>
        <v>559 (CENTRATAMA NASIONAL BANK)</v>
      </c>
      <c r="L106" s="3"/>
      <c r="M106" s="3"/>
      <c r="N106" s="3"/>
      <c r="O106" s="3"/>
      <c r="P106" s="3"/>
      <c r="Q106" s="3"/>
      <c r="R106" s="3"/>
      <c r="S106" s="3"/>
      <c r="T106" s="3"/>
      <c r="U106" s="3"/>
      <c r="V106" s="3"/>
      <c r="W106" s="3"/>
      <c r="X106" s="3"/>
      <c r="Y106" s="21" t="s">
        <v>1037</v>
      </c>
      <c r="Z106" s="22" t="s">
        <v>1038</v>
      </c>
      <c r="AA106" s="23" t="str">
        <f t="shared" si="12"/>
        <v>IL Israel</v>
      </c>
    </row>
    <row r="107" spans="1:27" ht="12.75" customHeight="1" x14ac:dyDescent="0.35">
      <c r="A107" s="9" t="s">
        <v>1039</v>
      </c>
      <c r="B107" s="9" t="s">
        <v>2</v>
      </c>
      <c r="C107" s="10" t="s">
        <v>3</v>
      </c>
      <c r="D107" s="3"/>
      <c r="E107" s="16" t="s">
        <v>1040</v>
      </c>
      <c r="F107" s="15">
        <v>1215</v>
      </c>
      <c r="G107" s="16" t="str">
        <f t="shared" si="1"/>
        <v>1215 (Kab. Probolinggo)</v>
      </c>
      <c r="H107" s="3"/>
      <c r="I107" s="16" t="s">
        <v>1041</v>
      </c>
      <c r="J107" s="17" t="s">
        <v>1042</v>
      </c>
      <c r="K107" s="16" t="str">
        <f t="shared" si="2"/>
        <v>562 (BANK FAMA INTERNASIONAL)</v>
      </c>
      <c r="L107" s="3"/>
      <c r="M107" s="3"/>
      <c r="N107" s="3"/>
      <c r="O107" s="3"/>
      <c r="P107" s="3"/>
      <c r="Q107" s="3"/>
      <c r="R107" s="3"/>
      <c r="S107" s="3"/>
      <c r="T107" s="3"/>
      <c r="U107" s="3"/>
      <c r="V107" s="3"/>
      <c r="W107" s="3"/>
      <c r="X107" s="3"/>
      <c r="Y107" s="21" t="s">
        <v>1043</v>
      </c>
      <c r="Z107" s="22" t="s">
        <v>1044</v>
      </c>
      <c r="AA107" s="23" t="str">
        <f t="shared" si="12"/>
        <v>IT Italy</v>
      </c>
    </row>
    <row r="108" spans="1:27" ht="12.75" customHeight="1" x14ac:dyDescent="0.35">
      <c r="A108" s="16" t="s">
        <v>1045</v>
      </c>
      <c r="B108" s="15">
        <v>10</v>
      </c>
      <c r="C108" s="31" t="str">
        <f t="shared" ref="C108:C114" si="15">CONCATENATE(B108," (",A108,")")</f>
        <v>10 (Pinjaman Bilateral)</v>
      </c>
      <c r="D108" s="3"/>
      <c r="E108" s="16" t="s">
        <v>1046</v>
      </c>
      <c r="F108" s="15">
        <v>1216</v>
      </c>
      <c r="G108" s="16" t="str">
        <f t="shared" si="1"/>
        <v>1216 (Kab. Lumajang)</v>
      </c>
      <c r="H108" s="3"/>
      <c r="I108" s="16" t="s">
        <v>1047</v>
      </c>
      <c r="J108" s="17" t="s">
        <v>1048</v>
      </c>
      <c r="K108" s="16" t="str">
        <f t="shared" si="2"/>
        <v>564 (BANK MANDIRI TASPEN POS d/h BANK SINAR HARAPAN BALI)</v>
      </c>
      <c r="L108" s="3"/>
      <c r="M108" s="3"/>
      <c r="N108" s="3"/>
      <c r="O108" s="3"/>
      <c r="P108" s="3"/>
      <c r="Q108" s="3"/>
      <c r="R108" s="3"/>
      <c r="S108" s="3"/>
      <c r="T108" s="3"/>
      <c r="U108" s="3"/>
      <c r="V108" s="3"/>
      <c r="W108" s="3"/>
      <c r="X108" s="3"/>
      <c r="Y108" s="21" t="s">
        <v>1049</v>
      </c>
      <c r="Z108" s="22" t="s">
        <v>1050</v>
      </c>
      <c r="AA108" s="23" t="str">
        <f t="shared" si="12"/>
        <v>JM Jamaica</v>
      </c>
    </row>
    <row r="109" spans="1:27" ht="12.75" customHeight="1" x14ac:dyDescent="0.35">
      <c r="A109" s="16" t="s">
        <v>1051</v>
      </c>
      <c r="B109" s="15">
        <v>20</v>
      </c>
      <c r="C109" s="31" t="str">
        <f t="shared" si="15"/>
        <v>20 (Pinjaman Sindikasi)</v>
      </c>
      <c r="D109" s="3"/>
      <c r="E109" s="16" t="s">
        <v>1052</v>
      </c>
      <c r="F109" s="15">
        <v>1217</v>
      </c>
      <c r="G109" s="16" t="str">
        <f t="shared" si="1"/>
        <v>1217 (Kab. Kediri)</v>
      </c>
      <c r="H109" s="3"/>
      <c r="I109" s="16" t="s">
        <v>1053</v>
      </c>
      <c r="J109" s="17" t="s">
        <v>1054</v>
      </c>
      <c r="K109" s="16" t="str">
        <f t="shared" si="2"/>
        <v>088 (BANK ANTAR DAERAH)</v>
      </c>
      <c r="L109" s="3"/>
      <c r="M109" s="3"/>
      <c r="N109" s="3"/>
      <c r="O109" s="3"/>
      <c r="P109" s="3"/>
      <c r="Q109" s="3"/>
      <c r="R109" s="3"/>
      <c r="S109" s="3"/>
      <c r="T109" s="3"/>
      <c r="U109" s="3"/>
      <c r="V109" s="3"/>
      <c r="W109" s="3"/>
      <c r="X109" s="3"/>
      <c r="Y109" s="21" t="s">
        <v>1055</v>
      </c>
      <c r="Z109" s="22" t="s">
        <v>1056</v>
      </c>
      <c r="AA109" s="23" t="str">
        <f t="shared" si="12"/>
        <v>JP Japan</v>
      </c>
    </row>
    <row r="110" spans="1:27" ht="12.75" customHeight="1" x14ac:dyDescent="0.35">
      <c r="A110" s="16" t="s">
        <v>1057</v>
      </c>
      <c r="B110" s="15">
        <v>31</v>
      </c>
      <c r="C110" s="31" t="str">
        <f t="shared" si="15"/>
        <v>31 (Dari Lembaga Pengayom)</v>
      </c>
      <c r="D110" s="3"/>
      <c r="E110" s="16" t="s">
        <v>1058</v>
      </c>
      <c r="F110" s="15">
        <v>1218</v>
      </c>
      <c r="G110" s="16" t="str">
        <f t="shared" si="1"/>
        <v>1218 (Kab. Nganjuk)</v>
      </c>
      <c r="H110" s="3"/>
      <c r="I110" s="16" t="s">
        <v>1059</v>
      </c>
      <c r="J110" s="17" t="s">
        <v>1060</v>
      </c>
      <c r="K110" s="16" t="str">
        <f t="shared" si="2"/>
        <v>147 (BANK MUAMALAT INDONESIA)</v>
      </c>
      <c r="L110" s="3"/>
      <c r="M110" s="3"/>
      <c r="N110" s="3"/>
      <c r="O110" s="3"/>
      <c r="P110" s="3"/>
      <c r="Q110" s="3"/>
      <c r="R110" s="3"/>
      <c r="S110" s="3"/>
      <c r="T110" s="3"/>
      <c r="U110" s="3"/>
      <c r="V110" s="3"/>
      <c r="W110" s="3"/>
      <c r="X110" s="3"/>
      <c r="Y110" s="21" t="s">
        <v>1061</v>
      </c>
      <c r="Z110" s="22" t="s">
        <v>1062</v>
      </c>
      <c r="AA110" s="23" t="str">
        <f t="shared" si="12"/>
        <v>JO Jordan</v>
      </c>
    </row>
    <row r="111" spans="1:27" ht="12.75" customHeight="1" x14ac:dyDescent="0.35">
      <c r="A111" s="16" t="s">
        <v>1063</v>
      </c>
      <c r="B111" s="15">
        <v>32</v>
      </c>
      <c r="C111" s="31" t="str">
        <f t="shared" si="15"/>
        <v>32 (Dalam rangka linkage)</v>
      </c>
      <c r="D111" s="3"/>
      <c r="E111" s="16" t="s">
        <v>1064</v>
      </c>
      <c r="F111" s="15">
        <v>1219</v>
      </c>
      <c r="G111" s="16" t="str">
        <f t="shared" si="1"/>
        <v>1219 (Kab. Tulungagung)</v>
      </c>
      <c r="H111" s="3"/>
      <c r="I111" s="16" t="s">
        <v>1065</v>
      </c>
      <c r="J111" s="17" t="s">
        <v>1066</v>
      </c>
      <c r="K111" s="16" t="str">
        <f t="shared" si="2"/>
        <v>405 (BANK VICTORIA SYARIAH)</v>
      </c>
      <c r="L111" s="3"/>
      <c r="M111" s="3"/>
      <c r="N111" s="3"/>
      <c r="O111" s="3"/>
      <c r="P111" s="3"/>
      <c r="Q111" s="3"/>
      <c r="R111" s="3"/>
      <c r="S111" s="3"/>
      <c r="T111" s="3"/>
      <c r="U111" s="3"/>
      <c r="V111" s="3"/>
      <c r="W111" s="3"/>
      <c r="X111" s="3"/>
      <c r="Y111" s="21" t="s">
        <v>1067</v>
      </c>
      <c r="Z111" s="22" t="s">
        <v>1068</v>
      </c>
      <c r="AA111" s="23" t="str">
        <f t="shared" si="12"/>
        <v>KZ Kazakhstan</v>
      </c>
    </row>
    <row r="112" spans="1:27" ht="12.75" customHeight="1" x14ac:dyDescent="0.35">
      <c r="A112" s="31" t="s">
        <v>1069</v>
      </c>
      <c r="B112" s="15">
        <v>41</v>
      </c>
      <c r="C112" s="31" t="str">
        <f t="shared" si="15"/>
        <v>41 (Diperhitungkan sebagai Modal Inti Tambahan dalam KPMM)</v>
      </c>
      <c r="D112" s="3"/>
      <c r="E112" s="16" t="s">
        <v>1070</v>
      </c>
      <c r="F112" s="15">
        <v>1220</v>
      </c>
      <c r="G112" s="16" t="str">
        <f t="shared" si="1"/>
        <v>1220 (Kab. Trenggalek)</v>
      </c>
      <c r="H112" s="3"/>
      <c r="I112" s="16" t="s">
        <v>1071</v>
      </c>
      <c r="J112" s="17" t="s">
        <v>1072</v>
      </c>
      <c r="K112" s="16" t="str">
        <f t="shared" si="2"/>
        <v>422 (BANK SYARIAH BRI)</v>
      </c>
      <c r="L112" s="3"/>
      <c r="M112" s="3"/>
      <c r="N112" s="3"/>
      <c r="O112" s="3"/>
      <c r="P112" s="3"/>
      <c r="Q112" s="3"/>
      <c r="R112" s="3"/>
      <c r="S112" s="3"/>
      <c r="T112" s="3"/>
      <c r="U112" s="3"/>
      <c r="V112" s="3"/>
      <c r="W112" s="3"/>
      <c r="X112" s="3"/>
      <c r="Y112" s="21" t="s">
        <v>1073</v>
      </c>
      <c r="Z112" s="22" t="s">
        <v>1074</v>
      </c>
      <c r="AA112" s="23" t="str">
        <f t="shared" si="12"/>
        <v>KE Kenya</v>
      </c>
    </row>
    <row r="113" spans="1:27" ht="12.75" customHeight="1" x14ac:dyDescent="0.35">
      <c r="A113" s="31" t="s">
        <v>1075</v>
      </c>
      <c r="B113" s="15">
        <v>42</v>
      </c>
      <c r="C113" s="31" t="str">
        <f t="shared" si="15"/>
        <v>42 (Diperhitungkan sebagai Modal Pelengkap dalam KPMM (Pinjaman Subordinasi))</v>
      </c>
      <c r="D113" s="3"/>
      <c r="E113" s="16" t="s">
        <v>1076</v>
      </c>
      <c r="F113" s="15">
        <v>1221</v>
      </c>
      <c r="G113" s="16" t="str">
        <f t="shared" si="1"/>
        <v>1221 (Kab. Blitar)</v>
      </c>
      <c r="H113" s="3"/>
      <c r="I113" s="16" t="s">
        <v>1077</v>
      </c>
      <c r="J113" s="17" t="s">
        <v>1078</v>
      </c>
      <c r="K113" s="16" t="str">
        <f t="shared" si="2"/>
        <v>425 (BANK JABAR BANTEN SYARIAH)</v>
      </c>
      <c r="L113" s="3"/>
      <c r="M113" s="3"/>
      <c r="N113" s="3"/>
      <c r="O113" s="3"/>
      <c r="P113" s="3"/>
      <c r="Q113" s="3"/>
      <c r="R113" s="3"/>
      <c r="S113" s="3"/>
      <c r="T113" s="3"/>
      <c r="U113" s="3"/>
      <c r="V113" s="3"/>
      <c r="W113" s="3"/>
      <c r="X113" s="3"/>
      <c r="Y113" s="21" t="s">
        <v>1079</v>
      </c>
      <c r="Z113" s="22" t="s">
        <v>1080</v>
      </c>
      <c r="AA113" s="23" t="str">
        <f t="shared" si="12"/>
        <v>KI Kiribati</v>
      </c>
    </row>
    <row r="114" spans="1:27" ht="12.75" customHeight="1" x14ac:dyDescent="0.35">
      <c r="A114" s="16" t="s">
        <v>331</v>
      </c>
      <c r="B114" s="15">
        <v>99</v>
      </c>
      <c r="C114" s="31" t="str">
        <f t="shared" si="15"/>
        <v>99 (Lainnya)</v>
      </c>
      <c r="D114" s="3"/>
      <c r="E114" s="16" t="s">
        <v>1081</v>
      </c>
      <c r="F114" s="15">
        <v>1222</v>
      </c>
      <c r="G114" s="16" t="str">
        <f t="shared" si="1"/>
        <v>1222 (Kab. Madiun)</v>
      </c>
      <c r="H114" s="3"/>
      <c r="I114" s="16" t="s">
        <v>1082</v>
      </c>
      <c r="J114" s="17" t="s">
        <v>1083</v>
      </c>
      <c r="K114" s="16" t="str">
        <f t="shared" si="2"/>
        <v>427 (BANK BNI SYARIAH)</v>
      </c>
      <c r="L114" s="3"/>
      <c r="M114" s="3"/>
      <c r="N114" s="3"/>
      <c r="O114" s="3"/>
      <c r="P114" s="3"/>
      <c r="Q114" s="3"/>
      <c r="R114" s="3"/>
      <c r="S114" s="3"/>
      <c r="T114" s="3"/>
      <c r="U114" s="3"/>
      <c r="V114" s="3"/>
      <c r="W114" s="3"/>
      <c r="X114" s="3"/>
      <c r="Y114" s="21" t="s">
        <v>1084</v>
      </c>
      <c r="Z114" s="22" t="s">
        <v>1085</v>
      </c>
      <c r="AA114" s="23" t="str">
        <f t="shared" si="12"/>
        <v>KR Korea (the Republic of)</v>
      </c>
    </row>
    <row r="115" spans="1:27" ht="12.75" customHeight="1" x14ac:dyDescent="0.35">
      <c r="A115" s="43"/>
      <c r="B115" s="44"/>
      <c r="C115" s="3"/>
      <c r="D115" s="3"/>
      <c r="E115" s="16" t="s">
        <v>1086</v>
      </c>
      <c r="F115" s="15">
        <v>1223</v>
      </c>
      <c r="G115" s="16" t="str">
        <f t="shared" si="1"/>
        <v>1223 (Kab. Ngawi)</v>
      </c>
      <c r="H115" s="3"/>
      <c r="I115" s="16" t="s">
        <v>1087</v>
      </c>
      <c r="J115" s="17" t="s">
        <v>1088</v>
      </c>
      <c r="K115" s="16" t="str">
        <f t="shared" si="2"/>
        <v>506 (BANK MEGA SYARIAH)</v>
      </c>
      <c r="L115" s="3"/>
      <c r="M115" s="3"/>
      <c r="N115" s="3"/>
      <c r="O115" s="3"/>
      <c r="P115" s="3"/>
      <c r="Q115" s="3"/>
      <c r="R115" s="3"/>
      <c r="S115" s="3"/>
      <c r="T115" s="3"/>
      <c r="U115" s="3"/>
      <c r="V115" s="3"/>
      <c r="W115" s="3"/>
      <c r="X115" s="3"/>
      <c r="Y115" s="21" t="s">
        <v>1089</v>
      </c>
      <c r="Z115" s="22" t="s">
        <v>1090</v>
      </c>
      <c r="AA115" s="23" t="str">
        <f t="shared" si="12"/>
        <v>KP Korea (the Democratic People's Republic of)</v>
      </c>
    </row>
    <row r="116" spans="1:27" ht="12.75" customHeight="1" x14ac:dyDescent="0.35">
      <c r="A116" s="3" t="s">
        <v>1091</v>
      </c>
      <c r="B116" s="44"/>
      <c r="C116" s="3"/>
      <c r="D116" s="3"/>
      <c r="E116" s="16" t="s">
        <v>1092</v>
      </c>
      <c r="F116" s="15">
        <v>1224</v>
      </c>
      <c r="G116" s="16" t="str">
        <f t="shared" si="1"/>
        <v>1224 (Kab. Magetan)</v>
      </c>
      <c r="H116" s="3"/>
      <c r="I116" s="16" t="s">
        <v>1093</v>
      </c>
      <c r="J116" s="17" t="s">
        <v>1094</v>
      </c>
      <c r="K116" s="16" t="str">
        <f t="shared" si="2"/>
        <v>517 (BANK PANIN SYARIAH)</v>
      </c>
      <c r="L116" s="3"/>
      <c r="M116" s="3"/>
      <c r="N116" s="3"/>
      <c r="O116" s="3"/>
      <c r="P116" s="3"/>
      <c r="Q116" s="3"/>
      <c r="R116" s="3"/>
      <c r="S116" s="3"/>
      <c r="T116" s="3"/>
      <c r="U116" s="3"/>
      <c r="V116" s="3"/>
      <c r="W116" s="3"/>
      <c r="X116" s="3"/>
      <c r="Y116" s="21" t="s">
        <v>1095</v>
      </c>
      <c r="Z116" s="22" t="s">
        <v>1096</v>
      </c>
      <c r="AA116" s="23" t="str">
        <f t="shared" si="12"/>
        <v>KW Kuwait</v>
      </c>
    </row>
    <row r="117" spans="1:27" ht="12.75" customHeight="1" x14ac:dyDescent="0.35">
      <c r="A117" s="8" t="s">
        <v>1097</v>
      </c>
      <c r="B117" s="9" t="s">
        <v>2</v>
      </c>
      <c r="C117" s="10" t="s">
        <v>3</v>
      </c>
      <c r="D117" s="3"/>
      <c r="E117" s="16" t="s">
        <v>1098</v>
      </c>
      <c r="F117" s="15">
        <v>1225</v>
      </c>
      <c r="G117" s="16" t="str">
        <f t="shared" si="1"/>
        <v>1225 (Kab. Ponorogo)</v>
      </c>
      <c r="H117" s="3"/>
      <c r="I117" s="16" t="s">
        <v>1099</v>
      </c>
      <c r="J117" s="17" t="s">
        <v>1100</v>
      </c>
      <c r="K117" s="16" t="str">
        <f t="shared" si="2"/>
        <v>521 (BANK SYARIAH BUKOPIN)</v>
      </c>
      <c r="L117" s="3"/>
      <c r="M117" s="3"/>
      <c r="N117" s="3"/>
      <c r="O117" s="3"/>
      <c r="P117" s="3"/>
      <c r="Q117" s="3"/>
      <c r="R117" s="3"/>
      <c r="S117" s="3"/>
      <c r="T117" s="3"/>
      <c r="U117" s="3"/>
      <c r="V117" s="3"/>
      <c r="W117" s="3"/>
      <c r="X117" s="3"/>
      <c r="Y117" s="21" t="s">
        <v>1101</v>
      </c>
      <c r="Z117" s="22" t="s">
        <v>1102</v>
      </c>
      <c r="AA117" s="23" t="str">
        <f t="shared" si="12"/>
        <v>KG Kyrgyzstan</v>
      </c>
    </row>
    <row r="118" spans="1:27" ht="12.75" customHeight="1" x14ac:dyDescent="0.35">
      <c r="A118" s="16" t="s">
        <v>1103</v>
      </c>
      <c r="B118" s="15">
        <v>12</v>
      </c>
      <c r="C118" s="31" t="str">
        <f t="shared" ref="C118:C119" si="16">CONCATENATE(B118," (",A118,")")</f>
        <v>12 (Terkait)</v>
      </c>
      <c r="D118" s="3"/>
      <c r="E118" s="16" t="s">
        <v>1104</v>
      </c>
      <c r="F118" s="15">
        <v>1226</v>
      </c>
      <c r="G118" s="16" t="str">
        <f t="shared" si="1"/>
        <v>1226 (Kab. Pacitan)</v>
      </c>
      <c r="H118" s="3"/>
      <c r="I118" s="16" t="s">
        <v>1105</v>
      </c>
      <c r="J118" s="17" t="s">
        <v>1106</v>
      </c>
      <c r="K118" s="16" t="str">
        <f t="shared" si="2"/>
        <v>536 (BANK BCA SYARIAH)</v>
      </c>
      <c r="L118" s="3"/>
      <c r="M118" s="3"/>
      <c r="N118" s="3"/>
      <c r="O118" s="3"/>
      <c r="P118" s="3"/>
      <c r="Q118" s="3"/>
      <c r="R118" s="3"/>
      <c r="S118" s="3"/>
      <c r="T118" s="3"/>
      <c r="U118" s="3"/>
      <c r="V118" s="3"/>
      <c r="W118" s="3"/>
      <c r="X118" s="3"/>
      <c r="Y118" s="21" t="s">
        <v>1107</v>
      </c>
      <c r="Z118" s="22" t="s">
        <v>1108</v>
      </c>
      <c r="AA118" s="23" t="str">
        <f t="shared" si="12"/>
        <v>LA Lao People's Democratic Republic (the)</v>
      </c>
    </row>
    <row r="119" spans="1:27" ht="12.75" customHeight="1" x14ac:dyDescent="0.35">
      <c r="A119" s="16" t="s">
        <v>1109</v>
      </c>
      <c r="B119" s="15">
        <v>20</v>
      </c>
      <c r="C119" s="31" t="str">
        <f t="shared" si="16"/>
        <v>20 (Tidak Terkait)</v>
      </c>
      <c r="D119" s="3"/>
      <c r="E119" s="16" t="s">
        <v>1110</v>
      </c>
      <c r="F119" s="15">
        <v>1227</v>
      </c>
      <c r="G119" s="16" t="str">
        <f t="shared" si="1"/>
        <v>1227 (Kab. Bojonegoro)</v>
      </c>
      <c r="H119" s="3"/>
      <c r="I119" s="16" t="s">
        <v>1111</v>
      </c>
      <c r="J119" s="17" t="s">
        <v>1112</v>
      </c>
      <c r="K119" s="16" t="str">
        <f t="shared" si="2"/>
        <v>547 (BANK TABUNGAN PENSIUNAN NASIONAL SYARIAH)</v>
      </c>
      <c r="L119" s="3"/>
      <c r="M119" s="3"/>
      <c r="N119" s="3"/>
      <c r="O119" s="3"/>
      <c r="P119" s="3"/>
      <c r="Q119" s="3"/>
      <c r="R119" s="3"/>
      <c r="S119" s="3"/>
      <c r="T119" s="3"/>
      <c r="U119" s="3"/>
      <c r="V119" s="3"/>
      <c r="W119" s="3"/>
      <c r="X119" s="3"/>
      <c r="Y119" s="21" t="s">
        <v>1113</v>
      </c>
      <c r="Z119" s="22" t="s">
        <v>1114</v>
      </c>
      <c r="AA119" s="23" t="str">
        <f t="shared" si="12"/>
        <v>LV Latvia</v>
      </c>
    </row>
    <row r="120" spans="1:27" ht="12.75" customHeight="1" x14ac:dyDescent="0.35">
      <c r="A120" s="3"/>
      <c r="B120" s="2"/>
      <c r="C120" s="3"/>
      <c r="D120" s="3"/>
      <c r="E120" s="16" t="s">
        <v>1115</v>
      </c>
      <c r="F120" s="15">
        <v>1228</v>
      </c>
      <c r="G120" s="16" t="str">
        <f t="shared" si="1"/>
        <v>1228 (Kab. Tuban)</v>
      </c>
      <c r="H120" s="3"/>
      <c r="I120" s="16" t="s">
        <v>1116</v>
      </c>
      <c r="J120" s="17" t="s">
        <v>1117</v>
      </c>
      <c r="K120" s="16" t="str">
        <f t="shared" si="2"/>
        <v>947 (BANK MAYBANK SYARIAH INDONESIA)</v>
      </c>
      <c r="L120" s="3"/>
      <c r="M120" s="3"/>
      <c r="N120" s="3"/>
      <c r="O120" s="3"/>
      <c r="P120" s="3"/>
      <c r="Q120" s="3"/>
      <c r="R120" s="3"/>
      <c r="S120" s="3"/>
      <c r="T120" s="3"/>
      <c r="U120" s="3"/>
      <c r="V120" s="3"/>
      <c r="W120" s="3"/>
      <c r="X120" s="3"/>
      <c r="Y120" s="21" t="s">
        <v>1118</v>
      </c>
      <c r="Z120" s="22" t="s">
        <v>1119</v>
      </c>
      <c r="AA120" s="23" t="str">
        <f t="shared" si="12"/>
        <v>LB Lebanon</v>
      </c>
    </row>
    <row r="121" spans="1:27" ht="12.75" customHeight="1" x14ac:dyDescent="0.35">
      <c r="A121" s="1" t="s">
        <v>1120</v>
      </c>
      <c r="B121" s="2"/>
      <c r="C121" s="3"/>
      <c r="D121" s="3"/>
      <c r="E121" s="16" t="s">
        <v>1121</v>
      </c>
      <c r="F121" s="15">
        <v>1229</v>
      </c>
      <c r="G121" s="16" t="str">
        <f t="shared" si="1"/>
        <v>1229 (Kab. Lamongan)</v>
      </c>
      <c r="H121" s="3"/>
      <c r="I121" s="16" t="s">
        <v>1122</v>
      </c>
      <c r="J121" s="17" t="s">
        <v>284</v>
      </c>
      <c r="K121" s="16" t="str">
        <f t="shared" si="2"/>
        <v>011 (BANK DANAMON SYARIAH (UUS))</v>
      </c>
      <c r="L121" s="3"/>
      <c r="M121" s="3"/>
      <c r="N121" s="3"/>
      <c r="O121" s="3"/>
      <c r="P121" s="3"/>
      <c r="Q121" s="3"/>
      <c r="R121" s="3"/>
      <c r="S121" s="3"/>
      <c r="T121" s="3"/>
      <c r="U121" s="3"/>
      <c r="V121" s="3"/>
      <c r="W121" s="3"/>
      <c r="X121" s="3"/>
      <c r="Y121" s="21" t="s">
        <v>1123</v>
      </c>
      <c r="Z121" s="22" t="s">
        <v>1124</v>
      </c>
      <c r="AA121" s="23" t="str">
        <f t="shared" si="12"/>
        <v>LS Lesotho</v>
      </c>
    </row>
    <row r="122" spans="1:27" ht="12.75" customHeight="1" x14ac:dyDescent="0.35">
      <c r="A122" s="8" t="s">
        <v>1125</v>
      </c>
      <c r="B122" s="10" t="s">
        <v>2</v>
      </c>
      <c r="C122" s="10" t="s">
        <v>3</v>
      </c>
      <c r="D122" s="3"/>
      <c r="E122" s="16" t="s">
        <v>1126</v>
      </c>
      <c r="F122" s="15">
        <v>1230</v>
      </c>
      <c r="G122" s="16" t="str">
        <f t="shared" si="1"/>
        <v>1230 (Kab. Situbondo)</v>
      </c>
      <c r="H122" s="3"/>
      <c r="I122" s="16" t="s">
        <v>1127</v>
      </c>
      <c r="J122" s="17" t="s">
        <v>547</v>
      </c>
      <c r="K122" s="16" t="str">
        <f t="shared" si="2"/>
        <v>013 (BANK PERMATA SYARIAH (UUS))</v>
      </c>
      <c r="L122" s="3"/>
      <c r="M122" s="3"/>
      <c r="N122" s="3"/>
      <c r="O122" s="3"/>
      <c r="P122" s="3"/>
      <c r="Q122" s="3"/>
      <c r="R122" s="3"/>
      <c r="S122" s="3"/>
      <c r="T122" s="3"/>
      <c r="U122" s="3"/>
      <c r="V122" s="3"/>
      <c r="W122" s="3"/>
      <c r="X122" s="3"/>
      <c r="Y122" s="21" t="s">
        <v>1128</v>
      </c>
      <c r="Z122" s="22" t="s">
        <v>1129</v>
      </c>
      <c r="AA122" s="23" t="str">
        <f t="shared" si="12"/>
        <v>LR Liberia</v>
      </c>
    </row>
    <row r="123" spans="1:27" ht="12.75" customHeight="1" x14ac:dyDescent="0.35">
      <c r="A123" s="45" t="s">
        <v>1130</v>
      </c>
      <c r="B123" s="46">
        <v>11</v>
      </c>
      <c r="C123" s="31" t="str">
        <f t="shared" ref="C123:C126" si="17">CONCATENATE(B123," (",A123,")")</f>
        <v>11 (Bunga flat Tetap)</v>
      </c>
      <c r="D123" s="3"/>
      <c r="E123" s="16" t="s">
        <v>1131</v>
      </c>
      <c r="F123" s="15">
        <v>1291</v>
      </c>
      <c r="G123" s="16" t="str">
        <f t="shared" si="1"/>
        <v>1291 (Kota Surabaya)</v>
      </c>
      <c r="H123" s="3"/>
      <c r="I123" s="16" t="s">
        <v>1132</v>
      </c>
      <c r="J123" s="17" t="s">
        <v>569</v>
      </c>
      <c r="K123" s="16" t="str">
        <f t="shared" si="2"/>
        <v>022 (BANK CIMB NIAGA SYARIAH (UUS))</v>
      </c>
      <c r="L123" s="3"/>
      <c r="M123" s="3"/>
      <c r="N123" s="3"/>
      <c r="O123" s="3"/>
      <c r="P123" s="3"/>
      <c r="Q123" s="3"/>
      <c r="R123" s="3"/>
      <c r="S123" s="3"/>
      <c r="T123" s="3"/>
      <c r="U123" s="3"/>
      <c r="V123" s="3"/>
      <c r="W123" s="3"/>
      <c r="X123" s="3"/>
      <c r="Y123" s="21" t="s">
        <v>1133</v>
      </c>
      <c r="Z123" s="22" t="s">
        <v>1134</v>
      </c>
      <c r="AA123" s="23" t="str">
        <f t="shared" si="12"/>
        <v>LY Libya</v>
      </c>
    </row>
    <row r="124" spans="1:27" ht="12.75" customHeight="1" x14ac:dyDescent="0.35">
      <c r="A124" s="45" t="s">
        <v>1135</v>
      </c>
      <c r="B124" s="46">
        <v>12</v>
      </c>
      <c r="C124" s="31" t="str">
        <f t="shared" si="17"/>
        <v>12 (Bunga flat Mengambang)</v>
      </c>
      <c r="D124" s="3"/>
      <c r="E124" s="16" t="s">
        <v>1136</v>
      </c>
      <c r="F124" s="15">
        <v>1292</v>
      </c>
      <c r="G124" s="16" t="str">
        <f t="shared" si="1"/>
        <v>1292 (Kota Mojokerto)</v>
      </c>
      <c r="H124" s="3"/>
      <c r="I124" s="16" t="s">
        <v>1137</v>
      </c>
      <c r="J124" s="17" t="s">
        <v>323</v>
      </c>
      <c r="K124" s="16" t="str">
        <f t="shared" si="2"/>
        <v>028 (BANK OCBC NISP SYARIAH (UUS))</v>
      </c>
      <c r="L124" s="3"/>
      <c r="M124" s="3"/>
      <c r="N124" s="3"/>
      <c r="O124" s="3"/>
      <c r="P124" s="3"/>
      <c r="Q124" s="3"/>
      <c r="R124" s="3"/>
      <c r="S124" s="3"/>
      <c r="T124" s="3"/>
      <c r="U124" s="3"/>
      <c r="V124" s="3"/>
      <c r="W124" s="3"/>
      <c r="X124" s="3"/>
      <c r="Y124" s="21" t="s">
        <v>1138</v>
      </c>
      <c r="Z124" s="22" t="s">
        <v>1139</v>
      </c>
      <c r="AA124" s="23" t="str">
        <f t="shared" si="12"/>
        <v>LI Liechtenstein</v>
      </c>
    </row>
    <row r="125" spans="1:27" ht="12.75" customHeight="1" x14ac:dyDescent="0.35">
      <c r="A125" s="16" t="s">
        <v>1140</v>
      </c>
      <c r="B125" s="46">
        <v>21</v>
      </c>
      <c r="C125" s="31" t="str">
        <f t="shared" si="17"/>
        <v>21 (Bunga tidak flat Tetap)</v>
      </c>
      <c r="D125" s="3"/>
      <c r="E125" s="16" t="s">
        <v>1141</v>
      </c>
      <c r="F125" s="15">
        <v>1293</v>
      </c>
      <c r="G125" s="16" t="str">
        <f t="shared" si="1"/>
        <v>1293 (Kota Malang)</v>
      </c>
      <c r="H125" s="3"/>
      <c r="I125" s="16" t="s">
        <v>1142</v>
      </c>
      <c r="J125" s="17" t="s">
        <v>95</v>
      </c>
      <c r="K125" s="16" t="str">
        <f t="shared" si="2"/>
        <v>111 (BANK DKI(UUS))</v>
      </c>
      <c r="L125" s="3"/>
      <c r="M125" s="3"/>
      <c r="N125" s="3"/>
      <c r="O125" s="3"/>
      <c r="P125" s="3"/>
      <c r="Q125" s="3"/>
      <c r="R125" s="3"/>
      <c r="S125" s="3"/>
      <c r="T125" s="3"/>
      <c r="U125" s="3"/>
      <c r="V125" s="3"/>
      <c r="W125" s="3"/>
      <c r="X125" s="3"/>
      <c r="Y125" s="21" t="s">
        <v>1143</v>
      </c>
      <c r="Z125" s="22" t="s">
        <v>1144</v>
      </c>
      <c r="AA125" s="23" t="str">
        <f t="shared" si="12"/>
        <v>LT Lithuania</v>
      </c>
    </row>
    <row r="126" spans="1:27" ht="12.75" customHeight="1" x14ac:dyDescent="0.35">
      <c r="A126" s="16" t="s">
        <v>1145</v>
      </c>
      <c r="B126" s="46">
        <v>22</v>
      </c>
      <c r="C126" s="31" t="str">
        <f t="shared" si="17"/>
        <v>22 (Bunga tidak flat Mengambang)</v>
      </c>
      <c r="D126" s="3"/>
      <c r="E126" s="16" t="s">
        <v>1146</v>
      </c>
      <c r="F126" s="15">
        <v>1294</v>
      </c>
      <c r="G126" s="16" t="str">
        <f t="shared" si="1"/>
        <v>1294 (Kota Pasuruan)</v>
      </c>
      <c r="H126" s="3"/>
      <c r="I126" s="16" t="s">
        <v>1147</v>
      </c>
      <c r="J126" s="17" t="s">
        <v>768</v>
      </c>
      <c r="K126" s="16" t="str">
        <f t="shared" si="2"/>
        <v>112 (BPD YOGYAKARTA (UUS))</v>
      </c>
      <c r="L126" s="3"/>
      <c r="M126" s="3"/>
      <c r="N126" s="3"/>
      <c r="O126" s="3"/>
      <c r="P126" s="3"/>
      <c r="Q126" s="3"/>
      <c r="R126" s="3"/>
      <c r="S126" s="3"/>
      <c r="T126" s="3"/>
      <c r="U126" s="3"/>
      <c r="V126" s="3"/>
      <c r="W126" s="3"/>
      <c r="X126" s="3"/>
      <c r="Y126" s="21" t="s">
        <v>1148</v>
      </c>
      <c r="Z126" s="22" t="s">
        <v>1149</v>
      </c>
      <c r="AA126" s="23" t="str">
        <f t="shared" si="12"/>
        <v>LU Luxembourg</v>
      </c>
    </row>
    <row r="127" spans="1:27" ht="12.75" customHeight="1" x14ac:dyDescent="0.35">
      <c r="A127" s="3"/>
      <c r="B127" s="2"/>
      <c r="C127" s="3"/>
      <c r="D127" s="3"/>
      <c r="E127" s="16" t="s">
        <v>1150</v>
      </c>
      <c r="F127" s="15">
        <v>1295</v>
      </c>
      <c r="G127" s="16" t="str">
        <f t="shared" si="1"/>
        <v>1295 (Kota Probolinggo)</v>
      </c>
      <c r="H127" s="3"/>
      <c r="I127" s="16" t="s">
        <v>1151</v>
      </c>
      <c r="J127" s="17" t="s">
        <v>777</v>
      </c>
      <c r="K127" s="16" t="str">
        <f t="shared" si="2"/>
        <v>113 (BPD JAWA TENGAH (UUS))</v>
      </c>
      <c r="L127" s="3"/>
      <c r="M127" s="3"/>
      <c r="N127" s="3"/>
      <c r="O127" s="3"/>
      <c r="P127" s="3"/>
      <c r="Q127" s="3"/>
      <c r="R127" s="3"/>
      <c r="S127" s="3"/>
      <c r="T127" s="3"/>
      <c r="U127" s="3"/>
      <c r="V127" s="3"/>
      <c r="W127" s="3"/>
      <c r="X127" s="3"/>
      <c r="Y127" s="21" t="s">
        <v>1152</v>
      </c>
      <c r="Z127" s="22" t="s">
        <v>1153</v>
      </c>
      <c r="AA127" s="23" t="str">
        <f t="shared" si="12"/>
        <v>MO Macao</v>
      </c>
    </row>
    <row r="128" spans="1:27" ht="12.75" customHeight="1" x14ac:dyDescent="0.35">
      <c r="A128" s="1" t="s">
        <v>1154</v>
      </c>
      <c r="B128" s="2"/>
      <c r="C128" s="3"/>
      <c r="D128" s="3"/>
      <c r="E128" s="16" t="s">
        <v>1155</v>
      </c>
      <c r="F128" s="15">
        <v>1296</v>
      </c>
      <c r="G128" s="16" t="str">
        <f t="shared" si="1"/>
        <v>1296 (Kota Blitar)</v>
      </c>
      <c r="H128" s="3"/>
      <c r="I128" s="16" t="s">
        <v>1156</v>
      </c>
      <c r="J128" s="17" t="s">
        <v>787</v>
      </c>
      <c r="K128" s="16" t="str">
        <f t="shared" si="2"/>
        <v>114 (BPD JAWA TIMUR (UUS))</v>
      </c>
      <c r="L128" s="3"/>
      <c r="M128" s="3"/>
      <c r="N128" s="3"/>
      <c r="O128" s="3"/>
      <c r="P128" s="3"/>
      <c r="Q128" s="3"/>
      <c r="R128" s="3"/>
      <c r="S128" s="3"/>
      <c r="T128" s="3"/>
      <c r="U128" s="3"/>
      <c r="V128" s="3"/>
      <c r="W128" s="3"/>
      <c r="X128" s="3"/>
      <c r="Y128" s="21" t="s">
        <v>1157</v>
      </c>
      <c r="Z128" s="22" t="s">
        <v>1158</v>
      </c>
      <c r="AA128" s="23" t="str">
        <f t="shared" si="12"/>
        <v>MK Macedonia (the former Yugoslav Republic of)</v>
      </c>
    </row>
    <row r="129" spans="1:27" ht="12.75" customHeight="1" x14ac:dyDescent="0.35">
      <c r="A129" s="8" t="s">
        <v>1159</v>
      </c>
      <c r="B129" s="9" t="s">
        <v>2</v>
      </c>
      <c r="C129" s="10" t="s">
        <v>3</v>
      </c>
      <c r="D129" s="3"/>
      <c r="E129" s="16" t="s">
        <v>1160</v>
      </c>
      <c r="F129" s="15">
        <v>1297</v>
      </c>
      <c r="G129" s="16" t="str">
        <f t="shared" si="1"/>
        <v>1297 (Kota Kediri)</v>
      </c>
      <c r="H129" s="3"/>
      <c r="I129" s="16" t="s">
        <v>1161</v>
      </c>
      <c r="J129" s="17" t="s">
        <v>796</v>
      </c>
      <c r="K129" s="16" t="str">
        <f t="shared" si="2"/>
        <v>115 (BPD JAMBI (UUS))</v>
      </c>
      <c r="L129" s="3"/>
      <c r="M129" s="3"/>
      <c r="N129" s="3"/>
      <c r="O129" s="3"/>
      <c r="P129" s="3"/>
      <c r="Q129" s="3"/>
      <c r="R129" s="3"/>
      <c r="S129" s="3"/>
      <c r="T129" s="3"/>
      <c r="U129" s="3"/>
      <c r="V129" s="3"/>
      <c r="W129" s="3"/>
      <c r="X129" s="3"/>
      <c r="Y129" s="21" t="s">
        <v>1162</v>
      </c>
      <c r="Z129" s="22" t="s">
        <v>1163</v>
      </c>
      <c r="AA129" s="23" t="str">
        <f t="shared" si="12"/>
        <v>MG Madagascar</v>
      </c>
    </row>
    <row r="130" spans="1:27" ht="12.75" customHeight="1" x14ac:dyDescent="0.35">
      <c r="A130" s="47" t="s">
        <v>1164</v>
      </c>
      <c r="B130" s="48" t="s">
        <v>1165</v>
      </c>
      <c r="C130" s="31" t="str">
        <f t="shared" ref="C130:C148" si="18">CONCATENATE(B130," (",A130,")")</f>
        <v>101 (Likuid : SBI/Surat Utang Pemerintah)</v>
      </c>
      <c r="D130" s="3"/>
      <c r="E130" s="16" t="s">
        <v>1166</v>
      </c>
      <c r="F130" s="15">
        <v>1298</v>
      </c>
      <c r="G130" s="16" t="str">
        <f t="shared" si="1"/>
        <v>1298 (Kota Madiun)</v>
      </c>
      <c r="H130" s="3"/>
      <c r="I130" s="16" t="s">
        <v>1167</v>
      </c>
      <c r="J130" s="17" t="s">
        <v>814</v>
      </c>
      <c r="K130" s="16" t="str">
        <f t="shared" si="2"/>
        <v>117 (BPD SUMATERA UTARA (UUS))</v>
      </c>
      <c r="L130" s="3"/>
      <c r="M130" s="3"/>
      <c r="N130" s="3"/>
      <c r="O130" s="3"/>
      <c r="P130" s="3"/>
      <c r="Q130" s="3"/>
      <c r="R130" s="3"/>
      <c r="S130" s="3"/>
      <c r="T130" s="3"/>
      <c r="U130" s="3"/>
      <c r="V130" s="3"/>
      <c r="W130" s="3"/>
      <c r="X130" s="3"/>
      <c r="Y130" s="21" t="s">
        <v>1168</v>
      </c>
      <c r="Z130" s="22" t="s">
        <v>1169</v>
      </c>
      <c r="AA130" s="23" t="str">
        <f t="shared" si="12"/>
        <v>MW Malawi</v>
      </c>
    </row>
    <row r="131" spans="1:27" ht="12.75" customHeight="1" x14ac:dyDescent="0.35">
      <c r="A131" s="47" t="s">
        <v>1170</v>
      </c>
      <c r="B131" s="48" t="s">
        <v>1171</v>
      </c>
      <c r="C131" s="31" t="str">
        <f t="shared" si="18"/>
        <v>102 (Likuid : Tabungan dan Deposito yang diblokir BPR bersangkutan disertai dengan surat kuasa pencairan)</v>
      </c>
      <c r="D131" s="3"/>
      <c r="E131" s="16" t="s">
        <v>1172</v>
      </c>
      <c r="F131" s="15">
        <v>1271</v>
      </c>
      <c r="G131" s="16" t="str">
        <f t="shared" si="1"/>
        <v>1271 (Kota Batu)</v>
      </c>
      <c r="H131" s="3"/>
      <c r="I131" s="16" t="s">
        <v>1173</v>
      </c>
      <c r="J131" s="17" t="s">
        <v>823</v>
      </c>
      <c r="K131" s="16" t="str">
        <f t="shared" si="2"/>
        <v>118 (BPD SUMATERA BARAT (UUS))</v>
      </c>
      <c r="L131" s="3"/>
      <c r="M131" s="3"/>
      <c r="N131" s="3"/>
      <c r="O131" s="3"/>
      <c r="P131" s="3"/>
      <c r="Q131" s="3"/>
      <c r="R131" s="3"/>
      <c r="S131" s="3"/>
      <c r="T131" s="3"/>
      <c r="U131" s="3"/>
      <c r="V131" s="3"/>
      <c r="W131" s="3"/>
      <c r="X131" s="3"/>
      <c r="Y131" s="21" t="s">
        <v>1174</v>
      </c>
      <c r="Z131" s="22" t="s">
        <v>1175</v>
      </c>
      <c r="AA131" s="23" t="str">
        <f t="shared" si="12"/>
        <v>MY Malaysia</v>
      </c>
    </row>
    <row r="132" spans="1:27" ht="12.75" customHeight="1" x14ac:dyDescent="0.35">
      <c r="A132" s="47" t="s">
        <v>1176</v>
      </c>
      <c r="B132" s="48" t="s">
        <v>1177</v>
      </c>
      <c r="C132" s="31" t="str">
        <f t="shared" si="18"/>
        <v>103 (Likuid : Logam mulia yang disertai surat kuasa gadai)</v>
      </c>
      <c r="D132" s="3"/>
      <c r="E132" s="16" t="s">
        <v>381</v>
      </c>
      <c r="F132" s="15">
        <v>1288</v>
      </c>
      <c r="G132" s="16" t="str">
        <f t="shared" si="1"/>
        <v>1288 (Kab./Kota Lainnya)</v>
      </c>
      <c r="H132" s="3"/>
      <c r="I132" s="16" t="s">
        <v>1178</v>
      </c>
      <c r="J132" s="17" t="s">
        <v>832</v>
      </c>
      <c r="K132" s="16" t="str">
        <f t="shared" si="2"/>
        <v>119 (BPD RIAU KEPRI (UUS))</v>
      </c>
      <c r="L132" s="3"/>
      <c r="M132" s="3"/>
      <c r="N132" s="3"/>
      <c r="O132" s="3"/>
      <c r="P132" s="3"/>
      <c r="Q132" s="3"/>
      <c r="R132" s="3"/>
      <c r="S132" s="3"/>
      <c r="T132" s="3"/>
      <c r="U132" s="3"/>
      <c r="V132" s="3"/>
      <c r="W132" s="3"/>
      <c r="X132" s="3"/>
      <c r="Y132" s="21" t="s">
        <v>1179</v>
      </c>
      <c r="Z132" s="22" t="s">
        <v>1180</v>
      </c>
      <c r="AA132" s="23" t="str">
        <f t="shared" si="12"/>
        <v>MV Maldives</v>
      </c>
    </row>
    <row r="133" spans="1:27" ht="12.75" customHeight="1" x14ac:dyDescent="0.35">
      <c r="A133" s="47" t="s">
        <v>1181</v>
      </c>
      <c r="B133" s="48">
        <v>201</v>
      </c>
      <c r="C133" s="31" t="str">
        <f t="shared" si="18"/>
        <v>201 (Non Likuid : Emas perhiasan)</v>
      </c>
      <c r="D133" s="3"/>
      <c r="E133" s="14" t="s">
        <v>1182</v>
      </c>
      <c r="F133" s="15"/>
      <c r="G133" s="16" t="str">
        <f t="shared" si="1"/>
        <v>---- (Provinsi Bengkulu)</v>
      </c>
      <c r="H133" s="3"/>
      <c r="I133" s="16" t="s">
        <v>1183</v>
      </c>
      <c r="J133" s="17" t="s">
        <v>841</v>
      </c>
      <c r="K133" s="16" t="str">
        <f t="shared" si="2"/>
        <v>120 (BPD SUMATERA SELATAN DAN BANGKA BELITUNG (UUS))</v>
      </c>
      <c r="L133" s="3"/>
      <c r="M133" s="3"/>
      <c r="N133" s="3"/>
      <c r="O133" s="3"/>
      <c r="P133" s="3"/>
      <c r="Q133" s="3"/>
      <c r="R133" s="3"/>
      <c r="S133" s="3"/>
      <c r="T133" s="3"/>
      <c r="U133" s="3"/>
      <c r="V133" s="3"/>
      <c r="W133" s="3"/>
      <c r="X133" s="3"/>
      <c r="Y133" s="21" t="s">
        <v>1184</v>
      </c>
      <c r="Z133" s="22" t="s">
        <v>1185</v>
      </c>
      <c r="AA133" s="23" t="str">
        <f t="shared" ref="AA133:AA196" si="19">CONCATENATE(Y133," ",Z133)</f>
        <v>ML Mali</v>
      </c>
    </row>
    <row r="134" spans="1:27" ht="12.75" customHeight="1" x14ac:dyDescent="0.35">
      <c r="A134" s="47" t="s">
        <v>1186</v>
      </c>
      <c r="B134" s="48">
        <v>202</v>
      </c>
      <c r="C134" s="31" t="str">
        <f t="shared" si="18"/>
        <v>202 (Non Likuid : Tanah dan/atau bangunan yang memiliki sertipikat yang dibebani hak tanggungan pertama)</v>
      </c>
      <c r="D134" s="3"/>
      <c r="E134" s="16" t="s">
        <v>1187</v>
      </c>
      <c r="F134" s="15">
        <v>2301</v>
      </c>
      <c r="G134" s="16" t="str">
        <f t="shared" si="1"/>
        <v>2301 (Kab. Bengkulu Selatan)</v>
      </c>
      <c r="H134" s="3"/>
      <c r="I134" s="16" t="s">
        <v>1188</v>
      </c>
      <c r="J134" s="17" t="s">
        <v>859</v>
      </c>
      <c r="K134" s="16" t="str">
        <f t="shared" si="2"/>
        <v>122 (BPD KALIMANTAN SELATAN (UUS))</v>
      </c>
      <c r="L134" s="3"/>
      <c r="M134" s="3"/>
      <c r="N134" s="3"/>
      <c r="O134" s="3"/>
      <c r="P134" s="3"/>
      <c r="Q134" s="3"/>
      <c r="R134" s="3"/>
      <c r="S134" s="3"/>
      <c r="T134" s="3"/>
      <c r="U134" s="3"/>
      <c r="V134" s="3"/>
      <c r="W134" s="3"/>
      <c r="X134" s="3"/>
      <c r="Y134" s="21" t="s">
        <v>1189</v>
      </c>
      <c r="Z134" s="22" t="s">
        <v>1190</v>
      </c>
      <c r="AA134" s="23" t="str">
        <f t="shared" si="19"/>
        <v>MT Malta</v>
      </c>
    </row>
    <row r="135" spans="1:27" ht="12.75" customHeight="1" x14ac:dyDescent="0.35">
      <c r="A135" s="47" t="s">
        <v>1191</v>
      </c>
      <c r="B135" s="48">
        <v>203</v>
      </c>
      <c r="C135" s="31" t="str">
        <f t="shared" si="18"/>
        <v>203 (Non Likuid : Tanah dan/atau bangunan yang memiliki sertipikat dan didukung dengan surat kuasa menjual namun tidak dibebani dengan hak tanggungan pertama)</v>
      </c>
      <c r="D135" s="3"/>
      <c r="E135" s="16" t="s">
        <v>1192</v>
      </c>
      <c r="F135" s="15">
        <v>2302</v>
      </c>
      <c r="G135" s="16" t="str">
        <f t="shared" si="1"/>
        <v>2302 (Kab. Bengkulu Utara)</v>
      </c>
      <c r="H135" s="3"/>
      <c r="I135" s="16" t="s">
        <v>1193</v>
      </c>
      <c r="J135" s="17" t="s">
        <v>868</v>
      </c>
      <c r="K135" s="16" t="str">
        <f t="shared" si="2"/>
        <v>123 (BPD KALIMANTAN BARAT (UUS))</v>
      </c>
      <c r="L135" s="3"/>
      <c r="M135" s="3"/>
      <c r="N135" s="3"/>
      <c r="O135" s="3"/>
      <c r="P135" s="3"/>
      <c r="Q135" s="3"/>
      <c r="R135" s="3"/>
      <c r="S135" s="3"/>
      <c r="T135" s="3"/>
      <c r="U135" s="3"/>
      <c r="V135" s="3"/>
      <c r="W135" s="3"/>
      <c r="X135" s="3"/>
      <c r="Y135" s="21" t="s">
        <v>1194</v>
      </c>
      <c r="Z135" s="22" t="s">
        <v>1195</v>
      </c>
      <c r="AA135" s="23" t="str">
        <f t="shared" si="19"/>
        <v>MH Marshall Islands (the)</v>
      </c>
    </row>
    <row r="136" spans="1:27" ht="12.75" customHeight="1" x14ac:dyDescent="0.35">
      <c r="A136" s="47" t="s">
        <v>1196</v>
      </c>
      <c r="B136" s="48" t="s">
        <v>1197</v>
      </c>
      <c r="C136" s="31" t="str">
        <f t="shared" si="18"/>
        <v>204 (Non Likuid : Tanah dan/atau bangunan dengan kepemilikan berupa surat pengakuan tanah adat yang dilampiri SPPT atau surat keterangan NJOP terakhir dari dari instansi yang berwenang)</v>
      </c>
      <c r="D136" s="3"/>
      <c r="E136" s="16" t="s">
        <v>1198</v>
      </c>
      <c r="F136" s="15">
        <v>2303</v>
      </c>
      <c r="G136" s="16" t="str">
        <f t="shared" si="1"/>
        <v>2303 (Kab. Rejang Lebong)</v>
      </c>
      <c r="H136" s="3"/>
      <c r="I136" s="16" t="s">
        <v>1199</v>
      </c>
      <c r="J136" s="17" t="s">
        <v>877</v>
      </c>
      <c r="K136" s="16" t="str">
        <f t="shared" si="2"/>
        <v>124 (BPD KALIMANTAN TIMUR (UUS))</v>
      </c>
      <c r="L136" s="3"/>
      <c r="M136" s="3"/>
      <c r="N136" s="3"/>
      <c r="O136" s="3"/>
      <c r="P136" s="3"/>
      <c r="Q136" s="3"/>
      <c r="R136" s="3"/>
      <c r="S136" s="3"/>
      <c r="T136" s="3"/>
      <c r="U136" s="3"/>
      <c r="V136" s="3"/>
      <c r="W136" s="3"/>
      <c r="X136" s="3"/>
      <c r="Y136" s="21" t="s">
        <v>1200</v>
      </c>
      <c r="Z136" s="22" t="s">
        <v>1201</v>
      </c>
      <c r="AA136" s="23" t="str">
        <f t="shared" si="19"/>
        <v>MQ Martinique</v>
      </c>
    </row>
    <row r="137" spans="1:27" ht="12.75" customHeight="1" x14ac:dyDescent="0.35">
      <c r="A137" s="47" t="s">
        <v>1202</v>
      </c>
      <c r="B137" s="48" t="s">
        <v>1203</v>
      </c>
      <c r="C137" s="31" t="str">
        <f t="shared" si="18"/>
        <v>205 (Non Likuid : Tanah dan/atau bangunan rumah dengan kepemilikan berupa surat pengakuan tanah adat tanpa dilampiri SPPT atau surat keterangan NJOP terakhir dari dari instansi berwenang)</v>
      </c>
      <c r="D137" s="3"/>
      <c r="E137" s="16" t="s">
        <v>1204</v>
      </c>
      <c r="F137" s="15">
        <v>2304</v>
      </c>
      <c r="G137" s="16" t="str">
        <f t="shared" si="1"/>
        <v>2304 (Kab. Lebong)</v>
      </c>
      <c r="H137" s="3"/>
      <c r="I137" s="16" t="s">
        <v>1205</v>
      </c>
      <c r="J137" s="17" t="s">
        <v>894</v>
      </c>
      <c r="K137" s="16" t="str">
        <f t="shared" si="2"/>
        <v>126 (BPD SULAWESI SELATAN DAN SULAWESI BARAT (UUS))</v>
      </c>
      <c r="L137" s="3"/>
      <c r="M137" s="3"/>
      <c r="N137" s="3"/>
      <c r="O137" s="3"/>
      <c r="P137" s="3"/>
      <c r="Q137" s="3"/>
      <c r="R137" s="3"/>
      <c r="S137" s="3"/>
      <c r="T137" s="3"/>
      <c r="U137" s="3"/>
      <c r="V137" s="3"/>
      <c r="W137" s="3"/>
      <c r="X137" s="3"/>
      <c r="Y137" s="21" t="s">
        <v>1206</v>
      </c>
      <c r="Z137" s="22" t="s">
        <v>1207</v>
      </c>
      <c r="AA137" s="23" t="str">
        <f t="shared" si="19"/>
        <v>MR Mauritania</v>
      </c>
    </row>
    <row r="138" spans="1:27" ht="12.75" customHeight="1" x14ac:dyDescent="0.35">
      <c r="A138" s="47" t="s">
        <v>1208</v>
      </c>
      <c r="B138" s="48" t="s">
        <v>1209</v>
      </c>
      <c r="C138" s="31" t="str">
        <f t="shared" si="18"/>
        <v>206 (Non Likuid : Resi gudang yang penilaiannya dilakukan kurang dari 12 bulan atau sampai dengan 12 (dua belas) bulan dan sejalan dengan ketentuan peraturan perundang-undangan mengenai resi gudang)</v>
      </c>
      <c r="D138" s="3"/>
      <c r="E138" s="16" t="s">
        <v>1210</v>
      </c>
      <c r="F138" s="15">
        <v>2305</v>
      </c>
      <c r="G138" s="16" t="str">
        <f t="shared" si="1"/>
        <v>2305 (Kab. Kepahiang)</v>
      </c>
      <c r="H138" s="3"/>
      <c r="I138" s="16" t="s">
        <v>1211</v>
      </c>
      <c r="J138" s="17" t="s">
        <v>921</v>
      </c>
      <c r="K138" s="16" t="str">
        <f t="shared" si="2"/>
        <v>128 (BPD NTB (UUS))</v>
      </c>
      <c r="L138" s="3"/>
      <c r="M138" s="3"/>
      <c r="N138" s="3"/>
      <c r="O138" s="3"/>
      <c r="P138" s="3"/>
      <c r="Q138" s="3"/>
      <c r="R138" s="3"/>
      <c r="S138" s="3"/>
      <c r="T138" s="3"/>
      <c r="U138" s="3"/>
      <c r="V138" s="3"/>
      <c r="W138" s="3"/>
      <c r="X138" s="3"/>
      <c r="Y138" s="21" t="s">
        <v>1212</v>
      </c>
      <c r="Z138" s="22" t="s">
        <v>1213</v>
      </c>
      <c r="AA138" s="23" t="str">
        <f t="shared" si="19"/>
        <v>MU Mauritius</v>
      </c>
    </row>
    <row r="139" spans="1:27" ht="12.75" customHeight="1" x14ac:dyDescent="0.35">
      <c r="A139" s="47" t="s">
        <v>1214</v>
      </c>
      <c r="B139" s="48" t="s">
        <v>1215</v>
      </c>
      <c r="C139" s="31" t="str">
        <f t="shared" si="18"/>
        <v>207 (Non Likuid : Resi gudang yang penilaiannya dilakukan lebih dari 12 bulan sampai dengan 18 bulan dan sejalan dengan ketentuan peraturan perundang-undangan mengenai resi gudang)</v>
      </c>
      <c r="D139" s="3"/>
      <c r="E139" s="16" t="s">
        <v>1216</v>
      </c>
      <c r="F139" s="15">
        <v>2306</v>
      </c>
      <c r="G139" s="16" t="str">
        <f t="shared" si="1"/>
        <v>2306 (Kab. Mukomuko)</v>
      </c>
      <c r="H139" s="3"/>
      <c r="I139" s="16" t="s">
        <v>1217</v>
      </c>
      <c r="J139" s="17" t="s">
        <v>628</v>
      </c>
      <c r="K139" s="16" t="str">
        <f t="shared" si="2"/>
        <v>153 (BANK SINARMAS (UUS))</v>
      </c>
      <c r="L139" s="3"/>
      <c r="M139" s="3"/>
      <c r="N139" s="3"/>
      <c r="O139" s="3"/>
      <c r="P139" s="3"/>
      <c r="Q139" s="3"/>
      <c r="R139" s="3"/>
      <c r="S139" s="3"/>
      <c r="T139" s="3"/>
      <c r="U139" s="3"/>
      <c r="V139" s="3"/>
      <c r="W139" s="3"/>
      <c r="X139" s="3"/>
      <c r="Y139" s="21" t="s">
        <v>1218</v>
      </c>
      <c r="Z139" s="22" t="s">
        <v>1219</v>
      </c>
      <c r="AA139" s="23" t="str">
        <f t="shared" si="19"/>
        <v>YT Mayotte</v>
      </c>
    </row>
    <row r="140" spans="1:27" ht="12.75" customHeight="1" x14ac:dyDescent="0.35">
      <c r="A140" s="47" t="s">
        <v>1220</v>
      </c>
      <c r="B140" s="48" t="s">
        <v>1221</v>
      </c>
      <c r="C140" s="31" t="str">
        <f t="shared" si="18"/>
        <v>208 (Non Likuid : Resi gudang yang penilaiannya dilakukan lebih dari 18 bulan sampai dengan 24 bulan dan sejalan dengan ketentuan peraturan perundang-undangan mengenai resi gudang)</v>
      </c>
      <c r="D140" s="3"/>
      <c r="E140" s="16" t="s">
        <v>1222</v>
      </c>
      <c r="F140" s="15">
        <v>2307</v>
      </c>
      <c r="G140" s="16" t="str">
        <f t="shared" si="1"/>
        <v>2307 (Kab. Seluma)</v>
      </c>
      <c r="H140" s="3"/>
      <c r="I140" s="16" t="s">
        <v>1223</v>
      </c>
      <c r="J140" s="17" t="s">
        <v>135</v>
      </c>
      <c r="K140" s="16" t="str">
        <f t="shared" si="2"/>
        <v>200 (BANK TABUNGAN NEGARA (UUS))</v>
      </c>
      <c r="L140" s="3"/>
      <c r="M140" s="3"/>
      <c r="N140" s="3"/>
      <c r="O140" s="3"/>
      <c r="P140" s="3"/>
      <c r="Q140" s="3"/>
      <c r="R140" s="3"/>
      <c r="S140" s="3"/>
      <c r="T140" s="3"/>
      <c r="U140" s="3"/>
      <c r="V140" s="3"/>
      <c r="W140" s="3"/>
      <c r="X140" s="3"/>
      <c r="Y140" s="21" t="s">
        <v>1224</v>
      </c>
      <c r="Z140" s="22" t="s">
        <v>1225</v>
      </c>
      <c r="AA140" s="23" t="str">
        <f t="shared" si="19"/>
        <v>MX Mexico</v>
      </c>
    </row>
    <row r="141" spans="1:27" ht="12.75" customHeight="1" x14ac:dyDescent="0.35">
      <c r="A141" s="47" t="s">
        <v>1226</v>
      </c>
      <c r="B141" s="48" t="s">
        <v>1227</v>
      </c>
      <c r="C141" s="31" t="str">
        <f t="shared" si="18"/>
        <v>209 (Non Likuid : Resi gudang yang tidak sejalan dengan ketentuan peraturan perundang-undangan mengenai resi gudang)</v>
      </c>
      <c r="D141" s="3"/>
      <c r="E141" s="16" t="s">
        <v>1228</v>
      </c>
      <c r="F141" s="15">
        <v>2308</v>
      </c>
      <c r="G141" s="16" t="str">
        <f t="shared" si="1"/>
        <v>2308 (Kab. Kaur)</v>
      </c>
      <c r="H141" s="3"/>
      <c r="I141" s="16" t="s">
        <v>1229</v>
      </c>
      <c r="J141" s="17" t="s">
        <v>1230</v>
      </c>
      <c r="K141" s="16" t="str">
        <f t="shared" si="2"/>
        <v>451 (BANK SYARIAH MANDIRI)</v>
      </c>
      <c r="L141" s="3"/>
      <c r="M141" s="3"/>
      <c r="N141" s="3"/>
      <c r="O141" s="3"/>
      <c r="P141" s="3"/>
      <c r="Q141" s="3"/>
      <c r="R141" s="3"/>
      <c r="S141" s="3"/>
      <c r="T141" s="3"/>
      <c r="U141" s="3"/>
      <c r="V141" s="3"/>
      <c r="W141" s="3"/>
      <c r="X141" s="3"/>
      <c r="Y141" s="21" t="s">
        <v>1231</v>
      </c>
      <c r="Z141" s="22" t="s">
        <v>1232</v>
      </c>
      <c r="AA141" s="23" t="str">
        <f t="shared" si="19"/>
        <v>FM Micronesia (Federated States of)</v>
      </c>
    </row>
    <row r="142" spans="1:27" ht="12.75" customHeight="1" x14ac:dyDescent="0.35">
      <c r="A142" s="47" t="s">
        <v>1233</v>
      </c>
      <c r="B142" s="49" t="s">
        <v>1234</v>
      </c>
      <c r="C142" s="31" t="str">
        <f t="shared" si="18"/>
        <v>210 (Non Likuid : Tempat usaha yang disertai bukti kepemilikan atau surat izin pemakaian atau hak pakai atas tanah yang dikeluarkan oleh instansi berwenang dan disertai dengan surat kuasa menjual atau pengalihan hak yang dibuat atau disahkan oleh notaris atau dibuat oleh pejabat lain yang berwenang)</v>
      </c>
      <c r="D142" s="3"/>
      <c r="E142" s="16" t="s">
        <v>1235</v>
      </c>
      <c r="F142" s="15">
        <v>2391</v>
      </c>
      <c r="G142" s="16" t="str">
        <f t="shared" si="1"/>
        <v>2391 (Kota Bengkulu)</v>
      </c>
      <c r="H142" s="3"/>
      <c r="I142" s="16" t="s">
        <v>1236</v>
      </c>
      <c r="J142" s="17" t="s">
        <v>298</v>
      </c>
      <c r="K142" s="16" t="str">
        <f t="shared" si="2"/>
        <v>016 (BANK MAYBANK (UUS))</v>
      </c>
      <c r="L142" s="3"/>
      <c r="M142" s="3"/>
      <c r="N142" s="3"/>
      <c r="O142" s="3"/>
      <c r="P142" s="3"/>
      <c r="Q142" s="3"/>
      <c r="R142" s="3"/>
      <c r="S142" s="3"/>
      <c r="T142" s="3"/>
      <c r="U142" s="3"/>
      <c r="V142" s="3"/>
      <c r="W142" s="3"/>
      <c r="X142" s="3"/>
      <c r="Y142" s="21" t="s">
        <v>1237</v>
      </c>
      <c r="Z142" s="22" t="s">
        <v>1238</v>
      </c>
      <c r="AA142" s="23" t="str">
        <f t="shared" si="19"/>
        <v>MD Moldova (the Republic of)</v>
      </c>
    </row>
    <row r="143" spans="1:27" ht="12.75" customHeight="1" x14ac:dyDescent="0.35">
      <c r="A143" s="47" t="s">
        <v>1239</v>
      </c>
      <c r="B143" s="48" t="s">
        <v>1240</v>
      </c>
      <c r="C143" s="31" t="str">
        <f t="shared" si="18"/>
        <v>211 (Non Likuid : Tempat usaha yang disertai bukti kepemilikan atau surat izin pemakaian atau hak pakai atas tanah yang dikeluarkan oleh instansi berwenang dan tanpa disertai dengan surat kuasa menjual atau pengalihan hak yang dibuat atau disahkan oleh notaris atau dibuat oleh pejabat lain yang berwenang)</v>
      </c>
      <c r="D143" s="3"/>
      <c r="E143" s="16" t="s">
        <v>381</v>
      </c>
      <c r="F143" s="15">
        <v>2388</v>
      </c>
      <c r="G143" s="16" t="str">
        <f t="shared" si="1"/>
        <v>2388 (Kab./Kota Lainnya)</v>
      </c>
      <c r="H143" s="3"/>
      <c r="I143" s="16" t="s">
        <v>1241</v>
      </c>
      <c r="J143" s="17" t="s">
        <v>1242</v>
      </c>
      <c r="K143" s="16" t="str">
        <f t="shared" si="2"/>
        <v>144 (BANK ANDROMEDA)</v>
      </c>
      <c r="L143" s="3"/>
      <c r="M143" s="3"/>
      <c r="N143" s="3"/>
      <c r="O143" s="3"/>
      <c r="P143" s="3"/>
      <c r="Q143" s="3"/>
      <c r="R143" s="3"/>
      <c r="S143" s="3"/>
      <c r="T143" s="3"/>
      <c r="U143" s="3"/>
      <c r="V143" s="3"/>
      <c r="W143" s="3"/>
      <c r="X143" s="3"/>
      <c r="Y143" s="21" t="s">
        <v>1243</v>
      </c>
      <c r="Z143" s="22" t="s">
        <v>1244</v>
      </c>
      <c r="AA143" s="23" t="str">
        <f t="shared" si="19"/>
        <v>MC Monaco</v>
      </c>
    </row>
    <row r="144" spans="1:27" ht="12.75" customHeight="1" x14ac:dyDescent="0.35">
      <c r="A144" s="47" t="s">
        <v>1245</v>
      </c>
      <c r="B144" s="48" t="s">
        <v>1000</v>
      </c>
      <c r="C144" s="31" t="str">
        <f t="shared" si="18"/>
        <v>212 (Non Likuid : Kendaraan bermotor/kapal/perahu bermotor/alat berat/mesin yang menjadi kesatuan dengan tanah disertai dengan bukti kepemilikan dan diikat dengan hipotek/fidusia )</v>
      </c>
      <c r="D144" s="3"/>
      <c r="E144" s="14" t="s">
        <v>1246</v>
      </c>
      <c r="F144" s="15"/>
      <c r="G144" s="16" t="str">
        <f t="shared" si="1"/>
        <v>---- (Provinsi Jambi)</v>
      </c>
      <c r="H144" s="3"/>
      <c r="I144" s="16" t="s">
        <v>1247</v>
      </c>
      <c r="J144" s="17" t="s">
        <v>1248</v>
      </c>
      <c r="K144" s="16" t="str">
        <f t="shared" si="2"/>
        <v>310 (BANK ANRICO)</v>
      </c>
      <c r="L144" s="3"/>
      <c r="M144" s="3"/>
      <c r="N144" s="3"/>
      <c r="O144" s="3"/>
      <c r="P144" s="3"/>
      <c r="Q144" s="3"/>
      <c r="R144" s="3"/>
      <c r="S144" s="3"/>
      <c r="T144" s="3"/>
      <c r="U144" s="3"/>
      <c r="V144" s="3"/>
      <c r="W144" s="3"/>
      <c r="X144" s="3"/>
      <c r="Y144" s="21" t="s">
        <v>1249</v>
      </c>
      <c r="Z144" s="22" t="s">
        <v>1250</v>
      </c>
      <c r="AA144" s="23" t="str">
        <f t="shared" si="19"/>
        <v>MN Mongolia</v>
      </c>
    </row>
    <row r="145" spans="1:27" ht="12.75" customHeight="1" x14ac:dyDescent="0.35">
      <c r="A145" s="47" t="s">
        <v>1251</v>
      </c>
      <c r="B145" s="48" t="s">
        <v>149</v>
      </c>
      <c r="C145" s="31" t="str">
        <f t="shared" si="18"/>
        <v>213 (Non Likuid : Kendaraan bermotor/kapal/perahu bermotor/alat berat/mesin yang menjadi kesatuan dengan tanah  disertai dengan bukti kepemilikan tanpa diikat dengan hipotek/fidusia )</v>
      </c>
      <c r="D145" s="3"/>
      <c r="E145" s="16" t="s">
        <v>1252</v>
      </c>
      <c r="F145" s="15">
        <v>3101</v>
      </c>
      <c r="G145" s="16" t="str">
        <f t="shared" si="1"/>
        <v>3101 (Kab. Batanghari)</v>
      </c>
      <c r="H145" s="3"/>
      <c r="I145" s="16" t="s">
        <v>1253</v>
      </c>
      <c r="J145" s="17" t="s">
        <v>1254</v>
      </c>
      <c r="K145" s="16" t="str">
        <f t="shared" si="2"/>
        <v>538 (BANK ASTRIA RAYA)</v>
      </c>
      <c r="L145" s="3"/>
      <c r="M145" s="3"/>
      <c r="N145" s="3"/>
      <c r="O145" s="3"/>
      <c r="P145" s="3"/>
      <c r="Q145" s="3"/>
      <c r="R145" s="3"/>
      <c r="S145" s="3"/>
      <c r="T145" s="3"/>
      <c r="U145" s="3"/>
      <c r="V145" s="3"/>
      <c r="W145" s="3"/>
      <c r="X145" s="3"/>
      <c r="Y145" s="21" t="s">
        <v>1255</v>
      </c>
      <c r="Z145" s="22" t="s">
        <v>1256</v>
      </c>
      <c r="AA145" s="23" t="str">
        <f t="shared" si="19"/>
        <v>MS Montserrat</v>
      </c>
    </row>
    <row r="146" spans="1:27" ht="12.75" customHeight="1" x14ac:dyDescent="0.35">
      <c r="A146" s="47" t="s">
        <v>1257</v>
      </c>
      <c r="B146" s="48" t="s">
        <v>1258</v>
      </c>
      <c r="C146" s="31" t="str">
        <f t="shared" si="18"/>
        <v>214 (Non Likuid : Bagian dana yang dijamin oleh BUMN/BUMD)</v>
      </c>
      <c r="D146" s="3"/>
      <c r="E146" s="16" t="s">
        <v>1259</v>
      </c>
      <c r="F146" s="15">
        <v>3104</v>
      </c>
      <c r="G146" s="16" t="str">
        <f t="shared" si="1"/>
        <v>3104 (Kab. Sarolangun)</v>
      </c>
      <c r="H146" s="3"/>
      <c r="I146" s="16" t="s">
        <v>1260</v>
      </c>
      <c r="J146" s="17" t="s">
        <v>1261</v>
      </c>
      <c r="K146" s="16" t="str">
        <f t="shared" si="2"/>
        <v>563 (BANK CITRAHASTA DHANAMANUNGGAL)</v>
      </c>
      <c r="L146" s="3"/>
      <c r="M146" s="3"/>
      <c r="N146" s="3"/>
      <c r="O146" s="3"/>
      <c r="P146" s="3"/>
      <c r="Q146" s="3"/>
      <c r="R146" s="3"/>
      <c r="S146" s="3"/>
      <c r="T146" s="3"/>
      <c r="U146" s="3"/>
      <c r="V146" s="3"/>
      <c r="W146" s="3"/>
      <c r="X146" s="3"/>
      <c r="Y146" s="21" t="s">
        <v>1262</v>
      </c>
      <c r="Z146" s="22" t="s">
        <v>1263</v>
      </c>
      <c r="AA146" s="23" t="str">
        <f t="shared" si="19"/>
        <v>MA Morocco</v>
      </c>
    </row>
    <row r="147" spans="1:27" ht="12.75" customHeight="1" x14ac:dyDescent="0.35">
      <c r="A147" s="47" t="s">
        <v>1264</v>
      </c>
      <c r="B147" s="48">
        <v>299</v>
      </c>
      <c r="C147" s="31" t="str">
        <f t="shared" si="18"/>
        <v>299 (Non Likuid : Lainnya)</v>
      </c>
      <c r="D147" s="3"/>
      <c r="E147" s="16" t="s">
        <v>1265</v>
      </c>
      <c r="F147" s="15">
        <v>3105</v>
      </c>
      <c r="G147" s="16" t="str">
        <f t="shared" si="1"/>
        <v>3105 (Kab. Kerinci)</v>
      </c>
      <c r="H147" s="3"/>
      <c r="I147" s="16" t="s">
        <v>1266</v>
      </c>
      <c r="J147" s="17" t="s">
        <v>1267</v>
      </c>
      <c r="K147" s="16" t="str">
        <f t="shared" si="2"/>
        <v>519 (BANK DWIPA SEMESTA)</v>
      </c>
      <c r="L147" s="3"/>
      <c r="M147" s="3"/>
      <c r="N147" s="3"/>
      <c r="O147" s="3"/>
      <c r="P147" s="3"/>
      <c r="Q147" s="3"/>
      <c r="R147" s="3"/>
      <c r="S147" s="3"/>
      <c r="T147" s="3"/>
      <c r="U147" s="3"/>
      <c r="V147" s="3"/>
      <c r="W147" s="3"/>
      <c r="X147" s="3"/>
      <c r="Y147" s="21" t="s">
        <v>1268</v>
      </c>
      <c r="Z147" s="22" t="s">
        <v>1269</v>
      </c>
      <c r="AA147" s="23" t="str">
        <f t="shared" si="19"/>
        <v>MZ Mozambique</v>
      </c>
    </row>
    <row r="148" spans="1:27" ht="12.75" customHeight="1" x14ac:dyDescent="0.35">
      <c r="A148" s="50" t="s">
        <v>1270</v>
      </c>
      <c r="B148" s="51">
        <v>215</v>
      </c>
      <c r="C148" s="50" t="str">
        <f t="shared" si="18"/>
        <v>215 (Non Likuid: Agunan lainnya yang dinilai 1 tahun terakhir oleh penilai independen)</v>
      </c>
      <c r="D148" s="3"/>
      <c r="E148" s="16" t="s">
        <v>1271</v>
      </c>
      <c r="F148" s="15">
        <v>3106</v>
      </c>
      <c r="G148" s="16" t="str">
        <f t="shared" si="1"/>
        <v>3106 (Kab. Muaro Jambi)</v>
      </c>
      <c r="H148" s="3"/>
      <c r="I148" s="16" t="s">
        <v>1272</v>
      </c>
      <c r="J148" s="17" t="s">
        <v>1273</v>
      </c>
      <c r="K148" s="16" t="str">
        <f t="shared" si="2"/>
        <v>155 (BANK GUNA INTERNASIONAL)</v>
      </c>
      <c r="L148" s="3"/>
      <c r="M148" s="3"/>
      <c r="N148" s="3"/>
      <c r="O148" s="3"/>
      <c r="P148" s="3"/>
      <c r="Q148" s="3"/>
      <c r="R148" s="3"/>
      <c r="S148" s="3"/>
      <c r="T148" s="3"/>
      <c r="U148" s="3"/>
      <c r="V148" s="3"/>
      <c r="W148" s="3"/>
      <c r="X148" s="3"/>
      <c r="Y148" s="21" t="s">
        <v>1274</v>
      </c>
      <c r="Z148" s="22" t="s">
        <v>1275</v>
      </c>
      <c r="AA148" s="23" t="str">
        <f t="shared" si="19"/>
        <v>MM Myanmar</v>
      </c>
    </row>
    <row r="149" spans="1:27" ht="12.75" customHeight="1" x14ac:dyDescent="0.35">
      <c r="A149" s="3" t="s">
        <v>1276</v>
      </c>
      <c r="B149" s="2"/>
      <c r="C149" s="3"/>
      <c r="D149" s="3"/>
      <c r="E149" s="16" t="s">
        <v>1277</v>
      </c>
      <c r="F149" s="15">
        <v>3107</v>
      </c>
      <c r="G149" s="16" t="str">
        <f t="shared" si="1"/>
        <v>3107 (Kab. Tanjung Jabung Barat)</v>
      </c>
      <c r="H149" s="3"/>
      <c r="I149" s="16" t="s">
        <v>1278</v>
      </c>
      <c r="J149" s="17" t="s">
        <v>1279</v>
      </c>
      <c r="K149" s="16" t="str">
        <f t="shared" si="2"/>
        <v>096 (BANK HARAPAN SENTOSA)</v>
      </c>
      <c r="L149" s="3"/>
      <c r="M149" s="3"/>
      <c r="N149" s="3"/>
      <c r="O149" s="3"/>
      <c r="P149" s="3"/>
      <c r="Q149" s="3"/>
      <c r="R149" s="3"/>
      <c r="S149" s="3"/>
      <c r="T149" s="3"/>
      <c r="U149" s="3"/>
      <c r="V149" s="3"/>
      <c r="W149" s="3"/>
      <c r="X149" s="3"/>
      <c r="Y149" s="21" t="s">
        <v>1280</v>
      </c>
      <c r="Z149" s="22" t="s">
        <v>1281</v>
      </c>
      <c r="AA149" s="23" t="str">
        <f t="shared" si="19"/>
        <v>NA Namibia</v>
      </c>
    </row>
    <row r="150" spans="1:27" ht="12.75" customHeight="1" x14ac:dyDescent="0.35">
      <c r="A150" s="9" t="s">
        <v>1282</v>
      </c>
      <c r="B150" s="9" t="s">
        <v>2</v>
      </c>
      <c r="C150" s="10" t="s">
        <v>3</v>
      </c>
      <c r="D150" s="3"/>
      <c r="E150" s="16" t="s">
        <v>1283</v>
      </c>
      <c r="F150" s="15">
        <v>3108</v>
      </c>
      <c r="G150" s="16" t="str">
        <f t="shared" si="1"/>
        <v>3108 (Kab. Tanjung Jabung Timur)</v>
      </c>
      <c r="H150" s="3"/>
      <c r="I150" s="16" t="s">
        <v>1284</v>
      </c>
      <c r="J150" s="17" t="s">
        <v>1285</v>
      </c>
      <c r="K150" s="16" t="str">
        <f t="shared" si="2"/>
        <v>160 (BANK INDUSTRI)</v>
      </c>
      <c r="L150" s="3"/>
      <c r="M150" s="3"/>
      <c r="N150" s="3"/>
      <c r="O150" s="3"/>
      <c r="P150" s="3"/>
      <c r="Q150" s="3"/>
      <c r="R150" s="3"/>
      <c r="S150" s="3"/>
      <c r="T150" s="3"/>
      <c r="U150" s="3"/>
      <c r="V150" s="3"/>
      <c r="W150" s="3"/>
      <c r="X150" s="3"/>
      <c r="Y150" s="21" t="s">
        <v>1286</v>
      </c>
      <c r="Z150" s="22" t="s">
        <v>1287</v>
      </c>
      <c r="AA150" s="23" t="str">
        <f t="shared" si="19"/>
        <v>NR Nauru</v>
      </c>
    </row>
    <row r="151" spans="1:27" ht="12.75" customHeight="1" x14ac:dyDescent="0.35">
      <c r="A151" s="16" t="s">
        <v>1288</v>
      </c>
      <c r="B151" s="15" t="s">
        <v>1289</v>
      </c>
      <c r="C151" s="31" t="str">
        <f t="shared" ref="C151:C331" si="20">CONCATENATE(B151," (",A151,")")</f>
        <v>AFN (Afghanistan Afghani)</v>
      </c>
      <c r="D151" s="3"/>
      <c r="E151" s="16" t="s">
        <v>1290</v>
      </c>
      <c r="F151" s="15">
        <v>3109</v>
      </c>
      <c r="G151" s="16" t="str">
        <f t="shared" si="1"/>
        <v>3109 (Kab. Tebo)</v>
      </c>
      <c r="H151" s="3"/>
      <c r="I151" s="16" t="s">
        <v>1291</v>
      </c>
      <c r="J151" s="17" t="s">
        <v>1292</v>
      </c>
      <c r="K151" s="16" t="str">
        <f t="shared" si="2"/>
        <v>332 (BANK JAKARTA)</v>
      </c>
      <c r="L151" s="3"/>
      <c r="M151" s="3"/>
      <c r="N151" s="3"/>
      <c r="O151" s="3"/>
      <c r="P151" s="3"/>
      <c r="Q151" s="3"/>
      <c r="R151" s="3"/>
      <c r="S151" s="3"/>
      <c r="T151" s="3"/>
      <c r="U151" s="3"/>
      <c r="V151" s="3"/>
      <c r="W151" s="3"/>
      <c r="X151" s="3"/>
      <c r="Y151" s="21" t="s">
        <v>398</v>
      </c>
      <c r="Z151" s="22" t="s">
        <v>1293</v>
      </c>
      <c r="AA151" s="23" t="str">
        <f t="shared" si="19"/>
        <v>NP Nepal</v>
      </c>
    </row>
    <row r="152" spans="1:27" ht="12.75" customHeight="1" x14ac:dyDescent="0.35">
      <c r="A152" s="16" t="s">
        <v>1294</v>
      </c>
      <c r="B152" s="15" t="s">
        <v>1295</v>
      </c>
      <c r="C152" s="31" t="str">
        <f t="shared" si="20"/>
        <v>ALL (Albanian Lek)</v>
      </c>
      <c r="D152" s="3"/>
      <c r="E152" s="16" t="s">
        <v>1296</v>
      </c>
      <c r="F152" s="15">
        <v>3111</v>
      </c>
      <c r="G152" s="16" t="str">
        <f t="shared" si="1"/>
        <v>3111 (Kab. Merangin)</v>
      </c>
      <c r="H152" s="3"/>
      <c r="I152" s="16" t="s">
        <v>1297</v>
      </c>
      <c r="J152" s="17" t="s">
        <v>1298</v>
      </c>
      <c r="K152" s="16" t="str">
        <f t="shared" si="2"/>
        <v>534 (BANK KOSAGRAHA SEMESTA)</v>
      </c>
      <c r="L152" s="3"/>
      <c r="M152" s="3"/>
      <c r="N152" s="3"/>
      <c r="O152" s="3"/>
      <c r="P152" s="3"/>
      <c r="Q152" s="3"/>
      <c r="R152" s="3"/>
      <c r="S152" s="3"/>
      <c r="T152" s="3"/>
      <c r="U152" s="3"/>
      <c r="V152" s="3"/>
      <c r="W152" s="3"/>
      <c r="X152" s="3"/>
      <c r="Y152" s="21" t="s">
        <v>1299</v>
      </c>
      <c r="Z152" s="22" t="s">
        <v>1300</v>
      </c>
      <c r="AA152" s="23" t="str">
        <f t="shared" si="19"/>
        <v>NL Netherlands (the)</v>
      </c>
    </row>
    <row r="153" spans="1:27" ht="12.75" customHeight="1" x14ac:dyDescent="0.35">
      <c r="A153" s="16" t="s">
        <v>1301</v>
      </c>
      <c r="B153" s="15" t="s">
        <v>1302</v>
      </c>
      <c r="C153" s="31" t="str">
        <f t="shared" si="20"/>
        <v>DZD (Algerian Dinar)</v>
      </c>
      <c r="D153" s="3"/>
      <c r="E153" s="16" t="s">
        <v>1303</v>
      </c>
      <c r="F153" s="15">
        <v>3112</v>
      </c>
      <c r="G153" s="16" t="str">
        <f t="shared" si="1"/>
        <v>3112 (Kab. Bungo)</v>
      </c>
      <c r="H153" s="3"/>
      <c r="I153" s="16" t="s">
        <v>1304</v>
      </c>
      <c r="J153" s="17" t="s">
        <v>1305</v>
      </c>
      <c r="K153" s="16" t="str">
        <f t="shared" si="2"/>
        <v>545 (BANK MATARAM DHANARTA)</v>
      </c>
      <c r="L153" s="3"/>
      <c r="M153" s="3"/>
      <c r="N153" s="3"/>
      <c r="O153" s="3"/>
      <c r="P153" s="3"/>
      <c r="Q153" s="3"/>
      <c r="R153" s="3"/>
      <c r="S153" s="3"/>
      <c r="T153" s="3"/>
      <c r="U153" s="3"/>
      <c r="V153" s="3"/>
      <c r="W153" s="3"/>
      <c r="X153" s="3"/>
      <c r="Y153" s="21" t="s">
        <v>1306</v>
      </c>
      <c r="Z153" s="22" t="s">
        <v>1307</v>
      </c>
      <c r="AA153" s="23" t="str">
        <f t="shared" si="19"/>
        <v>NC New Caledonia</v>
      </c>
    </row>
    <row r="154" spans="1:27" ht="12.75" customHeight="1" x14ac:dyDescent="0.35">
      <c r="A154" s="16" t="s">
        <v>1308</v>
      </c>
      <c r="B154" s="15" t="s">
        <v>1309</v>
      </c>
      <c r="C154" s="31" t="str">
        <f t="shared" si="20"/>
        <v>USD (US Dollar)</v>
      </c>
      <c r="D154" s="3"/>
      <c r="E154" s="16" t="s">
        <v>1310</v>
      </c>
      <c r="F154" s="15">
        <v>3191</v>
      </c>
      <c r="G154" s="16" t="str">
        <f t="shared" si="1"/>
        <v>3191 (Kota Jambi)</v>
      </c>
      <c r="H154" s="3"/>
      <c r="I154" s="16" t="s">
        <v>1311</v>
      </c>
      <c r="J154" s="17" t="s">
        <v>1312</v>
      </c>
      <c r="K154" s="16" t="str">
        <f t="shared" si="2"/>
        <v>413 (BANK UMUM MAJAPAHIT JAYA)</v>
      </c>
      <c r="L154" s="3"/>
      <c r="M154" s="3"/>
      <c r="N154" s="3"/>
      <c r="O154" s="3"/>
      <c r="P154" s="3"/>
      <c r="Q154" s="3"/>
      <c r="R154" s="3"/>
      <c r="S154" s="3"/>
      <c r="T154" s="3"/>
      <c r="U154" s="3"/>
      <c r="V154" s="3"/>
      <c r="W154" s="3"/>
      <c r="X154" s="3"/>
      <c r="Y154" s="21" t="s">
        <v>1313</v>
      </c>
      <c r="Z154" s="22" t="s">
        <v>1314</v>
      </c>
      <c r="AA154" s="23" t="str">
        <f t="shared" si="19"/>
        <v>NZ New Zealand</v>
      </c>
    </row>
    <row r="155" spans="1:27" ht="12.75" customHeight="1" x14ac:dyDescent="0.35">
      <c r="A155" s="16" t="s">
        <v>1315</v>
      </c>
      <c r="B155" s="15" t="s">
        <v>1316</v>
      </c>
      <c r="C155" s="31" t="str">
        <f t="shared" si="20"/>
        <v>ADP (Andorran Peseta)</v>
      </c>
      <c r="D155" s="3"/>
      <c r="E155" s="16" t="s">
        <v>1317</v>
      </c>
      <c r="F155" s="15">
        <v>3192</v>
      </c>
      <c r="G155" s="16" t="str">
        <f t="shared" si="1"/>
        <v>3192 (Kota Sungai Penuh)</v>
      </c>
      <c r="H155" s="3"/>
      <c r="I155" s="16" t="s">
        <v>1318</v>
      </c>
      <c r="J155" s="17" t="s">
        <v>1319</v>
      </c>
      <c r="K155" s="16" t="str">
        <f t="shared" si="2"/>
        <v>071 (SEJAHTERA BANK UMUM)</v>
      </c>
      <c r="L155" s="3"/>
      <c r="M155" s="3"/>
      <c r="N155" s="3"/>
      <c r="O155" s="3"/>
      <c r="P155" s="3"/>
      <c r="Q155" s="3"/>
      <c r="R155" s="3"/>
      <c r="S155" s="3"/>
      <c r="T155" s="3"/>
      <c r="U155" s="3"/>
      <c r="V155" s="3"/>
      <c r="W155" s="3"/>
      <c r="X155" s="3"/>
      <c r="Y155" s="21" t="s">
        <v>1320</v>
      </c>
      <c r="Z155" s="22" t="s">
        <v>1321</v>
      </c>
      <c r="AA155" s="23" t="str">
        <f t="shared" si="19"/>
        <v>NI Nicaragua</v>
      </c>
    </row>
    <row r="156" spans="1:27" ht="12.75" customHeight="1" x14ac:dyDescent="0.35">
      <c r="A156" s="16" t="s">
        <v>1322</v>
      </c>
      <c r="B156" s="15" t="s">
        <v>1323</v>
      </c>
      <c r="C156" s="31" t="str">
        <f t="shared" si="20"/>
        <v>FRF (French Franc)</v>
      </c>
      <c r="D156" s="3"/>
      <c r="E156" s="16" t="s">
        <v>381</v>
      </c>
      <c r="F156" s="15">
        <v>3188</v>
      </c>
      <c r="G156" s="16" t="str">
        <f t="shared" si="1"/>
        <v>3188 (Kab./Kota Lainnya)</v>
      </c>
      <c r="H156" s="3"/>
      <c r="I156" s="16" t="s">
        <v>1324</v>
      </c>
      <c r="J156" s="17" t="s">
        <v>1325</v>
      </c>
      <c r="K156" s="16" t="str">
        <f t="shared" si="2"/>
        <v>399 (SOUTH EAST ASIA BANK)</v>
      </c>
      <c r="L156" s="3"/>
      <c r="M156" s="3"/>
      <c r="N156" s="3"/>
      <c r="O156" s="3"/>
      <c r="P156" s="3"/>
      <c r="Q156" s="3"/>
      <c r="R156" s="3"/>
      <c r="S156" s="3"/>
      <c r="T156" s="3"/>
      <c r="U156" s="3"/>
      <c r="V156" s="3"/>
      <c r="W156" s="3"/>
      <c r="X156" s="3"/>
      <c r="Y156" s="21" t="s">
        <v>1326</v>
      </c>
      <c r="Z156" s="22" t="s">
        <v>1327</v>
      </c>
      <c r="AA156" s="23" t="str">
        <f t="shared" si="19"/>
        <v>NU Niue</v>
      </c>
    </row>
    <row r="157" spans="1:27" ht="12.75" customHeight="1" x14ac:dyDescent="0.35">
      <c r="A157" s="16" t="s">
        <v>1328</v>
      </c>
      <c r="B157" s="15" t="s">
        <v>1329</v>
      </c>
      <c r="C157" s="31" t="str">
        <f t="shared" si="20"/>
        <v>ESO (Spanish Peseta)</v>
      </c>
      <c r="D157" s="3"/>
      <c r="E157" s="14" t="s">
        <v>1330</v>
      </c>
      <c r="F157" s="15"/>
      <c r="G157" s="16" t="str">
        <f t="shared" si="1"/>
        <v>---- (Provinsi Nanggroe Aceh Darussalam)</v>
      </c>
      <c r="H157" s="3"/>
      <c r="I157" s="16" t="s">
        <v>1331</v>
      </c>
      <c r="J157" s="17" t="s">
        <v>1332</v>
      </c>
      <c r="K157" s="16" t="str">
        <f t="shared" si="2"/>
        <v>012 (BANK DAGANG NASIONAL INDONESIA)</v>
      </c>
      <c r="L157" s="3"/>
      <c r="M157" s="3"/>
      <c r="N157" s="3"/>
      <c r="O157" s="3"/>
      <c r="P157" s="3"/>
      <c r="Q157" s="3"/>
      <c r="R157" s="3"/>
      <c r="S157" s="3"/>
      <c r="T157" s="3"/>
      <c r="U157" s="3"/>
      <c r="V157" s="3"/>
      <c r="W157" s="3"/>
      <c r="X157" s="3"/>
      <c r="Y157" s="21" t="s">
        <v>1333</v>
      </c>
      <c r="Z157" s="22" t="s">
        <v>1334</v>
      </c>
      <c r="AA157" s="23" t="str">
        <f t="shared" si="19"/>
        <v>NE Niger (the)</v>
      </c>
    </row>
    <row r="158" spans="1:27" ht="12.75" customHeight="1" x14ac:dyDescent="0.35">
      <c r="A158" s="16" t="s">
        <v>1335</v>
      </c>
      <c r="B158" s="15" t="s">
        <v>1336</v>
      </c>
      <c r="C158" s="31" t="str">
        <f t="shared" si="20"/>
        <v>AOA (Angokan Kwanza)</v>
      </c>
      <c r="D158" s="3"/>
      <c r="E158" s="16" t="s">
        <v>1337</v>
      </c>
      <c r="F158" s="15">
        <v>3201</v>
      </c>
      <c r="G158" s="16" t="str">
        <f t="shared" si="1"/>
        <v>3201 (Kab. Aceh Besar)</v>
      </c>
      <c r="H158" s="3"/>
      <c r="I158" s="16" t="s">
        <v>1338</v>
      </c>
      <c r="J158" s="17" t="s">
        <v>1339</v>
      </c>
      <c r="K158" s="16" t="str">
        <f t="shared" si="2"/>
        <v>528 (BANK DEKA)</v>
      </c>
      <c r="L158" s="3"/>
      <c r="M158" s="3"/>
      <c r="N158" s="3"/>
      <c r="O158" s="3"/>
      <c r="P158" s="3"/>
      <c r="Q158" s="3"/>
      <c r="R158" s="3"/>
      <c r="S158" s="3"/>
      <c r="T158" s="3"/>
      <c r="U158" s="3"/>
      <c r="V158" s="3"/>
      <c r="W158" s="3"/>
      <c r="X158" s="3"/>
      <c r="Y158" s="21" t="s">
        <v>1340</v>
      </c>
      <c r="Z158" s="22" t="s">
        <v>1341</v>
      </c>
      <c r="AA158" s="23" t="str">
        <f t="shared" si="19"/>
        <v>NG Nigeria</v>
      </c>
    </row>
    <row r="159" spans="1:27" ht="12.75" customHeight="1" x14ac:dyDescent="0.35">
      <c r="A159" s="16" t="s">
        <v>1342</v>
      </c>
      <c r="B159" s="15" t="s">
        <v>1343</v>
      </c>
      <c r="C159" s="31" t="str">
        <f t="shared" si="20"/>
        <v>XCD (East Caribbean Dollar)</v>
      </c>
      <c r="D159" s="3"/>
      <c r="E159" s="16" t="s">
        <v>1344</v>
      </c>
      <c r="F159" s="15">
        <v>3202</v>
      </c>
      <c r="G159" s="16" t="str">
        <f t="shared" si="1"/>
        <v>3202 (Kab. Pidie)</v>
      </c>
      <c r="H159" s="3"/>
      <c r="I159" s="16" t="s">
        <v>1345</v>
      </c>
      <c r="J159" s="17" t="s">
        <v>1346</v>
      </c>
      <c r="K159" s="16" t="str">
        <f t="shared" si="2"/>
        <v>505 (BANK HOKINDO)</v>
      </c>
      <c r="L159" s="3"/>
      <c r="M159" s="3"/>
      <c r="N159" s="3"/>
      <c r="O159" s="3"/>
      <c r="P159" s="3"/>
      <c r="Q159" s="3"/>
      <c r="R159" s="3"/>
      <c r="S159" s="3"/>
      <c r="T159" s="3"/>
      <c r="U159" s="3"/>
      <c r="V159" s="3"/>
      <c r="W159" s="3"/>
      <c r="X159" s="3"/>
      <c r="Y159" s="21" t="s">
        <v>1347</v>
      </c>
      <c r="Z159" s="22" t="s">
        <v>1348</v>
      </c>
      <c r="AA159" s="23" t="str">
        <f t="shared" si="19"/>
        <v>NF Norfolk Island</v>
      </c>
    </row>
    <row r="160" spans="1:27" ht="12.75" customHeight="1" x14ac:dyDescent="0.35">
      <c r="A160" s="16" t="s">
        <v>1349</v>
      </c>
      <c r="B160" s="15" t="s">
        <v>1350</v>
      </c>
      <c r="C160" s="31" t="str">
        <f t="shared" si="20"/>
        <v>NOK (Norwegian Krone)</v>
      </c>
      <c r="D160" s="3"/>
      <c r="E160" s="16" t="s">
        <v>1351</v>
      </c>
      <c r="F160" s="15">
        <v>3203</v>
      </c>
      <c r="G160" s="16" t="str">
        <f t="shared" si="1"/>
        <v>3203 (Kab. Aceh Utara)</v>
      </c>
      <c r="H160" s="3"/>
      <c r="I160" s="16" t="s">
        <v>1352</v>
      </c>
      <c r="J160" s="17" t="s">
        <v>1353</v>
      </c>
      <c r="K160" s="16" t="str">
        <f t="shared" si="2"/>
        <v>522 (BANK KREDIT ASIA (ISTIMARAT))</v>
      </c>
      <c r="L160" s="3"/>
      <c r="M160" s="3"/>
      <c r="N160" s="3"/>
      <c r="O160" s="3"/>
      <c r="P160" s="3"/>
      <c r="Q160" s="3"/>
      <c r="R160" s="3"/>
      <c r="S160" s="3"/>
      <c r="T160" s="3"/>
      <c r="U160" s="3"/>
      <c r="V160" s="3"/>
      <c r="W160" s="3"/>
      <c r="X160" s="3"/>
      <c r="Y160" s="21" t="s">
        <v>1354</v>
      </c>
      <c r="Z160" s="22" t="s">
        <v>1355</v>
      </c>
      <c r="AA160" s="23" t="str">
        <f t="shared" si="19"/>
        <v>MP Northern Mariana Islands (the)</v>
      </c>
    </row>
    <row r="161" spans="1:27" ht="12.75" customHeight="1" x14ac:dyDescent="0.35">
      <c r="A161" s="16" t="s">
        <v>1356</v>
      </c>
      <c r="B161" s="15" t="s">
        <v>1357</v>
      </c>
      <c r="C161" s="31" t="str">
        <f t="shared" si="20"/>
        <v>ARS (Argentine Peso)</v>
      </c>
      <c r="D161" s="3"/>
      <c r="E161" s="16" t="s">
        <v>1358</v>
      </c>
      <c r="F161" s="15">
        <v>3204</v>
      </c>
      <c r="G161" s="16" t="str">
        <f t="shared" si="1"/>
        <v>3204 (Kab. Aceh Timur)</v>
      </c>
      <c r="H161" s="3"/>
      <c r="I161" s="16" t="s">
        <v>1359</v>
      </c>
      <c r="J161" s="17" t="s">
        <v>1360</v>
      </c>
      <c r="K161" s="16" t="str">
        <f t="shared" si="2"/>
        <v>010 (BANK UMUM NASIONAL (BUN))</v>
      </c>
      <c r="L161" s="3"/>
      <c r="M161" s="3"/>
      <c r="N161" s="3"/>
      <c r="O161" s="3"/>
      <c r="P161" s="3"/>
      <c r="Q161" s="3"/>
      <c r="R161" s="3"/>
      <c r="S161" s="3"/>
      <c r="T161" s="3"/>
      <c r="U161" s="3"/>
      <c r="V161" s="3"/>
      <c r="W161" s="3"/>
      <c r="X161" s="3"/>
      <c r="Y161" s="21" t="s">
        <v>1361</v>
      </c>
      <c r="Z161" s="22" t="s">
        <v>1362</v>
      </c>
      <c r="AA161" s="23" t="str">
        <f t="shared" si="19"/>
        <v>NO Norway</v>
      </c>
    </row>
    <row r="162" spans="1:27" ht="12.75" customHeight="1" x14ac:dyDescent="0.35">
      <c r="A162" s="16" t="s">
        <v>1363</v>
      </c>
      <c r="B162" s="15" t="s">
        <v>1364</v>
      </c>
      <c r="C162" s="31" t="str">
        <f t="shared" si="20"/>
        <v>AMD (Armenia Dram)</v>
      </c>
      <c r="D162" s="3"/>
      <c r="E162" s="16" t="s">
        <v>1365</v>
      </c>
      <c r="F162" s="15">
        <v>3205</v>
      </c>
      <c r="G162" s="16" t="str">
        <f t="shared" si="1"/>
        <v>3205 (Kab. Aceh Selatan)</v>
      </c>
      <c r="H162" s="3"/>
      <c r="I162" s="16" t="s">
        <v>1366</v>
      </c>
      <c r="J162" s="17" t="s">
        <v>1367</v>
      </c>
      <c r="K162" s="16" t="str">
        <f t="shared" si="2"/>
        <v>082 (BANK SUBENTRA)</v>
      </c>
      <c r="L162" s="3"/>
      <c r="M162" s="3"/>
      <c r="N162" s="3"/>
      <c r="O162" s="3"/>
      <c r="P162" s="3"/>
      <c r="Q162" s="3"/>
      <c r="R162" s="3"/>
      <c r="S162" s="3"/>
      <c r="T162" s="3"/>
      <c r="U162" s="3"/>
      <c r="V162" s="3"/>
      <c r="W162" s="3"/>
      <c r="X162" s="3"/>
      <c r="Y162" s="21" t="s">
        <v>1368</v>
      </c>
      <c r="Z162" s="22" t="s">
        <v>1369</v>
      </c>
      <c r="AA162" s="23" t="str">
        <f t="shared" si="19"/>
        <v>OM Oman</v>
      </c>
    </row>
    <row r="163" spans="1:27" ht="12.75" customHeight="1" x14ac:dyDescent="0.35">
      <c r="A163" s="16" t="s">
        <v>1370</v>
      </c>
      <c r="B163" s="15" t="s">
        <v>1371</v>
      </c>
      <c r="C163" s="31" t="str">
        <f t="shared" si="20"/>
        <v>AWG (Aruban Guider)</v>
      </c>
      <c r="D163" s="3"/>
      <c r="E163" s="16" t="s">
        <v>1372</v>
      </c>
      <c r="F163" s="15">
        <v>3206</v>
      </c>
      <c r="G163" s="16" t="str">
        <f t="shared" si="1"/>
        <v>3206 (Kab. Aceh Barat)</v>
      </c>
      <c r="H163" s="3"/>
      <c r="I163" s="16" t="s">
        <v>1373</v>
      </c>
      <c r="J163" s="17" t="s">
        <v>1374</v>
      </c>
      <c r="K163" s="16" t="str">
        <f t="shared" si="2"/>
        <v>029 (BANK SURYA)</v>
      </c>
      <c r="L163" s="3"/>
      <c r="M163" s="3"/>
      <c r="N163" s="3"/>
      <c r="O163" s="3"/>
      <c r="P163" s="3"/>
      <c r="Q163" s="3"/>
      <c r="R163" s="3"/>
      <c r="S163" s="3"/>
      <c r="T163" s="3"/>
      <c r="U163" s="3"/>
      <c r="V163" s="3"/>
      <c r="W163" s="3"/>
      <c r="X163" s="3"/>
      <c r="Y163" s="21" t="s">
        <v>1375</v>
      </c>
      <c r="Z163" s="22" t="s">
        <v>1376</v>
      </c>
      <c r="AA163" s="23" t="str">
        <f t="shared" si="19"/>
        <v>PK Pakistan</v>
      </c>
    </row>
    <row r="164" spans="1:27" ht="12.75" customHeight="1" x14ac:dyDescent="0.35">
      <c r="A164" s="16" t="s">
        <v>1377</v>
      </c>
      <c r="B164" s="15" t="s">
        <v>1378</v>
      </c>
      <c r="C164" s="31" t="str">
        <f t="shared" si="20"/>
        <v>AUD (Australian Dollar)</v>
      </c>
      <c r="D164" s="3"/>
      <c r="E164" s="16" t="s">
        <v>1379</v>
      </c>
      <c r="F164" s="15">
        <v>3207</v>
      </c>
      <c r="G164" s="16" t="str">
        <f t="shared" si="1"/>
        <v>3207 (Kab. Aceh Tengah)</v>
      </c>
      <c r="H164" s="3"/>
      <c r="I164" s="16" t="s">
        <v>1380</v>
      </c>
      <c r="J164" s="17" t="s">
        <v>1381</v>
      </c>
      <c r="K164" s="16" t="str">
        <f t="shared" si="2"/>
        <v>081 (BANK PELITA)</v>
      </c>
      <c r="L164" s="3"/>
      <c r="M164" s="3"/>
      <c r="N164" s="3"/>
      <c r="O164" s="3"/>
      <c r="P164" s="3"/>
      <c r="Q164" s="3"/>
      <c r="R164" s="3"/>
      <c r="S164" s="3"/>
      <c r="T164" s="3"/>
      <c r="U164" s="3"/>
      <c r="V164" s="3"/>
      <c r="W164" s="3"/>
      <c r="X164" s="3"/>
      <c r="Y164" s="21" t="s">
        <v>1382</v>
      </c>
      <c r="Z164" s="22" t="s">
        <v>1383</v>
      </c>
      <c r="AA164" s="23" t="str">
        <f t="shared" si="19"/>
        <v>PW Palau</v>
      </c>
    </row>
    <row r="165" spans="1:27" ht="12.75" customHeight="1" x14ac:dyDescent="0.35">
      <c r="A165" s="16" t="s">
        <v>1384</v>
      </c>
      <c r="B165" s="15" t="s">
        <v>1385</v>
      </c>
      <c r="C165" s="31" t="str">
        <f t="shared" si="20"/>
        <v>ATS (Asutrian Schilling)</v>
      </c>
      <c r="D165" s="3"/>
      <c r="E165" s="16" t="s">
        <v>1386</v>
      </c>
      <c r="F165" s="15">
        <v>3208</v>
      </c>
      <c r="G165" s="16" t="str">
        <f t="shared" si="1"/>
        <v>3208 (Kab. Aceh Tenggara)</v>
      </c>
      <c r="H165" s="3"/>
      <c r="I165" s="16" t="s">
        <v>1387</v>
      </c>
      <c r="J165" s="17" t="s">
        <v>1388</v>
      </c>
      <c r="K165" s="16" t="str">
        <f t="shared" si="2"/>
        <v>084 (BANK MODERN)</v>
      </c>
      <c r="L165" s="3"/>
      <c r="M165" s="3"/>
      <c r="N165" s="3"/>
      <c r="O165" s="3"/>
      <c r="P165" s="3"/>
      <c r="Q165" s="3"/>
      <c r="R165" s="3"/>
      <c r="S165" s="3"/>
      <c r="T165" s="3"/>
      <c r="U165" s="3"/>
      <c r="V165" s="3"/>
      <c r="W165" s="3"/>
      <c r="X165" s="3"/>
      <c r="Y165" s="21" t="s">
        <v>1389</v>
      </c>
      <c r="Z165" s="22" t="s">
        <v>1390</v>
      </c>
      <c r="AA165" s="23" t="str">
        <f t="shared" si="19"/>
        <v>PA Panama</v>
      </c>
    </row>
    <row r="166" spans="1:27" ht="12.75" customHeight="1" x14ac:dyDescent="0.35">
      <c r="A166" s="16" t="s">
        <v>1391</v>
      </c>
      <c r="B166" s="15" t="s">
        <v>1392</v>
      </c>
      <c r="C166" s="31" t="str">
        <f t="shared" si="20"/>
        <v>AZM (Azerbaijan Mant)</v>
      </c>
      <c r="D166" s="3"/>
      <c r="E166" s="16" t="s">
        <v>1393</v>
      </c>
      <c r="F166" s="15">
        <v>3209</v>
      </c>
      <c r="G166" s="16" t="str">
        <f t="shared" si="1"/>
        <v>3209 (Kab. Aceh Singkil)</v>
      </c>
      <c r="H166" s="3"/>
      <c r="I166" s="16" t="s">
        <v>1394</v>
      </c>
      <c r="J166" s="17" t="s">
        <v>1395</v>
      </c>
      <c r="K166" s="16" t="str">
        <f t="shared" si="2"/>
        <v>551 (BANK CENTRIS INTERNASIONAL)</v>
      </c>
      <c r="L166" s="3"/>
      <c r="M166" s="3"/>
      <c r="N166" s="3"/>
      <c r="O166" s="3"/>
      <c r="P166" s="3"/>
      <c r="Q166" s="3"/>
      <c r="R166" s="3"/>
      <c r="S166" s="3"/>
      <c r="T166" s="3"/>
      <c r="U166" s="3"/>
      <c r="V166" s="3"/>
      <c r="W166" s="3"/>
      <c r="X166" s="3"/>
      <c r="Y166" s="21" t="s">
        <v>1396</v>
      </c>
      <c r="Z166" s="22" t="s">
        <v>1397</v>
      </c>
      <c r="AA166" s="23" t="str">
        <f t="shared" si="19"/>
        <v>PG Papua New Guinea</v>
      </c>
    </row>
    <row r="167" spans="1:27" ht="12.75" customHeight="1" x14ac:dyDescent="0.35">
      <c r="A167" s="16" t="s">
        <v>1398</v>
      </c>
      <c r="B167" s="15" t="s">
        <v>1399</v>
      </c>
      <c r="C167" s="31" t="str">
        <f t="shared" si="20"/>
        <v>BSD (Bahamas Dollar)</v>
      </c>
      <c r="D167" s="3"/>
      <c r="E167" s="16" t="s">
        <v>1400</v>
      </c>
      <c r="F167" s="15">
        <v>3210</v>
      </c>
      <c r="G167" s="16" t="str">
        <f t="shared" si="1"/>
        <v>3210 (Kab. Aceh Jeumpa/Bireuen)</v>
      </c>
      <c r="H167" s="3"/>
      <c r="I167" s="16" t="s">
        <v>1401</v>
      </c>
      <c r="J167" s="17" t="s">
        <v>1402</v>
      </c>
      <c r="K167" s="16" t="str">
        <f t="shared" si="2"/>
        <v>476 (BANK AKEN)</v>
      </c>
      <c r="L167" s="3"/>
      <c r="M167" s="3"/>
      <c r="N167" s="3"/>
      <c r="O167" s="3"/>
      <c r="P167" s="3"/>
      <c r="Q167" s="3"/>
      <c r="R167" s="3"/>
      <c r="S167" s="3"/>
      <c r="T167" s="3"/>
      <c r="U167" s="3"/>
      <c r="V167" s="3"/>
      <c r="W167" s="3"/>
      <c r="X167" s="3"/>
      <c r="Y167" s="21" t="s">
        <v>1403</v>
      </c>
      <c r="Z167" s="22" t="s">
        <v>1404</v>
      </c>
      <c r="AA167" s="23" t="str">
        <f t="shared" si="19"/>
        <v>PY Paraguay</v>
      </c>
    </row>
    <row r="168" spans="1:27" ht="12.75" customHeight="1" x14ac:dyDescent="0.35">
      <c r="A168" s="16" t="s">
        <v>1405</v>
      </c>
      <c r="B168" s="15" t="s">
        <v>1406</v>
      </c>
      <c r="C168" s="31" t="str">
        <f t="shared" si="20"/>
        <v>BHD (Bahraini Dinar)</v>
      </c>
      <c r="D168" s="3"/>
      <c r="E168" s="16" t="s">
        <v>1407</v>
      </c>
      <c r="F168" s="15">
        <v>3211</v>
      </c>
      <c r="G168" s="16" t="str">
        <f t="shared" si="1"/>
        <v>3211 (Kab. Aceh Tamiang)</v>
      </c>
      <c r="H168" s="3"/>
      <c r="I168" s="16" t="s">
        <v>1408</v>
      </c>
      <c r="J168" s="17" t="s">
        <v>1409</v>
      </c>
      <c r="K168" s="16" t="str">
        <f t="shared" si="2"/>
        <v>510 (BANK ALFA)</v>
      </c>
      <c r="L168" s="3"/>
      <c r="M168" s="3"/>
      <c r="N168" s="3"/>
      <c r="O168" s="3"/>
      <c r="P168" s="3"/>
      <c r="Q168" s="3"/>
      <c r="R168" s="3"/>
      <c r="S168" s="3"/>
      <c r="T168" s="3"/>
      <c r="U168" s="3"/>
      <c r="V168" s="3"/>
      <c r="W168" s="3"/>
      <c r="X168" s="3"/>
      <c r="Y168" s="21" t="s">
        <v>1410</v>
      </c>
      <c r="Z168" s="22" t="s">
        <v>1411</v>
      </c>
      <c r="AA168" s="23" t="str">
        <f t="shared" si="19"/>
        <v>PE Peru</v>
      </c>
    </row>
    <row r="169" spans="1:27" ht="12.75" customHeight="1" x14ac:dyDescent="0.35">
      <c r="A169" s="16" t="s">
        <v>1412</v>
      </c>
      <c r="B169" s="15" t="s">
        <v>1413</v>
      </c>
      <c r="C169" s="31" t="str">
        <f t="shared" si="20"/>
        <v>BDT (Bangladesh Taka)</v>
      </c>
      <c r="D169" s="3"/>
      <c r="E169" s="16" t="s">
        <v>1414</v>
      </c>
      <c r="F169" s="15">
        <v>3212</v>
      </c>
      <c r="G169" s="16" t="str">
        <f t="shared" si="1"/>
        <v>3212 (Kab. Gayo Luwes)</v>
      </c>
      <c r="H169" s="3"/>
      <c r="I169" s="16" t="s">
        <v>1415</v>
      </c>
      <c r="J169" s="17" t="s">
        <v>1416</v>
      </c>
      <c r="K169" s="16" t="str">
        <f t="shared" si="2"/>
        <v>388 (BANK ARYA PANDUARTA)</v>
      </c>
      <c r="L169" s="3"/>
      <c r="M169" s="3"/>
      <c r="N169" s="3"/>
      <c r="O169" s="3"/>
      <c r="P169" s="3"/>
      <c r="Q169" s="3"/>
      <c r="R169" s="3"/>
      <c r="S169" s="3"/>
      <c r="T169" s="3"/>
      <c r="U169" s="3"/>
      <c r="V169" s="3"/>
      <c r="W169" s="3"/>
      <c r="X169" s="3"/>
      <c r="Y169" s="21" t="s">
        <v>1417</v>
      </c>
      <c r="Z169" s="22" t="s">
        <v>1418</v>
      </c>
      <c r="AA169" s="23" t="str">
        <f t="shared" si="19"/>
        <v>PH Philippines (the)</v>
      </c>
    </row>
    <row r="170" spans="1:27" ht="12.75" customHeight="1" x14ac:dyDescent="0.35">
      <c r="A170" s="16" t="s">
        <v>1419</v>
      </c>
      <c r="B170" s="15" t="s">
        <v>1420</v>
      </c>
      <c r="C170" s="31" t="str">
        <f t="shared" si="20"/>
        <v>BBD (Bardados Dollar)</v>
      </c>
      <c r="D170" s="3"/>
      <c r="E170" s="16" t="s">
        <v>1421</v>
      </c>
      <c r="F170" s="15">
        <v>3213</v>
      </c>
      <c r="G170" s="16" t="str">
        <f t="shared" si="1"/>
        <v>3213 (Kab. Aceh Barat Daya)</v>
      </c>
      <c r="H170" s="3"/>
      <c r="I170" s="16" t="s">
        <v>1422</v>
      </c>
      <c r="J170" s="17" t="s">
        <v>1423</v>
      </c>
      <c r="K170" s="16" t="str">
        <f t="shared" si="2"/>
        <v>074 (BANK ASIA PASIFIC (ASPAC BANK))</v>
      </c>
      <c r="L170" s="3"/>
      <c r="M170" s="3"/>
      <c r="N170" s="3"/>
      <c r="O170" s="3"/>
      <c r="P170" s="3"/>
      <c r="Q170" s="3"/>
      <c r="R170" s="3"/>
      <c r="S170" s="3"/>
      <c r="T170" s="3"/>
      <c r="U170" s="3"/>
      <c r="V170" s="3"/>
      <c r="W170" s="3"/>
      <c r="X170" s="3"/>
      <c r="Y170" s="21" t="s">
        <v>1424</v>
      </c>
      <c r="Z170" s="22" t="s">
        <v>1425</v>
      </c>
      <c r="AA170" s="23" t="str">
        <f t="shared" si="19"/>
        <v>PN Pitcairn</v>
      </c>
    </row>
    <row r="171" spans="1:27" ht="12.75" customHeight="1" x14ac:dyDescent="0.35">
      <c r="A171" s="16" t="s">
        <v>1426</v>
      </c>
      <c r="B171" s="15" t="s">
        <v>1427</v>
      </c>
      <c r="C171" s="31" t="str">
        <f t="shared" si="20"/>
        <v>BYR (Belarus Rouble)</v>
      </c>
      <c r="D171" s="3"/>
      <c r="E171" s="16" t="s">
        <v>1428</v>
      </c>
      <c r="F171" s="15">
        <v>3214</v>
      </c>
      <c r="G171" s="16" t="str">
        <f t="shared" si="1"/>
        <v>3214 (Kab. Aceh Jaya)</v>
      </c>
      <c r="H171" s="3"/>
      <c r="I171" s="16" t="s">
        <v>1429</v>
      </c>
      <c r="J171" s="17" t="s">
        <v>1430</v>
      </c>
      <c r="K171" s="16" t="str">
        <f t="shared" si="2"/>
        <v>078 (BANK BAHARI)</v>
      </c>
      <c r="L171" s="3"/>
      <c r="M171" s="3"/>
      <c r="N171" s="3"/>
      <c r="O171" s="3"/>
      <c r="P171" s="3"/>
      <c r="Q171" s="3"/>
      <c r="R171" s="3"/>
      <c r="S171" s="3"/>
      <c r="T171" s="3"/>
      <c r="U171" s="3"/>
      <c r="V171" s="3"/>
      <c r="W171" s="3"/>
      <c r="X171" s="3"/>
      <c r="Y171" s="21" t="s">
        <v>1431</v>
      </c>
      <c r="Z171" s="22" t="s">
        <v>1432</v>
      </c>
      <c r="AA171" s="23" t="str">
        <f t="shared" si="19"/>
        <v>PL Poland</v>
      </c>
    </row>
    <row r="172" spans="1:27" ht="12.75" customHeight="1" x14ac:dyDescent="0.35">
      <c r="A172" s="16" t="s">
        <v>1433</v>
      </c>
      <c r="B172" s="15" t="s">
        <v>1434</v>
      </c>
      <c r="C172" s="31" t="str">
        <f t="shared" si="20"/>
        <v>BEF (Belgian Franc)</v>
      </c>
      <c r="D172" s="3"/>
      <c r="E172" s="16" t="s">
        <v>1435</v>
      </c>
      <c r="F172" s="15">
        <v>3215</v>
      </c>
      <c r="G172" s="16" t="str">
        <f t="shared" si="1"/>
        <v>3215 (Kab. Nagan Raya)</v>
      </c>
      <c r="H172" s="3"/>
      <c r="I172" s="16" t="s">
        <v>1436</v>
      </c>
      <c r="J172" s="17" t="s">
        <v>1437</v>
      </c>
      <c r="K172" s="16" t="str">
        <f t="shared" si="2"/>
        <v>165 (BANK BAJA INTERNASIONAL)</v>
      </c>
      <c r="L172" s="3"/>
      <c r="M172" s="3"/>
      <c r="N172" s="3"/>
      <c r="O172" s="3"/>
      <c r="P172" s="3"/>
      <c r="Q172" s="3"/>
      <c r="R172" s="3"/>
      <c r="S172" s="3"/>
      <c r="T172" s="3"/>
      <c r="U172" s="3"/>
      <c r="V172" s="3"/>
      <c r="W172" s="3"/>
      <c r="X172" s="3"/>
      <c r="Y172" s="21" t="s">
        <v>1438</v>
      </c>
      <c r="Z172" s="22" t="s">
        <v>1439</v>
      </c>
      <c r="AA172" s="23" t="str">
        <f t="shared" si="19"/>
        <v>PT Portugal</v>
      </c>
    </row>
    <row r="173" spans="1:27" ht="12.75" customHeight="1" x14ac:dyDescent="0.35">
      <c r="A173" s="16" t="s">
        <v>1440</v>
      </c>
      <c r="B173" s="15" t="s">
        <v>1441</v>
      </c>
      <c r="C173" s="31" t="str">
        <f t="shared" si="20"/>
        <v>BZD (Belize Dollar)</v>
      </c>
      <c r="D173" s="3"/>
      <c r="E173" s="16" t="s">
        <v>1442</v>
      </c>
      <c r="F173" s="15">
        <v>3216</v>
      </c>
      <c r="G173" s="16" t="str">
        <f t="shared" si="1"/>
        <v>3216 (Kab. Aceh Simeuleu)</v>
      </c>
      <c r="H173" s="3"/>
      <c r="I173" s="16" t="s">
        <v>1443</v>
      </c>
      <c r="J173" s="17" t="s">
        <v>1444</v>
      </c>
      <c r="K173" s="16" t="str">
        <f t="shared" si="2"/>
        <v>550 (BANK BEPEDE INDONESIA)</v>
      </c>
      <c r="L173" s="3"/>
      <c r="M173" s="3"/>
      <c r="N173" s="3"/>
      <c r="O173" s="3"/>
      <c r="P173" s="3"/>
      <c r="Q173" s="3"/>
      <c r="R173" s="3"/>
      <c r="S173" s="3"/>
      <c r="T173" s="3"/>
      <c r="U173" s="3"/>
      <c r="V173" s="3"/>
      <c r="W173" s="3"/>
      <c r="X173" s="3"/>
      <c r="Y173" s="21" t="s">
        <v>1445</v>
      </c>
      <c r="Z173" s="22" t="s">
        <v>1446</v>
      </c>
      <c r="AA173" s="23" t="str">
        <f t="shared" si="19"/>
        <v>PR Puerto Rico</v>
      </c>
    </row>
    <row r="174" spans="1:27" ht="12.75" customHeight="1" x14ac:dyDescent="0.35">
      <c r="A174" s="16" t="s">
        <v>1447</v>
      </c>
      <c r="B174" s="15" t="s">
        <v>1448</v>
      </c>
      <c r="C174" s="31" t="str">
        <f t="shared" si="20"/>
        <v>XOF (CFA Franc BCEAO)</v>
      </c>
      <c r="D174" s="3"/>
      <c r="E174" s="16" t="s">
        <v>1449</v>
      </c>
      <c r="F174" s="15">
        <v>3217</v>
      </c>
      <c r="G174" s="16" t="str">
        <f t="shared" si="1"/>
        <v>3217 (Kab. Bener Meriah)</v>
      </c>
      <c r="H174" s="3"/>
      <c r="I174" s="16" t="s">
        <v>1450</v>
      </c>
      <c r="J174" s="17" t="s">
        <v>1451</v>
      </c>
      <c r="K174" s="16" t="str">
        <f t="shared" si="2"/>
        <v>561 (BANK BUDI INTERNASIONAL)</v>
      </c>
      <c r="L174" s="3"/>
      <c r="M174" s="3"/>
      <c r="N174" s="3"/>
      <c r="O174" s="3"/>
      <c r="P174" s="3"/>
      <c r="Q174" s="3"/>
      <c r="R174" s="3"/>
      <c r="S174" s="3"/>
      <c r="T174" s="3"/>
      <c r="U174" s="3"/>
      <c r="V174" s="3"/>
      <c r="W174" s="3"/>
      <c r="X174" s="3"/>
      <c r="Y174" s="21" t="s">
        <v>1452</v>
      </c>
      <c r="Z174" s="22" t="s">
        <v>1453</v>
      </c>
      <c r="AA174" s="23" t="str">
        <f t="shared" si="19"/>
        <v>QA Qatar</v>
      </c>
    </row>
    <row r="175" spans="1:27" ht="12.75" customHeight="1" x14ac:dyDescent="0.35">
      <c r="A175" s="16" t="s">
        <v>1454</v>
      </c>
      <c r="B175" s="15" t="s">
        <v>1455</v>
      </c>
      <c r="C175" s="31" t="str">
        <f t="shared" si="20"/>
        <v>BMD (Bermudian Dollar)</v>
      </c>
      <c r="D175" s="3"/>
      <c r="E175" s="16" t="s">
        <v>1456</v>
      </c>
      <c r="F175" s="15">
        <v>3218</v>
      </c>
      <c r="G175" s="16" t="str">
        <f t="shared" si="1"/>
        <v>3218 (Kab. Pidie Jaya)</v>
      </c>
      <c r="H175" s="3"/>
      <c r="I175" s="16" t="s">
        <v>1457</v>
      </c>
      <c r="J175" s="17" t="s">
        <v>1458</v>
      </c>
      <c r="K175" s="16" t="str">
        <f t="shared" si="2"/>
        <v>556 (BANK BUMI RAYA UTAMA)</v>
      </c>
      <c r="L175" s="3"/>
      <c r="M175" s="3"/>
      <c r="N175" s="3"/>
      <c r="O175" s="3"/>
      <c r="P175" s="3"/>
      <c r="Q175" s="3"/>
      <c r="R175" s="3"/>
      <c r="S175" s="3"/>
      <c r="T175" s="3"/>
      <c r="U175" s="3"/>
      <c r="V175" s="3"/>
      <c r="W175" s="3"/>
      <c r="X175" s="3"/>
      <c r="Y175" s="21" t="s">
        <v>1459</v>
      </c>
      <c r="Z175" s="22" t="s">
        <v>1460</v>
      </c>
      <c r="AA175" s="23" t="str">
        <f t="shared" si="19"/>
        <v>RE Réunion</v>
      </c>
    </row>
    <row r="176" spans="1:27" ht="12.75" customHeight="1" x14ac:dyDescent="0.35">
      <c r="A176" s="16" t="s">
        <v>1461</v>
      </c>
      <c r="B176" s="15" t="s">
        <v>1462</v>
      </c>
      <c r="C176" s="31" t="str">
        <f t="shared" si="20"/>
        <v>INR (Indian Rupee)</v>
      </c>
      <c r="D176" s="3"/>
      <c r="E176" s="16" t="s">
        <v>1463</v>
      </c>
      <c r="F176" s="15">
        <v>3219</v>
      </c>
      <c r="G176" s="16" t="str">
        <f t="shared" si="1"/>
        <v>3219 (Kab. Subulussalam)</v>
      </c>
      <c r="H176" s="3"/>
      <c r="I176" s="16" t="s">
        <v>1464</v>
      </c>
      <c r="J176" s="17" t="s">
        <v>1465</v>
      </c>
      <c r="K176" s="16" t="str">
        <f t="shared" si="2"/>
        <v>018 (BANK CENTRAL DAGANG)</v>
      </c>
      <c r="L176" s="3"/>
      <c r="M176" s="3"/>
      <c r="N176" s="3"/>
      <c r="O176" s="3"/>
      <c r="P176" s="3"/>
      <c r="Q176" s="3"/>
      <c r="R176" s="3"/>
      <c r="S176" s="3"/>
      <c r="T176" s="3"/>
      <c r="U176" s="3"/>
      <c r="V176" s="3"/>
      <c r="W176" s="3"/>
      <c r="X176" s="3"/>
      <c r="Y176" s="21" t="s">
        <v>1466</v>
      </c>
      <c r="Z176" s="22" t="s">
        <v>1467</v>
      </c>
      <c r="AA176" s="23" t="str">
        <f t="shared" si="19"/>
        <v>RO Romania</v>
      </c>
    </row>
    <row r="177" spans="1:27" ht="12.75" customHeight="1" x14ac:dyDescent="0.35">
      <c r="A177" s="16" t="s">
        <v>1468</v>
      </c>
      <c r="B177" s="15" t="s">
        <v>1469</v>
      </c>
      <c r="C177" s="31" t="str">
        <f t="shared" si="20"/>
        <v>BTN (Bhutan Ngultrum)</v>
      </c>
      <c r="D177" s="3"/>
      <c r="E177" s="16" t="s">
        <v>1470</v>
      </c>
      <c r="F177" s="15">
        <v>3291</v>
      </c>
      <c r="G177" s="16" t="str">
        <f t="shared" si="1"/>
        <v>3291 (Kota Banda Aceh)</v>
      </c>
      <c r="H177" s="3"/>
      <c r="I177" s="16" t="s">
        <v>1471</v>
      </c>
      <c r="J177" s="17" t="s">
        <v>1472</v>
      </c>
      <c r="K177" s="16" t="str">
        <f t="shared" si="2"/>
        <v>549 (BANK CIPUTRA)</v>
      </c>
      <c r="L177" s="3"/>
      <c r="M177" s="3"/>
      <c r="N177" s="3"/>
      <c r="O177" s="3"/>
      <c r="P177" s="3"/>
      <c r="Q177" s="3"/>
      <c r="R177" s="3"/>
      <c r="S177" s="3"/>
      <c r="T177" s="3"/>
      <c r="U177" s="3"/>
      <c r="V177" s="3"/>
      <c r="W177" s="3"/>
      <c r="X177" s="3"/>
      <c r="Y177" s="21" t="s">
        <v>1473</v>
      </c>
      <c r="Z177" s="22" t="s">
        <v>1474</v>
      </c>
      <c r="AA177" s="23" t="str">
        <f t="shared" si="19"/>
        <v>RU Russian Federation (the)</v>
      </c>
    </row>
    <row r="178" spans="1:27" ht="12.75" customHeight="1" x14ac:dyDescent="0.35">
      <c r="A178" s="16" t="s">
        <v>1475</v>
      </c>
      <c r="B178" s="15" t="s">
        <v>1476</v>
      </c>
      <c r="C178" s="31" t="str">
        <f t="shared" si="20"/>
        <v>BOB (Bolivian Boliviano)</v>
      </c>
      <c r="D178" s="3"/>
      <c r="E178" s="16" t="s">
        <v>1477</v>
      </c>
      <c r="F178" s="15">
        <v>3292</v>
      </c>
      <c r="G178" s="16" t="str">
        <f t="shared" si="1"/>
        <v>3292 (Kota Sabang)</v>
      </c>
      <c r="H178" s="3"/>
      <c r="I178" s="16" t="s">
        <v>1478</v>
      </c>
      <c r="J178" s="17" t="s">
        <v>1479</v>
      </c>
      <c r="K178" s="16" t="str">
        <f t="shared" si="2"/>
        <v>140 (BANK CITRA MAKMUR ASIA (eks. YAMA BANK))</v>
      </c>
      <c r="L178" s="3"/>
      <c r="M178" s="3"/>
      <c r="N178" s="3"/>
      <c r="O178" s="3"/>
      <c r="P178" s="3"/>
      <c r="Q178" s="3"/>
      <c r="R178" s="3"/>
      <c r="S178" s="3"/>
      <c r="T178" s="3"/>
      <c r="U178" s="3"/>
      <c r="V178" s="3"/>
      <c r="W178" s="3"/>
      <c r="X178" s="3"/>
      <c r="Y178" s="21" t="s">
        <v>1480</v>
      </c>
      <c r="Z178" s="22" t="s">
        <v>1481</v>
      </c>
      <c r="AA178" s="23" t="str">
        <f t="shared" si="19"/>
        <v>RW Rwanda</v>
      </c>
    </row>
    <row r="179" spans="1:27" ht="12.75" customHeight="1" x14ac:dyDescent="0.35">
      <c r="A179" s="16" t="s">
        <v>1482</v>
      </c>
      <c r="B179" s="15" t="s">
        <v>1483</v>
      </c>
      <c r="C179" s="31" t="str">
        <f t="shared" si="20"/>
        <v>BAM (Bosnia-Herze Conv Marka)</v>
      </c>
      <c r="D179" s="3"/>
      <c r="E179" s="16" t="s">
        <v>1484</v>
      </c>
      <c r="F179" s="15">
        <v>3293</v>
      </c>
      <c r="G179" s="16" t="str">
        <f t="shared" si="1"/>
        <v>3293 (Kota Lhokseumawe)</v>
      </c>
      <c r="H179" s="3"/>
      <c r="I179" s="16" t="s">
        <v>1485</v>
      </c>
      <c r="J179" s="17" t="s">
        <v>1486</v>
      </c>
      <c r="K179" s="16" t="str">
        <f t="shared" si="2"/>
        <v>148 (BANK DAGANG DAN INDUSTRI)</v>
      </c>
      <c r="L179" s="3"/>
      <c r="M179" s="3"/>
      <c r="N179" s="3"/>
      <c r="O179" s="3"/>
      <c r="P179" s="3"/>
      <c r="Q179" s="3"/>
      <c r="R179" s="3"/>
      <c r="S179" s="3"/>
      <c r="T179" s="3"/>
      <c r="U179" s="3"/>
      <c r="V179" s="3"/>
      <c r="W179" s="3"/>
      <c r="X179" s="3"/>
      <c r="Y179" s="21" t="s">
        <v>1487</v>
      </c>
      <c r="Z179" s="22" t="s">
        <v>1488</v>
      </c>
      <c r="AA179" s="23" t="str">
        <f t="shared" si="19"/>
        <v>LC Saint Lucia</v>
      </c>
    </row>
    <row r="180" spans="1:27" ht="12.75" customHeight="1" x14ac:dyDescent="0.35">
      <c r="A180" s="16" t="s">
        <v>1489</v>
      </c>
      <c r="B180" s="15" t="s">
        <v>1490</v>
      </c>
      <c r="C180" s="31" t="str">
        <f t="shared" si="20"/>
        <v>BWP (Botswana Pula)</v>
      </c>
      <c r="D180" s="3"/>
      <c r="E180" s="16" t="s">
        <v>1491</v>
      </c>
      <c r="F180" s="15">
        <v>3294</v>
      </c>
      <c r="G180" s="16" t="str">
        <f t="shared" si="1"/>
        <v>3294 (Kota Langsa)</v>
      </c>
      <c r="H180" s="3"/>
      <c r="I180" s="16" t="s">
        <v>1492</v>
      </c>
      <c r="J180" s="17" t="s">
        <v>1493</v>
      </c>
      <c r="K180" s="16" t="str">
        <f t="shared" si="2"/>
        <v>455 (BANK DANA ASIA)</v>
      </c>
      <c r="L180" s="3"/>
      <c r="M180" s="3"/>
      <c r="N180" s="3"/>
      <c r="O180" s="3"/>
      <c r="P180" s="3"/>
      <c r="Q180" s="3"/>
      <c r="R180" s="3"/>
      <c r="S180" s="3"/>
      <c r="T180" s="3"/>
      <c r="U180" s="3"/>
      <c r="V180" s="3"/>
      <c r="W180" s="3"/>
      <c r="X180" s="3"/>
      <c r="Y180" s="21" t="s">
        <v>1494</v>
      </c>
      <c r="Z180" s="22" t="s">
        <v>1495</v>
      </c>
      <c r="AA180" s="23" t="str">
        <f t="shared" si="19"/>
        <v>WS Samoa</v>
      </c>
    </row>
    <row r="181" spans="1:27" ht="12.75" customHeight="1" x14ac:dyDescent="0.35">
      <c r="A181" s="16" t="s">
        <v>1496</v>
      </c>
      <c r="B181" s="15" t="s">
        <v>1497</v>
      </c>
      <c r="C181" s="31" t="str">
        <f t="shared" si="20"/>
        <v>BRL (Brazilian Real)</v>
      </c>
      <c r="D181" s="3"/>
      <c r="E181" s="16" t="s">
        <v>381</v>
      </c>
      <c r="F181" s="15">
        <v>3288</v>
      </c>
      <c r="G181" s="16" t="str">
        <f t="shared" si="1"/>
        <v>3288 (Kab./Kota Lainnya)</v>
      </c>
      <c r="H181" s="3"/>
      <c r="I181" s="16" t="s">
        <v>1498</v>
      </c>
      <c r="J181" s="17" t="s">
        <v>1499</v>
      </c>
      <c r="K181" s="16" t="str">
        <f t="shared" si="2"/>
        <v>500 (BANK DANA HUTAMA)</v>
      </c>
      <c r="L181" s="3"/>
      <c r="M181" s="3"/>
      <c r="N181" s="3"/>
      <c r="O181" s="3"/>
      <c r="P181" s="3"/>
      <c r="Q181" s="3"/>
      <c r="R181" s="3"/>
      <c r="S181" s="3"/>
      <c r="T181" s="3"/>
      <c r="U181" s="3"/>
      <c r="V181" s="3"/>
      <c r="W181" s="3"/>
      <c r="X181" s="3"/>
      <c r="Y181" s="21" t="s">
        <v>1500</v>
      </c>
      <c r="Z181" s="22" t="s">
        <v>1501</v>
      </c>
      <c r="AA181" s="23" t="str">
        <f t="shared" si="19"/>
        <v>SM San Marino</v>
      </c>
    </row>
    <row r="182" spans="1:27" ht="12.75" customHeight="1" x14ac:dyDescent="0.35">
      <c r="A182" s="16" t="s">
        <v>1502</v>
      </c>
      <c r="B182" s="15" t="s">
        <v>1503</v>
      </c>
      <c r="C182" s="31" t="str">
        <f t="shared" si="20"/>
        <v>GBP (Pound Sterling (United Kingdom Pound))</v>
      </c>
      <c r="D182" s="3"/>
      <c r="E182" s="14" t="s">
        <v>1504</v>
      </c>
      <c r="F182" s="15"/>
      <c r="G182" s="16" t="str">
        <f t="shared" si="1"/>
        <v>---- (Provinsi Sumatera Utara)</v>
      </c>
      <c r="H182" s="3"/>
      <c r="I182" s="16" t="s">
        <v>1505</v>
      </c>
      <c r="J182" s="17" t="s">
        <v>1506</v>
      </c>
      <c r="K182" s="16" t="str">
        <f t="shared" si="2"/>
        <v>329 (BANK DEWA RUTJI)</v>
      </c>
      <c r="L182" s="3"/>
      <c r="M182" s="3"/>
      <c r="N182" s="3"/>
      <c r="O182" s="3"/>
      <c r="P182" s="3"/>
      <c r="Q182" s="3"/>
      <c r="R182" s="3"/>
      <c r="S182" s="3"/>
      <c r="T182" s="3"/>
      <c r="U182" s="3"/>
      <c r="V182" s="3"/>
      <c r="W182" s="3"/>
      <c r="X182" s="3"/>
      <c r="Y182" s="21" t="s">
        <v>1507</v>
      </c>
      <c r="Z182" s="22" t="s">
        <v>1508</v>
      </c>
      <c r="AA182" s="23" t="str">
        <f t="shared" si="19"/>
        <v>ST Sao Tome and Principe</v>
      </c>
    </row>
    <row r="183" spans="1:27" ht="12.75" customHeight="1" x14ac:dyDescent="0.35">
      <c r="A183" s="16" t="s">
        <v>1509</v>
      </c>
      <c r="B183" s="15" t="s">
        <v>1510</v>
      </c>
      <c r="C183" s="31" t="str">
        <f t="shared" si="20"/>
        <v>SCR (Seychelles Rupee)</v>
      </c>
      <c r="D183" s="3"/>
      <c r="E183" s="16" t="s">
        <v>1511</v>
      </c>
      <c r="F183" s="15">
        <v>3301</v>
      </c>
      <c r="G183" s="16" t="str">
        <f t="shared" si="1"/>
        <v>3301 (Kab. Deli Serdang)</v>
      </c>
      <c r="H183" s="3"/>
      <c r="I183" s="16" t="s">
        <v>1512</v>
      </c>
      <c r="J183" s="17" t="s">
        <v>1513</v>
      </c>
      <c r="K183" s="16" t="str">
        <f t="shared" si="2"/>
        <v>098 (BANK DHARMALA)</v>
      </c>
      <c r="L183" s="3"/>
      <c r="M183" s="3"/>
      <c r="N183" s="3"/>
      <c r="O183" s="3"/>
      <c r="P183" s="3"/>
      <c r="Q183" s="3"/>
      <c r="R183" s="3"/>
      <c r="S183" s="3"/>
      <c r="T183" s="3"/>
      <c r="U183" s="3"/>
      <c r="V183" s="3"/>
      <c r="W183" s="3"/>
      <c r="X183" s="3"/>
      <c r="Y183" s="21" t="s">
        <v>1514</v>
      </c>
      <c r="Z183" s="22" t="s">
        <v>1515</v>
      </c>
      <c r="AA183" s="23" t="str">
        <f t="shared" si="19"/>
        <v>SA Saudi Arabia</v>
      </c>
    </row>
    <row r="184" spans="1:27" ht="12.75" customHeight="1" x14ac:dyDescent="0.35">
      <c r="A184" s="16" t="s">
        <v>1516</v>
      </c>
      <c r="B184" s="15" t="s">
        <v>1517</v>
      </c>
      <c r="C184" s="31" t="str">
        <f t="shared" si="20"/>
        <v>BND (Brunei Dollar)</v>
      </c>
      <c r="D184" s="3"/>
      <c r="E184" s="16" t="s">
        <v>1518</v>
      </c>
      <c r="F184" s="15">
        <v>3302</v>
      </c>
      <c r="G184" s="16" t="str">
        <f t="shared" si="1"/>
        <v>3302 (Kab. Langkat)</v>
      </c>
      <c r="H184" s="3"/>
      <c r="I184" s="16" t="s">
        <v>1519</v>
      </c>
      <c r="J184" s="17" t="s">
        <v>1520</v>
      </c>
      <c r="K184" s="16" t="str">
        <f t="shared" si="2"/>
        <v>092 (BANK FIRST INDONESIA FINANCE AND INVESTMENT CORPORATION (FICORINVEST))</v>
      </c>
      <c r="L184" s="3"/>
      <c r="M184" s="3"/>
      <c r="N184" s="3"/>
      <c r="O184" s="3"/>
      <c r="P184" s="3"/>
      <c r="Q184" s="3"/>
      <c r="R184" s="3"/>
      <c r="S184" s="3"/>
      <c r="T184" s="3"/>
      <c r="U184" s="3"/>
      <c r="V184" s="3"/>
      <c r="W184" s="3"/>
      <c r="X184" s="3"/>
      <c r="Y184" s="21" t="s">
        <v>1521</v>
      </c>
      <c r="Z184" s="22" t="s">
        <v>1522</v>
      </c>
      <c r="AA184" s="23" t="str">
        <f t="shared" si="19"/>
        <v>SN Senegal</v>
      </c>
    </row>
    <row r="185" spans="1:27" ht="12.75" customHeight="1" x14ac:dyDescent="0.35">
      <c r="A185" s="16" t="s">
        <v>1523</v>
      </c>
      <c r="B185" s="15" t="s">
        <v>1524</v>
      </c>
      <c r="C185" s="31" t="str">
        <f t="shared" si="20"/>
        <v>BEN (Bulgarian  Lev)</v>
      </c>
      <c r="D185" s="3"/>
      <c r="E185" s="16" t="s">
        <v>1525</v>
      </c>
      <c r="F185" s="15">
        <v>3303</v>
      </c>
      <c r="G185" s="16" t="str">
        <f t="shared" si="1"/>
        <v>3303 (Kab. Karo)</v>
      </c>
      <c r="H185" s="3"/>
      <c r="I185" s="16" t="s">
        <v>1526</v>
      </c>
      <c r="J185" s="17" t="s">
        <v>1527</v>
      </c>
      <c r="K185" s="16" t="str">
        <f t="shared" si="2"/>
        <v>149 (BANK HASTIN INTERNASIONAL)</v>
      </c>
      <c r="L185" s="3"/>
      <c r="M185" s="3"/>
      <c r="N185" s="3"/>
      <c r="O185" s="3"/>
      <c r="P185" s="3"/>
      <c r="Q185" s="3"/>
      <c r="R185" s="3"/>
      <c r="S185" s="3"/>
      <c r="T185" s="3"/>
      <c r="U185" s="3"/>
      <c r="V185" s="3"/>
      <c r="W185" s="3"/>
      <c r="X185" s="3"/>
      <c r="Y185" s="21" t="s">
        <v>1528</v>
      </c>
      <c r="Z185" s="22" t="s">
        <v>1529</v>
      </c>
      <c r="AA185" s="23" t="str">
        <f t="shared" si="19"/>
        <v>SC Seychelles</v>
      </c>
    </row>
    <row r="186" spans="1:27" ht="12.75" customHeight="1" x14ac:dyDescent="0.35">
      <c r="A186" s="16" t="s">
        <v>1530</v>
      </c>
      <c r="B186" s="15" t="s">
        <v>1531</v>
      </c>
      <c r="C186" s="31" t="str">
        <f t="shared" si="20"/>
        <v>BIF (Burundi Franc)</v>
      </c>
      <c r="D186" s="3"/>
      <c r="E186" s="16" t="s">
        <v>1532</v>
      </c>
      <c r="F186" s="15">
        <v>3304</v>
      </c>
      <c r="G186" s="16" t="str">
        <f t="shared" si="1"/>
        <v>3304 (Kab. Simalungun)</v>
      </c>
      <c r="H186" s="3"/>
      <c r="I186" s="16" t="s">
        <v>1533</v>
      </c>
      <c r="J186" s="17" t="s">
        <v>1534</v>
      </c>
      <c r="K186" s="16" t="str">
        <f t="shared" si="2"/>
        <v>560 (BANK INDOMITRA DEVELOPMENT (INDOTRADE BANK))</v>
      </c>
      <c r="L186" s="3"/>
      <c r="M186" s="3"/>
      <c r="N186" s="3"/>
      <c r="O186" s="3"/>
      <c r="P186" s="3"/>
      <c r="Q186" s="3"/>
      <c r="R186" s="3"/>
      <c r="S186" s="3"/>
      <c r="T186" s="3"/>
      <c r="U186" s="3"/>
      <c r="V186" s="3"/>
      <c r="W186" s="3"/>
      <c r="X186" s="3"/>
      <c r="Y186" s="21" t="s">
        <v>1535</v>
      </c>
      <c r="Z186" s="22" t="s">
        <v>1536</v>
      </c>
      <c r="AA186" s="23" t="str">
        <f t="shared" si="19"/>
        <v>SL Sierra Leone</v>
      </c>
    </row>
    <row r="187" spans="1:27" ht="12.75" customHeight="1" x14ac:dyDescent="0.35">
      <c r="A187" s="16" t="s">
        <v>1537</v>
      </c>
      <c r="B187" s="15" t="s">
        <v>1538</v>
      </c>
      <c r="C187" s="31" t="str">
        <f t="shared" si="20"/>
        <v>KHR (Cambodia Riel)</v>
      </c>
      <c r="D187" s="3"/>
      <c r="E187" s="16" t="s">
        <v>1539</v>
      </c>
      <c r="F187" s="15">
        <v>3305</v>
      </c>
      <c r="G187" s="16" t="str">
        <f t="shared" si="1"/>
        <v>3305 (Kab. Labuhan Batu)</v>
      </c>
      <c r="H187" s="3"/>
      <c r="I187" s="16" t="s">
        <v>1540</v>
      </c>
      <c r="J187" s="17" t="s">
        <v>1541</v>
      </c>
      <c r="K187" s="16" t="str">
        <f t="shared" si="2"/>
        <v>099 (BANK INDONESIA RAYA)</v>
      </c>
      <c r="L187" s="3"/>
      <c r="M187" s="3"/>
      <c r="N187" s="3"/>
      <c r="O187" s="3"/>
      <c r="P187" s="3"/>
      <c r="Q187" s="3"/>
      <c r="R187" s="3"/>
      <c r="S187" s="3"/>
      <c r="T187" s="3"/>
      <c r="U187" s="3"/>
      <c r="V187" s="3"/>
      <c r="W187" s="3"/>
      <c r="X187" s="3"/>
      <c r="Y187" s="21" t="s">
        <v>1542</v>
      </c>
      <c r="Z187" s="22" t="s">
        <v>1543</v>
      </c>
      <c r="AA187" s="23" t="str">
        <f t="shared" si="19"/>
        <v>SG Singapore</v>
      </c>
    </row>
    <row r="188" spans="1:27" ht="12.75" customHeight="1" x14ac:dyDescent="0.35">
      <c r="A188" s="16" t="s">
        <v>1544</v>
      </c>
      <c r="B188" s="15" t="s">
        <v>1545</v>
      </c>
      <c r="C188" s="31" t="str">
        <f t="shared" si="20"/>
        <v>XAF (Franc de  la Communaute finaniere Africaine)</v>
      </c>
      <c r="D188" s="3"/>
      <c r="E188" s="16" t="s">
        <v>1546</v>
      </c>
      <c r="F188" s="15">
        <v>3306</v>
      </c>
      <c r="G188" s="16" t="str">
        <f t="shared" si="1"/>
        <v>3306 (Kab. Asahan)</v>
      </c>
      <c r="H188" s="3"/>
      <c r="I188" s="16" t="s">
        <v>1547</v>
      </c>
      <c r="J188" s="17" t="s">
        <v>1548</v>
      </c>
      <c r="K188" s="16" t="str">
        <f t="shared" si="2"/>
        <v>066 (BANK INVESTMENT INTERNASIONAL (INDOVEST))</v>
      </c>
      <c r="L188" s="3"/>
      <c r="M188" s="3"/>
      <c r="N188" s="3"/>
      <c r="O188" s="3"/>
      <c r="P188" s="3"/>
      <c r="Q188" s="3"/>
      <c r="R188" s="3"/>
      <c r="S188" s="3"/>
      <c r="T188" s="3"/>
      <c r="U188" s="3"/>
      <c r="V188" s="3"/>
      <c r="W188" s="3"/>
      <c r="X188" s="3"/>
      <c r="Y188" s="21" t="s">
        <v>1549</v>
      </c>
      <c r="Z188" s="22" t="s">
        <v>1550</v>
      </c>
      <c r="AA188" s="23" t="str">
        <f t="shared" si="19"/>
        <v>SK Slovakia</v>
      </c>
    </row>
    <row r="189" spans="1:27" ht="12.75" customHeight="1" x14ac:dyDescent="0.35">
      <c r="A189" s="16" t="s">
        <v>1551</v>
      </c>
      <c r="B189" s="15" t="s">
        <v>1552</v>
      </c>
      <c r="C189" s="31" t="str">
        <f t="shared" si="20"/>
        <v>CLP (Chilean Peso)</v>
      </c>
      <c r="D189" s="3"/>
      <c r="E189" s="16" t="s">
        <v>1553</v>
      </c>
      <c r="F189" s="15">
        <v>3307</v>
      </c>
      <c r="G189" s="16" t="str">
        <f t="shared" si="1"/>
        <v>3307 (Kab. Dairi)</v>
      </c>
      <c r="H189" s="3"/>
      <c r="I189" s="16" t="s">
        <v>1554</v>
      </c>
      <c r="J189" s="17" t="s">
        <v>1555</v>
      </c>
      <c r="K189" s="16" t="str">
        <f t="shared" si="2"/>
        <v>367 (BANK INTAN)</v>
      </c>
      <c r="L189" s="3"/>
      <c r="M189" s="3"/>
      <c r="N189" s="3"/>
      <c r="O189" s="3"/>
      <c r="P189" s="3"/>
      <c r="Q189" s="3"/>
      <c r="R189" s="3"/>
      <c r="S189" s="3"/>
      <c r="T189" s="3"/>
      <c r="U189" s="3"/>
      <c r="V189" s="3"/>
      <c r="W189" s="3"/>
      <c r="X189" s="3"/>
      <c r="Y189" s="21" t="s">
        <v>1556</v>
      </c>
      <c r="Z189" s="22" t="s">
        <v>1557</v>
      </c>
      <c r="AA189" s="23" t="str">
        <f t="shared" si="19"/>
        <v>SI Slovenia</v>
      </c>
    </row>
    <row r="190" spans="1:27" ht="12.75" customHeight="1" x14ac:dyDescent="0.35">
      <c r="A190" s="16" t="s">
        <v>1558</v>
      </c>
      <c r="B190" s="15" t="s">
        <v>1559</v>
      </c>
      <c r="C190" s="31" t="str">
        <f t="shared" si="20"/>
        <v>CLF (Chilean Fomento)</v>
      </c>
      <c r="D190" s="3"/>
      <c r="E190" s="16" t="s">
        <v>1560</v>
      </c>
      <c r="F190" s="15">
        <v>3308</v>
      </c>
      <c r="G190" s="16" t="str">
        <f t="shared" si="1"/>
        <v>3308 (Kab. Tapanuli Utara)</v>
      </c>
      <c r="H190" s="3"/>
      <c r="I190" s="16" t="s">
        <v>1561</v>
      </c>
      <c r="J190" s="17" t="s">
        <v>1562</v>
      </c>
      <c r="K190" s="16" t="str">
        <f t="shared" si="2"/>
        <v>142 (BANK KHARISMA)</v>
      </c>
      <c r="L190" s="3"/>
      <c r="M190" s="3"/>
      <c r="N190" s="3"/>
      <c r="O190" s="3"/>
      <c r="P190" s="3"/>
      <c r="Q190" s="3"/>
      <c r="R190" s="3"/>
      <c r="S190" s="3"/>
      <c r="T190" s="3"/>
      <c r="U190" s="3"/>
      <c r="V190" s="3"/>
      <c r="W190" s="3"/>
      <c r="X190" s="3"/>
      <c r="Y190" s="21" t="s">
        <v>1563</v>
      </c>
      <c r="Z190" s="22" t="s">
        <v>1564</v>
      </c>
      <c r="AA190" s="23" t="str">
        <f t="shared" si="19"/>
        <v>SB Solomon Islands</v>
      </c>
    </row>
    <row r="191" spans="1:27" ht="12.75" customHeight="1" x14ac:dyDescent="0.35">
      <c r="A191" s="16" t="s">
        <v>1565</v>
      </c>
      <c r="B191" s="15" t="s">
        <v>1566</v>
      </c>
      <c r="C191" s="31" t="str">
        <f t="shared" si="20"/>
        <v>CNY (China Renminbi)</v>
      </c>
      <c r="D191" s="3"/>
      <c r="E191" s="16" t="s">
        <v>1567</v>
      </c>
      <c r="F191" s="15">
        <v>3309</v>
      </c>
      <c r="G191" s="16" t="str">
        <f t="shared" si="1"/>
        <v>3309 (Kab. Tapanuli Tengah)</v>
      </c>
      <c r="H191" s="3"/>
      <c r="I191" s="16" t="s">
        <v>1568</v>
      </c>
      <c r="J191" s="17" t="s">
        <v>1569</v>
      </c>
      <c r="K191" s="16" t="str">
        <f t="shared" si="2"/>
        <v>141 (BANK LAUTAN BERLIAN)</v>
      </c>
      <c r="L191" s="3"/>
      <c r="M191" s="3"/>
      <c r="N191" s="3"/>
      <c r="O191" s="3"/>
      <c r="P191" s="3"/>
      <c r="Q191" s="3"/>
      <c r="R191" s="3"/>
      <c r="S191" s="3"/>
      <c r="T191" s="3"/>
      <c r="U191" s="3"/>
      <c r="V191" s="3"/>
      <c r="W191" s="3"/>
      <c r="X191" s="3"/>
      <c r="Y191" s="21" t="s">
        <v>1570</v>
      </c>
      <c r="Z191" s="22" t="s">
        <v>1571</v>
      </c>
      <c r="AA191" s="23" t="str">
        <f t="shared" si="19"/>
        <v>SO Somalia</v>
      </c>
    </row>
    <row r="192" spans="1:27" ht="12.75" customHeight="1" x14ac:dyDescent="0.35">
      <c r="A192" s="16" t="s">
        <v>1572</v>
      </c>
      <c r="B192" s="15" t="s">
        <v>1573</v>
      </c>
      <c r="C192" s="31" t="str">
        <f t="shared" si="20"/>
        <v>CNH (China Offshore Yuan)</v>
      </c>
      <c r="D192" s="3"/>
      <c r="E192" s="16" t="s">
        <v>1574</v>
      </c>
      <c r="F192" s="15">
        <v>3310</v>
      </c>
      <c r="G192" s="16" t="str">
        <f t="shared" si="1"/>
        <v>3310 (Kab. Tapanuli Selatan)</v>
      </c>
      <c r="H192" s="3"/>
      <c r="I192" s="16" t="s">
        <v>1575</v>
      </c>
      <c r="J192" s="17" t="s">
        <v>1576</v>
      </c>
      <c r="K192" s="16" t="str">
        <f t="shared" si="2"/>
        <v>083 (BANK MASHILL UTAMA)</v>
      </c>
      <c r="L192" s="3"/>
      <c r="M192" s="3"/>
      <c r="N192" s="3"/>
      <c r="O192" s="3"/>
      <c r="P192" s="3"/>
      <c r="Q192" s="3"/>
      <c r="R192" s="3"/>
      <c r="S192" s="3"/>
      <c r="T192" s="3"/>
      <c r="U192" s="3"/>
      <c r="V192" s="3"/>
      <c r="W192" s="3"/>
      <c r="X192" s="3"/>
      <c r="Y192" s="21" t="s">
        <v>1577</v>
      </c>
      <c r="Z192" s="22" t="s">
        <v>1578</v>
      </c>
      <c r="AA192" s="23" t="str">
        <f t="shared" si="19"/>
        <v>ZA South Africa</v>
      </c>
    </row>
    <row r="193" spans="1:27" ht="12.75" customHeight="1" x14ac:dyDescent="0.35">
      <c r="A193" s="16" t="s">
        <v>1579</v>
      </c>
      <c r="B193" s="15" t="s">
        <v>1580</v>
      </c>
      <c r="C193" s="31" t="str">
        <f t="shared" si="20"/>
        <v>COP (Colombian Peso)</v>
      </c>
      <c r="D193" s="3"/>
      <c r="E193" s="16" t="s">
        <v>1581</v>
      </c>
      <c r="F193" s="15">
        <v>3311</v>
      </c>
      <c r="G193" s="16" t="str">
        <f t="shared" si="1"/>
        <v>3311 (Kab. Nias)</v>
      </c>
      <c r="H193" s="3"/>
      <c r="I193" s="16" t="s">
        <v>1582</v>
      </c>
      <c r="J193" s="17" t="s">
        <v>1583</v>
      </c>
      <c r="K193" s="16" t="str">
        <f t="shared" si="2"/>
        <v>544 (BANK METROPOLITAN RAYA)</v>
      </c>
      <c r="L193" s="3"/>
      <c r="M193" s="3"/>
      <c r="N193" s="3"/>
      <c r="O193" s="3"/>
      <c r="P193" s="3"/>
      <c r="Q193" s="3"/>
      <c r="R193" s="3"/>
      <c r="S193" s="3"/>
      <c r="T193" s="3"/>
      <c r="U193" s="3"/>
      <c r="V193" s="3"/>
      <c r="W193" s="3"/>
      <c r="X193" s="3"/>
      <c r="Y193" s="21" t="s">
        <v>1584</v>
      </c>
      <c r="Z193" s="22" t="s">
        <v>1585</v>
      </c>
      <c r="AA193" s="23" t="str">
        <f t="shared" si="19"/>
        <v>GS South Georgia and the South Sandwich Islands</v>
      </c>
    </row>
    <row r="194" spans="1:27" ht="12.75" customHeight="1" x14ac:dyDescent="0.35">
      <c r="A194" s="16" t="s">
        <v>1586</v>
      </c>
      <c r="B194" s="15" t="s">
        <v>1587</v>
      </c>
      <c r="C194" s="31" t="str">
        <f t="shared" si="20"/>
        <v>KMF (Comoros Franc)</v>
      </c>
      <c r="D194" s="3"/>
      <c r="E194" s="16" t="s">
        <v>1588</v>
      </c>
      <c r="F194" s="15">
        <v>3313</v>
      </c>
      <c r="G194" s="16" t="str">
        <f t="shared" si="1"/>
        <v>3313 (Kab. Toba Samosir)</v>
      </c>
      <c r="H194" s="3"/>
      <c r="I194" s="16" t="s">
        <v>1589</v>
      </c>
      <c r="J194" s="17" t="s">
        <v>1590</v>
      </c>
      <c r="K194" s="16" t="str">
        <f t="shared" si="2"/>
        <v>143 (BANK NAMURA INTERNUSA)</v>
      </c>
      <c r="L194" s="3"/>
      <c r="M194" s="3"/>
      <c r="N194" s="3"/>
      <c r="O194" s="3"/>
      <c r="P194" s="3"/>
      <c r="Q194" s="3"/>
      <c r="R194" s="3"/>
      <c r="S194" s="3"/>
      <c r="T194" s="3"/>
      <c r="U194" s="3"/>
      <c r="V194" s="3"/>
      <c r="W194" s="3"/>
      <c r="X194" s="3"/>
      <c r="Y194" s="21" t="s">
        <v>1591</v>
      </c>
      <c r="Z194" s="22" t="s">
        <v>1592</v>
      </c>
      <c r="AA194" s="23" t="str">
        <f t="shared" si="19"/>
        <v>ES Spain</v>
      </c>
    </row>
    <row r="195" spans="1:27" ht="12.75" customHeight="1" x14ac:dyDescent="0.35">
      <c r="A195" s="16" t="s">
        <v>1593</v>
      </c>
      <c r="B195" s="15" t="s">
        <v>1594</v>
      </c>
      <c r="C195" s="31" t="str">
        <f t="shared" si="20"/>
        <v>CDF (Democratic Rep. Congo Franc)</v>
      </c>
      <c r="D195" s="3"/>
      <c r="E195" s="16" t="s">
        <v>1595</v>
      </c>
      <c r="F195" s="15">
        <v>3314</v>
      </c>
      <c r="G195" s="16" t="str">
        <f t="shared" si="1"/>
        <v>3314 (Kab. Mandailing Natal)</v>
      </c>
      <c r="H195" s="3"/>
      <c r="I195" s="16" t="s">
        <v>1596</v>
      </c>
      <c r="J195" s="17" t="s">
        <v>1597</v>
      </c>
      <c r="K195" s="16" t="str">
        <f t="shared" si="2"/>
        <v>565 (BANK ORIENT)</v>
      </c>
      <c r="L195" s="3"/>
      <c r="M195" s="3"/>
      <c r="N195" s="3"/>
      <c r="O195" s="3"/>
      <c r="P195" s="3"/>
      <c r="Q195" s="3"/>
      <c r="R195" s="3"/>
      <c r="S195" s="3"/>
      <c r="T195" s="3"/>
      <c r="U195" s="3"/>
      <c r="V195" s="3"/>
      <c r="W195" s="3"/>
      <c r="X195" s="3"/>
      <c r="Y195" s="21" t="s">
        <v>1598</v>
      </c>
      <c r="Z195" s="22" t="s">
        <v>1599</v>
      </c>
      <c r="AA195" s="23" t="str">
        <f t="shared" si="19"/>
        <v>LK Sri Lanka</v>
      </c>
    </row>
    <row r="196" spans="1:27" ht="12.75" customHeight="1" x14ac:dyDescent="0.35">
      <c r="A196" s="16" t="s">
        <v>1600</v>
      </c>
      <c r="B196" s="15" t="s">
        <v>1601</v>
      </c>
      <c r="C196" s="31" t="str">
        <f t="shared" si="20"/>
        <v>NZD (New Zealand Dollar)</v>
      </c>
      <c r="D196" s="3"/>
      <c r="E196" s="16" t="s">
        <v>1602</v>
      </c>
      <c r="F196" s="15">
        <v>3315</v>
      </c>
      <c r="G196" s="16" t="str">
        <f t="shared" si="1"/>
        <v>3315 (Kab. Nias Selatan)</v>
      </c>
      <c r="H196" s="3"/>
      <c r="I196" s="16" t="s">
        <v>1603</v>
      </c>
      <c r="J196" s="17" t="s">
        <v>1604</v>
      </c>
      <c r="K196" s="16" t="str">
        <f t="shared" si="2"/>
        <v>094 (BANK PAPAN SEJAHTERA)</v>
      </c>
      <c r="L196" s="3"/>
      <c r="M196" s="3"/>
      <c r="N196" s="3"/>
      <c r="O196" s="3"/>
      <c r="P196" s="3"/>
      <c r="Q196" s="3"/>
      <c r="R196" s="3"/>
      <c r="S196" s="3"/>
      <c r="T196" s="3"/>
      <c r="U196" s="3"/>
      <c r="V196" s="3"/>
      <c r="W196" s="3"/>
      <c r="X196" s="3"/>
      <c r="Y196" s="21" t="s">
        <v>1605</v>
      </c>
      <c r="Z196" s="22" t="s">
        <v>1606</v>
      </c>
      <c r="AA196" s="23" t="str">
        <f t="shared" si="19"/>
        <v>SH Saint Helena, Ascension and Tristan da Cunha</v>
      </c>
    </row>
    <row r="197" spans="1:27" ht="12.75" customHeight="1" x14ac:dyDescent="0.35">
      <c r="A197" s="16" t="s">
        <v>1607</v>
      </c>
      <c r="B197" s="15" t="s">
        <v>1608</v>
      </c>
      <c r="C197" s="31" t="str">
        <f t="shared" si="20"/>
        <v>CRC (Costa Rican Colon)</v>
      </c>
      <c r="D197" s="3"/>
      <c r="E197" s="16" t="s">
        <v>1609</v>
      </c>
      <c r="F197" s="15">
        <v>3316</v>
      </c>
      <c r="G197" s="16" t="str">
        <f t="shared" si="1"/>
        <v>3316 (Kab. Humbang Hasundutan)</v>
      </c>
      <c r="H197" s="3"/>
      <c r="I197" s="16" t="s">
        <v>1610</v>
      </c>
      <c r="J197" s="17" t="s">
        <v>1611</v>
      </c>
      <c r="K197" s="16" t="str">
        <f t="shared" si="2"/>
        <v>024 (BANK PESONA KRIYADANA)</v>
      </c>
      <c r="L197" s="3"/>
      <c r="M197" s="3"/>
      <c r="N197" s="3"/>
      <c r="O197" s="3"/>
      <c r="P197" s="3"/>
      <c r="Q197" s="3"/>
      <c r="R197" s="3"/>
      <c r="S197" s="3"/>
      <c r="T197" s="3"/>
      <c r="U197" s="3"/>
      <c r="V197" s="3"/>
      <c r="W197" s="3"/>
      <c r="X197" s="3"/>
      <c r="Y197" s="21" t="s">
        <v>1612</v>
      </c>
      <c r="Z197" s="22" t="s">
        <v>1613</v>
      </c>
      <c r="AA197" s="23" t="str">
        <f t="shared" ref="AA197:AA254" si="21">CONCATENATE(Y197," ",Z197)</f>
        <v>KN Saint Kitts and Nevis</v>
      </c>
    </row>
    <row r="198" spans="1:27" ht="12.75" customHeight="1" x14ac:dyDescent="0.35">
      <c r="A198" s="16" t="s">
        <v>1614</v>
      </c>
      <c r="B198" s="15" t="s">
        <v>1615</v>
      </c>
      <c r="C198" s="31" t="str">
        <f t="shared" si="20"/>
        <v>HRK (Croatian Kuna)</v>
      </c>
      <c r="D198" s="3"/>
      <c r="E198" s="16" t="s">
        <v>1616</v>
      </c>
      <c r="F198" s="15">
        <v>3317</v>
      </c>
      <c r="G198" s="16" t="str">
        <f t="shared" si="1"/>
        <v>3317 (Kab. Pakpak Bharat)</v>
      </c>
      <c r="H198" s="3"/>
      <c r="I198" s="16" t="s">
        <v>1617</v>
      </c>
      <c r="J198" s="17" t="s">
        <v>1618</v>
      </c>
      <c r="K198" s="16" t="str">
        <f t="shared" si="2"/>
        <v>543 (BANK PUTERA MULTIKARSA)</v>
      </c>
      <c r="L198" s="3"/>
      <c r="M198" s="3"/>
      <c r="N198" s="3"/>
      <c r="O198" s="3"/>
      <c r="P198" s="3"/>
      <c r="Q198" s="3"/>
      <c r="R198" s="3"/>
      <c r="S198" s="3"/>
      <c r="T198" s="3"/>
      <c r="U198" s="3"/>
      <c r="V198" s="3"/>
      <c r="W198" s="3"/>
      <c r="X198" s="3"/>
      <c r="Y198" s="21" t="s">
        <v>1619</v>
      </c>
      <c r="Z198" s="22" t="s">
        <v>1620</v>
      </c>
      <c r="AA198" s="23" t="str">
        <f t="shared" si="21"/>
        <v>PM Saint Pierre and Miquelon</v>
      </c>
    </row>
    <row r="199" spans="1:27" ht="12.75" customHeight="1" x14ac:dyDescent="0.35">
      <c r="A199" s="16" t="s">
        <v>1621</v>
      </c>
      <c r="B199" s="15" t="s">
        <v>1622</v>
      </c>
      <c r="C199" s="31" t="str">
        <f t="shared" si="20"/>
        <v>CUP (Cuban Peso)</v>
      </c>
      <c r="D199" s="3"/>
      <c r="E199" s="16" t="s">
        <v>1623</v>
      </c>
      <c r="F199" s="15">
        <v>3318</v>
      </c>
      <c r="G199" s="16" t="str">
        <f t="shared" si="1"/>
        <v>3318 (Kab. Samosir)</v>
      </c>
      <c r="H199" s="3"/>
      <c r="I199" s="16" t="s">
        <v>1624</v>
      </c>
      <c r="J199" s="17" t="s">
        <v>1625</v>
      </c>
      <c r="K199" s="16" t="str">
        <f t="shared" si="2"/>
        <v>163 (BANK PUTERA SURYA PERKASA)</v>
      </c>
      <c r="L199" s="3"/>
      <c r="M199" s="3"/>
      <c r="N199" s="3"/>
      <c r="O199" s="3"/>
      <c r="P199" s="3"/>
      <c r="Q199" s="3"/>
      <c r="R199" s="3"/>
      <c r="S199" s="3"/>
      <c r="T199" s="3"/>
      <c r="U199" s="3"/>
      <c r="V199" s="3"/>
      <c r="W199" s="3"/>
      <c r="X199" s="3"/>
      <c r="Y199" s="21" t="s">
        <v>1626</v>
      </c>
      <c r="Z199" s="22" t="s">
        <v>1627</v>
      </c>
      <c r="AA199" s="23" t="str">
        <f t="shared" si="21"/>
        <v>VC Saint Vincent and the Grenadines</v>
      </c>
    </row>
    <row r="200" spans="1:27" ht="12.75" customHeight="1" x14ac:dyDescent="0.35">
      <c r="A200" s="16" t="s">
        <v>1628</v>
      </c>
      <c r="B200" s="15" t="s">
        <v>1629</v>
      </c>
      <c r="C200" s="31" t="str">
        <f t="shared" si="20"/>
        <v>CYP (Cypriot Pound)</v>
      </c>
      <c r="D200" s="3"/>
      <c r="E200" s="16" t="s">
        <v>1630</v>
      </c>
      <c r="F200" s="15">
        <v>3319</v>
      </c>
      <c r="G200" s="16" t="str">
        <f t="shared" si="1"/>
        <v>3319 (Kab. Serdang Bedagai)</v>
      </c>
      <c r="H200" s="3"/>
      <c r="I200" s="16" t="s">
        <v>1631</v>
      </c>
      <c r="J200" s="17" t="s">
        <v>1632</v>
      </c>
      <c r="K200" s="16" t="str">
        <f t="shared" si="2"/>
        <v>150 (BANK SAHID GAJAH PERKASA)</v>
      </c>
      <c r="L200" s="3"/>
      <c r="M200" s="3"/>
      <c r="N200" s="3"/>
      <c r="O200" s="3"/>
      <c r="P200" s="3"/>
      <c r="Q200" s="3"/>
      <c r="R200" s="3"/>
      <c r="S200" s="3"/>
      <c r="T200" s="3"/>
      <c r="U200" s="3"/>
      <c r="V200" s="3"/>
      <c r="W200" s="3"/>
      <c r="X200" s="3"/>
      <c r="Y200" s="21" t="s">
        <v>1633</v>
      </c>
      <c r="Z200" s="22" t="s">
        <v>1634</v>
      </c>
      <c r="AA200" s="23" t="str">
        <f t="shared" si="21"/>
        <v>SD Sudan (the)</v>
      </c>
    </row>
    <row r="201" spans="1:27" ht="12.75" customHeight="1" x14ac:dyDescent="0.35">
      <c r="A201" s="16" t="s">
        <v>1635</v>
      </c>
      <c r="B201" s="15" t="s">
        <v>1636</v>
      </c>
      <c r="C201" s="31" t="str">
        <f t="shared" si="20"/>
        <v>CZK (Czech Koruna)</v>
      </c>
      <c r="D201" s="3"/>
      <c r="E201" s="16" t="s">
        <v>1637</v>
      </c>
      <c r="F201" s="15">
        <v>3320</v>
      </c>
      <c r="G201" s="16" t="str">
        <f t="shared" si="1"/>
        <v>3320 (Kab. Angkola Sipirok)</v>
      </c>
      <c r="H201" s="3"/>
      <c r="I201" s="16" t="s">
        <v>1638</v>
      </c>
      <c r="J201" s="17" t="s">
        <v>1639</v>
      </c>
      <c r="K201" s="16" t="str">
        <f t="shared" si="2"/>
        <v>557 (BANK SEMBADA ARTANUGROHO (SANHO BANK))</v>
      </c>
      <c r="L201" s="3"/>
      <c r="M201" s="3"/>
      <c r="N201" s="3"/>
      <c r="O201" s="3"/>
      <c r="P201" s="3"/>
      <c r="Q201" s="3"/>
      <c r="R201" s="3"/>
      <c r="S201" s="3"/>
      <c r="T201" s="3"/>
      <c r="U201" s="3"/>
      <c r="V201" s="3"/>
      <c r="W201" s="3"/>
      <c r="X201" s="3"/>
      <c r="Y201" s="21" t="s">
        <v>1640</v>
      </c>
      <c r="Z201" s="22" t="s">
        <v>1641</v>
      </c>
      <c r="AA201" s="23" t="str">
        <f t="shared" si="21"/>
        <v>SR Suriname</v>
      </c>
    </row>
    <row r="202" spans="1:27" ht="12.75" customHeight="1" x14ac:dyDescent="0.35">
      <c r="A202" s="16" t="s">
        <v>1642</v>
      </c>
      <c r="B202" s="15" t="s">
        <v>1643</v>
      </c>
      <c r="C202" s="31" t="str">
        <f t="shared" si="20"/>
        <v>DKK (Danish Krone)</v>
      </c>
      <c r="D202" s="3"/>
      <c r="E202" s="16" t="s">
        <v>1644</v>
      </c>
      <c r="F202" s="15">
        <v>3321</v>
      </c>
      <c r="G202" s="16" t="str">
        <f t="shared" si="1"/>
        <v>3321 (Kab. Batu Bara)</v>
      </c>
      <c r="H202" s="3"/>
      <c r="I202" s="16" t="s">
        <v>1645</v>
      </c>
      <c r="J202" s="17" t="s">
        <v>1646</v>
      </c>
      <c r="K202" s="16" t="str">
        <f t="shared" si="2"/>
        <v>514 (BANK SEWU INTERNASIONAL)</v>
      </c>
      <c r="L202" s="3"/>
      <c r="M202" s="3"/>
      <c r="N202" s="3"/>
      <c r="O202" s="3"/>
      <c r="P202" s="3"/>
      <c r="Q202" s="3"/>
      <c r="R202" s="3"/>
      <c r="S202" s="3"/>
      <c r="T202" s="3"/>
      <c r="U202" s="3"/>
      <c r="V202" s="3"/>
      <c r="W202" s="3"/>
      <c r="X202" s="3"/>
      <c r="Y202" s="21" t="s">
        <v>1647</v>
      </c>
      <c r="Z202" s="22" t="s">
        <v>1648</v>
      </c>
      <c r="AA202" s="23" t="str">
        <f t="shared" si="21"/>
        <v>SJ Svalbard and Jan Mayen</v>
      </c>
    </row>
    <row r="203" spans="1:27" ht="12.75" customHeight="1" x14ac:dyDescent="0.35">
      <c r="A203" s="16" t="s">
        <v>1649</v>
      </c>
      <c r="B203" s="15" t="s">
        <v>1650</v>
      </c>
      <c r="C203" s="31" t="str">
        <f t="shared" si="20"/>
        <v>DJF (Djibouti Franc)</v>
      </c>
      <c r="D203" s="3"/>
      <c r="E203" s="16" t="s">
        <v>1651</v>
      </c>
      <c r="F203" s="15">
        <v>3322</v>
      </c>
      <c r="G203" s="16" t="str">
        <f t="shared" si="1"/>
        <v>3322 (Kab. Padang Lawas)</v>
      </c>
      <c r="H203" s="3"/>
      <c r="I203" s="16" t="s">
        <v>1652</v>
      </c>
      <c r="J203" s="17" t="s">
        <v>1653</v>
      </c>
      <c r="K203" s="16" t="str">
        <f t="shared" si="2"/>
        <v>486 (BANK SINO)</v>
      </c>
      <c r="L203" s="3"/>
      <c r="M203" s="3"/>
      <c r="N203" s="3"/>
      <c r="O203" s="3"/>
      <c r="P203" s="3"/>
      <c r="Q203" s="3"/>
      <c r="R203" s="3"/>
      <c r="S203" s="3"/>
      <c r="T203" s="3"/>
      <c r="U203" s="3"/>
      <c r="V203" s="3"/>
      <c r="W203" s="3"/>
      <c r="X203" s="3"/>
      <c r="Y203" s="21" t="s">
        <v>1654</v>
      </c>
      <c r="Z203" s="22" t="s">
        <v>1655</v>
      </c>
      <c r="AA203" s="23" t="str">
        <f t="shared" si="21"/>
        <v>SZ Eswatini</v>
      </c>
    </row>
    <row r="204" spans="1:27" ht="12.75" customHeight="1" x14ac:dyDescent="0.35">
      <c r="A204" s="16" t="s">
        <v>1656</v>
      </c>
      <c r="B204" s="15" t="s">
        <v>1657</v>
      </c>
      <c r="C204" s="31" t="str">
        <f t="shared" si="20"/>
        <v>DOP (Dominican Republic Peso)</v>
      </c>
      <c r="D204" s="3"/>
      <c r="E204" s="16" t="s">
        <v>1658</v>
      </c>
      <c r="F204" s="15">
        <v>3323</v>
      </c>
      <c r="G204" s="16" t="str">
        <f t="shared" si="1"/>
        <v>3323 (Kab. Padang Lawas Utara)</v>
      </c>
      <c r="H204" s="3"/>
      <c r="I204" s="16" t="s">
        <v>1659</v>
      </c>
      <c r="J204" s="17" t="s">
        <v>1660</v>
      </c>
      <c r="K204" s="16" t="str">
        <f t="shared" si="2"/>
        <v>154 (BANK TATA INTERNATIONAL)</v>
      </c>
      <c r="L204" s="3"/>
      <c r="M204" s="3"/>
      <c r="N204" s="3"/>
      <c r="O204" s="3"/>
      <c r="P204" s="3"/>
      <c r="Q204" s="3"/>
      <c r="R204" s="3"/>
      <c r="S204" s="3"/>
      <c r="T204" s="3"/>
      <c r="U204" s="3"/>
      <c r="V204" s="3"/>
      <c r="W204" s="3"/>
      <c r="X204" s="3"/>
      <c r="Y204" s="21" t="s">
        <v>1661</v>
      </c>
      <c r="Z204" s="22" t="s">
        <v>1662</v>
      </c>
      <c r="AA204" s="23" t="str">
        <f t="shared" si="21"/>
        <v>SE Sweden</v>
      </c>
    </row>
    <row r="205" spans="1:27" ht="12.75" customHeight="1" x14ac:dyDescent="0.35">
      <c r="A205" s="16" t="s">
        <v>1663</v>
      </c>
      <c r="B205" s="15" t="s">
        <v>1664</v>
      </c>
      <c r="C205" s="31" t="str">
        <f t="shared" si="20"/>
        <v>ECS (Ecuaderean Sucre)</v>
      </c>
      <c r="D205" s="3"/>
      <c r="E205" s="16" t="s">
        <v>1665</v>
      </c>
      <c r="F205" s="15">
        <v>3324</v>
      </c>
      <c r="G205" s="16" t="str">
        <f t="shared" si="1"/>
        <v>3324 (Kab. Labuhanbatu Selatan)</v>
      </c>
      <c r="H205" s="3"/>
      <c r="I205" s="16" t="s">
        <v>1666</v>
      </c>
      <c r="J205" s="17" t="s">
        <v>1667</v>
      </c>
      <c r="K205" s="16" t="str">
        <f t="shared" si="2"/>
        <v>086 (BANK UMUM SERVITIA)</v>
      </c>
      <c r="L205" s="3"/>
      <c r="M205" s="3"/>
      <c r="N205" s="3"/>
      <c r="O205" s="3"/>
      <c r="P205" s="3"/>
      <c r="Q205" s="3"/>
      <c r="R205" s="3"/>
      <c r="S205" s="3"/>
      <c r="T205" s="3"/>
      <c r="U205" s="3"/>
      <c r="V205" s="3"/>
      <c r="W205" s="3"/>
      <c r="X205" s="3"/>
      <c r="Y205" s="21" t="s">
        <v>1668</v>
      </c>
      <c r="Z205" s="22" t="s">
        <v>1669</v>
      </c>
      <c r="AA205" s="23" t="str">
        <f t="shared" si="21"/>
        <v>CH Switzerland</v>
      </c>
    </row>
    <row r="206" spans="1:27" ht="12.75" customHeight="1" x14ac:dyDescent="0.35">
      <c r="A206" s="16" t="s">
        <v>1670</v>
      </c>
      <c r="B206" s="15" t="s">
        <v>1671</v>
      </c>
      <c r="C206" s="31" t="str">
        <f t="shared" si="20"/>
        <v>EGP (Egyptian Pound)</v>
      </c>
      <c r="D206" s="3"/>
      <c r="E206" s="16" t="s">
        <v>1672</v>
      </c>
      <c r="F206" s="15">
        <v>3325</v>
      </c>
      <c r="G206" s="16" t="str">
        <f t="shared" si="1"/>
        <v>3325 (Kab. Labuhanbatu Utara)</v>
      </c>
      <c r="H206" s="3"/>
      <c r="I206" s="16" t="s">
        <v>1673</v>
      </c>
      <c r="J206" s="17" t="s">
        <v>1674</v>
      </c>
      <c r="K206" s="16" t="str">
        <f t="shared" si="2"/>
        <v>065 (BANK USAHA PEMBIAYAAN PEMBANGUNAN INDONESIA (UPPINDO))</v>
      </c>
      <c r="L206" s="3"/>
      <c r="M206" s="3"/>
      <c r="N206" s="3"/>
      <c r="O206" s="3"/>
      <c r="P206" s="3"/>
      <c r="Q206" s="3"/>
      <c r="R206" s="3"/>
      <c r="S206" s="3"/>
      <c r="T206" s="3"/>
      <c r="U206" s="3"/>
      <c r="V206" s="3"/>
      <c r="W206" s="3"/>
      <c r="X206" s="3"/>
      <c r="Y206" s="21" t="s">
        <v>1675</v>
      </c>
      <c r="Z206" s="22" t="s">
        <v>1676</v>
      </c>
      <c r="AA206" s="23" t="str">
        <f t="shared" si="21"/>
        <v>SY Syrian Arab Republic</v>
      </c>
    </row>
    <row r="207" spans="1:27" ht="12.75" customHeight="1" x14ac:dyDescent="0.35">
      <c r="A207" s="16" t="s">
        <v>1677</v>
      </c>
      <c r="B207" s="15" t="s">
        <v>1678</v>
      </c>
      <c r="C207" s="31" t="str">
        <f t="shared" si="20"/>
        <v>SVC (El Savador Colon)</v>
      </c>
      <c r="D207" s="3"/>
      <c r="E207" s="16" t="s">
        <v>1679</v>
      </c>
      <c r="F207" s="15">
        <v>3326</v>
      </c>
      <c r="G207" s="16" t="str">
        <f t="shared" si="1"/>
        <v>3326 (Kab. Nias Barat)</v>
      </c>
      <c r="H207" s="3"/>
      <c r="I207" s="16" t="s">
        <v>1680</v>
      </c>
      <c r="J207" s="17" t="s">
        <v>1681</v>
      </c>
      <c r="K207" s="16" t="str">
        <f t="shared" si="2"/>
        <v>600 (BANK PERKREDITAN RAKYAT (BPR))</v>
      </c>
      <c r="L207" s="3"/>
      <c r="M207" s="3"/>
      <c r="N207" s="3"/>
      <c r="O207" s="3"/>
      <c r="P207" s="3"/>
      <c r="Q207" s="3"/>
      <c r="R207" s="3"/>
      <c r="S207" s="3"/>
      <c r="T207" s="3"/>
      <c r="U207" s="3"/>
      <c r="V207" s="3"/>
      <c r="W207" s="3"/>
      <c r="X207" s="3"/>
      <c r="Y207" s="21" t="s">
        <v>1682</v>
      </c>
      <c r="Z207" s="22" t="s">
        <v>1683</v>
      </c>
      <c r="AA207" s="23" t="str">
        <f t="shared" si="21"/>
        <v>TW Taiwan (Province of China)</v>
      </c>
    </row>
    <row r="208" spans="1:27" ht="12.75" customHeight="1" x14ac:dyDescent="0.35">
      <c r="A208" s="16" t="s">
        <v>1684</v>
      </c>
      <c r="B208" s="15" t="s">
        <v>1685</v>
      </c>
      <c r="C208" s="31" t="str">
        <f t="shared" si="20"/>
        <v>ERN (Eritreian Nakfa)</v>
      </c>
      <c r="D208" s="3"/>
      <c r="E208" s="16" t="s">
        <v>1686</v>
      </c>
      <c r="F208" s="15">
        <v>3327</v>
      </c>
      <c r="G208" s="16" t="str">
        <f t="shared" si="1"/>
        <v>3327 (Kab. Nias Utara)</v>
      </c>
      <c r="H208" s="3"/>
      <c r="I208" s="16" t="s">
        <v>1687</v>
      </c>
      <c r="J208" s="17" t="s">
        <v>1688</v>
      </c>
      <c r="K208" s="16" t="str">
        <f t="shared" si="2"/>
        <v>601 (BANK PERKREDITAN RAKYAT SYARIAH (BPRS))</v>
      </c>
      <c r="L208" s="3"/>
      <c r="M208" s="3"/>
      <c r="N208" s="3"/>
      <c r="O208" s="3"/>
      <c r="P208" s="3"/>
      <c r="Q208" s="3"/>
      <c r="R208" s="3"/>
      <c r="S208" s="3"/>
      <c r="T208" s="3"/>
      <c r="U208" s="3"/>
      <c r="V208" s="3"/>
      <c r="W208" s="3"/>
      <c r="X208" s="3"/>
      <c r="Y208" s="21" t="s">
        <v>1689</v>
      </c>
      <c r="Z208" s="22" t="s">
        <v>1690</v>
      </c>
      <c r="AA208" s="23" t="str">
        <f t="shared" si="21"/>
        <v>TJ Tajikistan</v>
      </c>
    </row>
    <row r="209" spans="1:27" ht="12.75" customHeight="1" x14ac:dyDescent="0.35">
      <c r="A209" s="16" t="s">
        <v>1691</v>
      </c>
      <c r="B209" s="15" t="s">
        <v>1692</v>
      </c>
      <c r="C209" s="31" t="str">
        <f t="shared" si="20"/>
        <v>EEK (Estonian Kroon)</v>
      </c>
      <c r="D209" s="3"/>
      <c r="E209" s="16" t="s">
        <v>1693</v>
      </c>
      <c r="F209" s="15">
        <v>3391</v>
      </c>
      <c r="G209" s="16" t="str">
        <f t="shared" si="1"/>
        <v>3391 (Kota Tebing Tinggi)</v>
      </c>
      <c r="H209" s="3"/>
      <c r="I209" s="16" t="s">
        <v>1694</v>
      </c>
      <c r="J209" s="52">
        <v>600001</v>
      </c>
      <c r="K209" s="16" t="str">
        <f t="shared" si="2"/>
        <v>600001 (PT. BPR Jawa Timur)</v>
      </c>
      <c r="L209" s="3"/>
      <c r="M209" s="3"/>
      <c r="N209" s="3"/>
      <c r="O209" s="3"/>
      <c r="P209" s="3"/>
      <c r="Q209" s="3"/>
      <c r="R209" s="3"/>
      <c r="S209" s="3"/>
      <c r="T209" s="3"/>
      <c r="U209" s="3"/>
      <c r="V209" s="3"/>
      <c r="W209" s="3"/>
      <c r="X209" s="3"/>
      <c r="Y209" s="21" t="s">
        <v>1695</v>
      </c>
      <c r="Z209" s="22" t="s">
        <v>1696</v>
      </c>
      <c r="AA209" s="23" t="str">
        <f t="shared" si="21"/>
        <v>TZ Tanzania, United Republic of</v>
      </c>
    </row>
    <row r="210" spans="1:27" ht="12.75" customHeight="1" x14ac:dyDescent="0.35">
      <c r="A210" s="16" t="s">
        <v>1697</v>
      </c>
      <c r="B210" s="15" t="s">
        <v>1698</v>
      </c>
      <c r="C210" s="31" t="str">
        <f t="shared" si="20"/>
        <v>ETB (Ethiopian Birr)</v>
      </c>
      <c r="D210" s="3"/>
      <c r="E210" s="16" t="s">
        <v>1699</v>
      </c>
      <c r="F210" s="15">
        <v>3392</v>
      </c>
      <c r="G210" s="16" t="str">
        <f t="shared" si="1"/>
        <v>3392 (Kota Binjai)</v>
      </c>
      <c r="H210" s="3"/>
      <c r="I210" s="16" t="s">
        <v>1700</v>
      </c>
      <c r="J210" s="52">
        <v>600002</v>
      </c>
      <c r="K210" s="16" t="str">
        <f t="shared" si="2"/>
        <v>600002 (PT. BPR Anugrah Swakerta)</v>
      </c>
      <c r="L210" s="3"/>
      <c r="M210" s="3"/>
      <c r="N210" s="3"/>
      <c r="O210" s="3"/>
      <c r="P210" s="3"/>
      <c r="Q210" s="3"/>
      <c r="R210" s="3"/>
      <c r="S210" s="3"/>
      <c r="T210" s="3"/>
      <c r="U210" s="3"/>
      <c r="V210" s="3"/>
      <c r="W210" s="3"/>
      <c r="X210" s="3"/>
      <c r="Y210" s="21" t="s">
        <v>1701</v>
      </c>
      <c r="Z210" s="22" t="s">
        <v>1702</v>
      </c>
      <c r="AA210" s="23" t="str">
        <f t="shared" si="21"/>
        <v>TH Thailand</v>
      </c>
    </row>
    <row r="211" spans="1:27" ht="12.75" customHeight="1" x14ac:dyDescent="0.35">
      <c r="A211" s="16" t="s">
        <v>1703</v>
      </c>
      <c r="B211" s="15" t="s">
        <v>1704</v>
      </c>
      <c r="C211" s="31" t="str">
        <f t="shared" si="20"/>
        <v>EUR (European Community)</v>
      </c>
      <c r="D211" s="3"/>
      <c r="E211" s="16" t="s">
        <v>1705</v>
      </c>
      <c r="F211" s="15">
        <v>3393</v>
      </c>
      <c r="G211" s="16" t="str">
        <f t="shared" si="1"/>
        <v>3393 (Kota Pematang Siantar)</v>
      </c>
      <c r="H211" s="3"/>
      <c r="I211" s="16" t="s">
        <v>1706</v>
      </c>
      <c r="J211" s="52">
        <v>600003</v>
      </c>
      <c r="K211" s="16" t="str">
        <f t="shared" si="2"/>
        <v>600003 (PT. BPR Shinta Putra Pengasih)</v>
      </c>
      <c r="L211" s="3"/>
      <c r="M211" s="3"/>
      <c r="N211" s="3"/>
      <c r="O211" s="3"/>
      <c r="P211" s="3"/>
      <c r="Q211" s="3"/>
      <c r="R211" s="3"/>
      <c r="S211" s="3"/>
      <c r="T211" s="3"/>
      <c r="U211" s="3"/>
      <c r="V211" s="3"/>
      <c r="W211" s="3"/>
      <c r="X211" s="3"/>
      <c r="Y211" s="21" t="s">
        <v>1707</v>
      </c>
      <c r="Z211" s="22" t="s">
        <v>1708</v>
      </c>
      <c r="AA211" s="23" t="str">
        <f t="shared" si="21"/>
        <v>TL Timor-Leste</v>
      </c>
    </row>
    <row r="212" spans="1:27" ht="12.75" customHeight="1" x14ac:dyDescent="0.35">
      <c r="A212" s="16" t="s">
        <v>1709</v>
      </c>
      <c r="B212" s="15" t="s">
        <v>1710</v>
      </c>
      <c r="C212" s="31" t="str">
        <f t="shared" si="20"/>
        <v>FKP (Falkland Islandss Pound)</v>
      </c>
      <c r="D212" s="3"/>
      <c r="E212" s="16" t="s">
        <v>1711</v>
      </c>
      <c r="F212" s="15">
        <v>3394</v>
      </c>
      <c r="G212" s="16" t="str">
        <f t="shared" si="1"/>
        <v>3394 (Kota Tanjung Balai)</v>
      </c>
      <c r="H212" s="3"/>
      <c r="I212" s="16" t="s">
        <v>1712</v>
      </c>
      <c r="J212" s="52">
        <v>600004</v>
      </c>
      <c r="K212" s="16" t="str">
        <f t="shared" si="2"/>
        <v>600004 (PT. BPR Tandu Artha)</v>
      </c>
      <c r="L212" s="3"/>
      <c r="M212" s="3"/>
      <c r="N212" s="3"/>
      <c r="O212" s="3"/>
      <c r="P212" s="3"/>
      <c r="Q212" s="3"/>
      <c r="R212" s="3"/>
      <c r="S212" s="3"/>
      <c r="T212" s="3"/>
      <c r="U212" s="3"/>
      <c r="V212" s="3"/>
      <c r="W212" s="3"/>
      <c r="X212" s="3"/>
      <c r="Y212" s="21" t="s">
        <v>1713</v>
      </c>
      <c r="Z212" s="22" t="s">
        <v>1714</v>
      </c>
      <c r="AA212" s="23" t="str">
        <f t="shared" si="21"/>
        <v>TK Tokelau</v>
      </c>
    </row>
    <row r="213" spans="1:27" ht="12.75" customHeight="1" x14ac:dyDescent="0.35">
      <c r="A213" s="16" t="s">
        <v>1715</v>
      </c>
      <c r="B213" s="15" t="s">
        <v>1716</v>
      </c>
      <c r="C213" s="31" t="str">
        <f t="shared" si="20"/>
        <v>FJD (Fiji Dollar)</v>
      </c>
      <c r="D213" s="3"/>
      <c r="E213" s="16" t="s">
        <v>1717</v>
      </c>
      <c r="F213" s="15">
        <v>3395</v>
      </c>
      <c r="G213" s="16" t="str">
        <f t="shared" si="1"/>
        <v>3395 (Kota Sibolga)</v>
      </c>
      <c r="H213" s="3"/>
      <c r="I213" s="16" t="s">
        <v>1718</v>
      </c>
      <c r="J213" s="52">
        <v>600005</v>
      </c>
      <c r="K213" s="16" t="str">
        <f t="shared" si="2"/>
        <v>600005 (PT BPR Narwastu Mikro Perkasa)</v>
      </c>
      <c r="L213" s="3"/>
      <c r="M213" s="3"/>
      <c r="N213" s="3"/>
      <c r="O213" s="3"/>
      <c r="P213" s="3"/>
      <c r="Q213" s="3"/>
      <c r="R213" s="3"/>
      <c r="S213" s="3"/>
      <c r="T213" s="3"/>
      <c r="U213" s="3"/>
      <c r="V213" s="3"/>
      <c r="W213" s="3"/>
      <c r="X213" s="3"/>
      <c r="Y213" s="21" t="s">
        <v>1719</v>
      </c>
      <c r="Z213" s="22" t="s">
        <v>1720</v>
      </c>
      <c r="AA213" s="23" t="str">
        <f t="shared" si="21"/>
        <v>TO Tonga</v>
      </c>
    </row>
    <row r="214" spans="1:27" ht="12.75" customHeight="1" x14ac:dyDescent="0.35">
      <c r="A214" s="16" t="s">
        <v>1721</v>
      </c>
      <c r="B214" s="15" t="s">
        <v>1722</v>
      </c>
      <c r="C214" s="31" t="str">
        <f t="shared" si="20"/>
        <v>FIM (Finnis Markka)</v>
      </c>
      <c r="D214" s="3"/>
      <c r="E214" s="16" t="s">
        <v>1723</v>
      </c>
      <c r="F214" s="15">
        <v>3396</v>
      </c>
      <c r="G214" s="16" t="str">
        <f t="shared" si="1"/>
        <v>3396 (Kota Medan)</v>
      </c>
      <c r="H214" s="3"/>
      <c r="I214" s="16" t="s">
        <v>1724</v>
      </c>
      <c r="J214" s="52">
        <v>600007</v>
      </c>
      <c r="K214" s="16" t="str">
        <f t="shared" si="2"/>
        <v>600007 (PT. BPR Cikarang Raharja)</v>
      </c>
      <c r="L214" s="3"/>
      <c r="M214" s="3"/>
      <c r="N214" s="3"/>
      <c r="O214" s="3"/>
      <c r="P214" s="3"/>
      <c r="Q214" s="3"/>
      <c r="R214" s="3"/>
      <c r="S214" s="3"/>
      <c r="T214" s="3"/>
      <c r="U214" s="3"/>
      <c r="V214" s="3"/>
      <c r="W214" s="3"/>
      <c r="X214" s="3"/>
      <c r="Y214" s="21" t="s">
        <v>1725</v>
      </c>
      <c r="Z214" s="22" t="s">
        <v>1726</v>
      </c>
      <c r="AA214" s="23" t="str">
        <f t="shared" si="21"/>
        <v>TT Trinidad and Tobago</v>
      </c>
    </row>
    <row r="215" spans="1:27" ht="12.75" customHeight="1" x14ac:dyDescent="0.35">
      <c r="A215" s="16" t="s">
        <v>1727</v>
      </c>
      <c r="B215" s="15" t="s">
        <v>1728</v>
      </c>
      <c r="C215" s="31" t="str">
        <f t="shared" si="20"/>
        <v>XPF (Franc Pacific Is.Fran)</v>
      </c>
      <c r="D215" s="3"/>
      <c r="E215" s="16" t="s">
        <v>1729</v>
      </c>
      <c r="F215" s="15">
        <v>3399</v>
      </c>
      <c r="G215" s="16" t="str">
        <f t="shared" si="1"/>
        <v>3399 (Kota Padang Sidempuan)</v>
      </c>
      <c r="H215" s="3"/>
      <c r="I215" s="16" t="s">
        <v>1730</v>
      </c>
      <c r="J215" s="52">
        <v>600008</v>
      </c>
      <c r="K215" s="16" t="str">
        <f t="shared" si="2"/>
        <v>600008 (PT. BPR Pesona Letris Pratama)</v>
      </c>
      <c r="L215" s="3"/>
      <c r="M215" s="3"/>
      <c r="N215" s="3"/>
      <c r="O215" s="3"/>
      <c r="P215" s="3"/>
      <c r="Q215" s="3"/>
      <c r="R215" s="3"/>
      <c r="S215" s="3"/>
      <c r="T215" s="3"/>
      <c r="U215" s="3"/>
      <c r="V215" s="3"/>
      <c r="W215" s="3"/>
      <c r="X215" s="3"/>
      <c r="Y215" s="21" t="s">
        <v>1731</v>
      </c>
      <c r="Z215" s="22" t="s">
        <v>1732</v>
      </c>
      <c r="AA215" s="23" t="str">
        <f t="shared" si="21"/>
        <v>TN Tunisia</v>
      </c>
    </row>
    <row r="216" spans="1:27" ht="12.75" customHeight="1" x14ac:dyDescent="0.35">
      <c r="A216" s="16" t="s">
        <v>1733</v>
      </c>
      <c r="B216" s="15" t="s">
        <v>1734</v>
      </c>
      <c r="C216" s="31" t="str">
        <f t="shared" si="20"/>
        <v>GMD (Gambian Dalasi)</v>
      </c>
      <c r="D216" s="3"/>
      <c r="E216" s="16" t="s">
        <v>1735</v>
      </c>
      <c r="F216" s="15">
        <v>3388</v>
      </c>
      <c r="G216" s="16" t="str">
        <f t="shared" si="1"/>
        <v>3388 (Kab/Kota Lainnya)</v>
      </c>
      <c r="H216" s="3"/>
      <c r="I216" s="16" t="s">
        <v>1736</v>
      </c>
      <c r="J216" s="52">
        <v>600009</v>
      </c>
      <c r="K216" s="16" t="str">
        <f t="shared" si="2"/>
        <v>600009 (PT. BPR Citra Ladon Rahardja)</v>
      </c>
      <c r="L216" s="3"/>
      <c r="M216" s="3"/>
      <c r="N216" s="3"/>
      <c r="O216" s="3"/>
      <c r="P216" s="3"/>
      <c r="Q216" s="3"/>
      <c r="R216" s="3"/>
      <c r="S216" s="3"/>
      <c r="T216" s="3"/>
      <c r="U216" s="3"/>
      <c r="V216" s="3"/>
      <c r="W216" s="3"/>
      <c r="X216" s="3"/>
      <c r="Y216" s="21" t="s">
        <v>1737</v>
      </c>
      <c r="Z216" s="22" t="s">
        <v>1738</v>
      </c>
      <c r="AA216" s="23" t="str">
        <f t="shared" si="21"/>
        <v>TR Turkey</v>
      </c>
    </row>
    <row r="217" spans="1:27" ht="12.75" customHeight="1" x14ac:dyDescent="0.35">
      <c r="A217" s="16" t="s">
        <v>1739</v>
      </c>
      <c r="B217" s="15" t="s">
        <v>1740</v>
      </c>
      <c r="C217" s="31" t="str">
        <f t="shared" si="20"/>
        <v>GEL (Georgian Lari)</v>
      </c>
      <c r="D217" s="3"/>
      <c r="E217" s="14" t="s">
        <v>1741</v>
      </c>
      <c r="F217" s="15"/>
      <c r="G217" s="16" t="str">
        <f t="shared" si="1"/>
        <v>---- (Provinsi Sumatera Barat)</v>
      </c>
      <c r="H217" s="3"/>
      <c r="I217" s="16" t="s">
        <v>1742</v>
      </c>
      <c r="J217" s="52">
        <v>600010</v>
      </c>
      <c r="K217" s="16" t="str">
        <f t="shared" si="2"/>
        <v>600010 (PT. BPR Dana Usaha)</v>
      </c>
      <c r="L217" s="3"/>
      <c r="M217" s="3"/>
      <c r="N217" s="3"/>
      <c r="O217" s="3"/>
      <c r="P217" s="3"/>
      <c r="Q217" s="3"/>
      <c r="R217" s="3"/>
      <c r="S217" s="3"/>
      <c r="T217" s="3"/>
      <c r="U217" s="3"/>
      <c r="V217" s="3"/>
      <c r="W217" s="3"/>
      <c r="X217" s="3"/>
      <c r="Y217" s="21" t="s">
        <v>1743</v>
      </c>
      <c r="Z217" s="22" t="s">
        <v>1744</v>
      </c>
      <c r="AA217" s="23" t="str">
        <f t="shared" si="21"/>
        <v>TM Turkmenistan</v>
      </c>
    </row>
    <row r="218" spans="1:27" ht="12.75" customHeight="1" x14ac:dyDescent="0.35">
      <c r="A218" s="16" t="s">
        <v>1745</v>
      </c>
      <c r="B218" s="15" t="s">
        <v>1746</v>
      </c>
      <c r="C218" s="31" t="str">
        <f t="shared" si="20"/>
        <v>DEM (Geerman Mark)</v>
      </c>
      <c r="D218" s="3"/>
      <c r="E218" s="16" t="s">
        <v>1747</v>
      </c>
      <c r="F218" s="15">
        <v>3401</v>
      </c>
      <c r="G218" s="16" t="str">
        <f t="shared" si="1"/>
        <v>3401 (Kab. Agam)</v>
      </c>
      <c r="H218" s="3"/>
      <c r="I218" s="16" t="s">
        <v>1748</v>
      </c>
      <c r="J218" s="52">
        <v>600011</v>
      </c>
      <c r="K218" s="16" t="str">
        <f t="shared" si="2"/>
        <v>600011 (PT. BPR Bumiasih NBP 22 d/h Muara NBP)</v>
      </c>
      <c r="L218" s="3"/>
      <c r="M218" s="3"/>
      <c r="N218" s="3"/>
      <c r="O218" s="3"/>
      <c r="P218" s="3"/>
      <c r="Q218" s="3"/>
      <c r="R218" s="3"/>
      <c r="S218" s="3"/>
      <c r="T218" s="3"/>
      <c r="U218" s="3"/>
      <c r="V218" s="3"/>
      <c r="W218" s="3"/>
      <c r="X218" s="3"/>
      <c r="Y218" s="21" t="s">
        <v>1749</v>
      </c>
      <c r="Z218" s="22" t="s">
        <v>1750</v>
      </c>
      <c r="AA218" s="23" t="str">
        <f t="shared" si="21"/>
        <v>TC Turks and Caicos Islands (the)</v>
      </c>
    </row>
    <row r="219" spans="1:27" ht="12.75" customHeight="1" x14ac:dyDescent="0.35">
      <c r="A219" s="16" t="s">
        <v>1751</v>
      </c>
      <c r="B219" s="15" t="s">
        <v>1752</v>
      </c>
      <c r="C219" s="31" t="str">
        <f t="shared" si="20"/>
        <v>GHC (Ghana Cedi)</v>
      </c>
      <c r="D219" s="3"/>
      <c r="E219" s="16" t="s">
        <v>1753</v>
      </c>
      <c r="F219" s="15">
        <v>3402</v>
      </c>
      <c r="G219" s="16" t="str">
        <f t="shared" si="1"/>
        <v>3402 (Kab. Pasaman)</v>
      </c>
      <c r="H219" s="3"/>
      <c r="I219" s="16" t="s">
        <v>1754</v>
      </c>
      <c r="J219" s="52">
        <v>600012</v>
      </c>
      <c r="K219" s="16" t="str">
        <f t="shared" si="2"/>
        <v>600012 (PT. BPR Daya Arta)</v>
      </c>
      <c r="L219" s="3"/>
      <c r="M219" s="3"/>
      <c r="N219" s="3"/>
      <c r="O219" s="3"/>
      <c r="P219" s="3"/>
      <c r="Q219" s="3"/>
      <c r="R219" s="3"/>
      <c r="S219" s="3"/>
      <c r="T219" s="3"/>
      <c r="U219" s="3"/>
      <c r="V219" s="3"/>
      <c r="W219" s="3"/>
      <c r="X219" s="3"/>
      <c r="Y219" s="21" t="s">
        <v>1755</v>
      </c>
      <c r="Z219" s="22" t="s">
        <v>1756</v>
      </c>
      <c r="AA219" s="23" t="str">
        <f t="shared" si="21"/>
        <v>TV Tuvalu</v>
      </c>
    </row>
    <row r="220" spans="1:27" ht="12.75" customHeight="1" x14ac:dyDescent="0.35">
      <c r="A220" s="16" t="s">
        <v>1757</v>
      </c>
      <c r="B220" s="15" t="s">
        <v>1758</v>
      </c>
      <c r="C220" s="31" t="str">
        <f t="shared" si="20"/>
        <v>GIP (Gibraltar Pound)</v>
      </c>
      <c r="D220" s="3"/>
      <c r="E220" s="16" t="s">
        <v>1759</v>
      </c>
      <c r="F220" s="15">
        <v>3403</v>
      </c>
      <c r="G220" s="16" t="str">
        <f t="shared" si="1"/>
        <v>3403 (Kab. Limapuluh Koto)</v>
      </c>
      <c r="H220" s="3"/>
      <c r="I220" s="16" t="s">
        <v>1760</v>
      </c>
      <c r="J220" s="52">
        <v>600013</v>
      </c>
      <c r="K220" s="16" t="str">
        <f t="shared" si="2"/>
        <v>600013 (PT. BPR Bumiasih NBP 24 d/h Onang Hasang)</v>
      </c>
      <c r="L220" s="3"/>
      <c r="M220" s="3"/>
      <c r="N220" s="3"/>
      <c r="O220" s="3"/>
      <c r="P220" s="3"/>
      <c r="Q220" s="3"/>
      <c r="R220" s="3"/>
      <c r="S220" s="3"/>
      <c r="T220" s="3"/>
      <c r="U220" s="3"/>
      <c r="V220" s="3"/>
      <c r="W220" s="3"/>
      <c r="X220" s="3"/>
      <c r="Y220" s="21" t="s">
        <v>1761</v>
      </c>
      <c r="Z220" s="22" t="s">
        <v>1762</v>
      </c>
      <c r="AA220" s="23" t="str">
        <f t="shared" si="21"/>
        <v>UG Uganda</v>
      </c>
    </row>
    <row r="221" spans="1:27" ht="12.75" customHeight="1" x14ac:dyDescent="0.35">
      <c r="A221" s="16" t="s">
        <v>1763</v>
      </c>
      <c r="B221" s="15" t="s">
        <v>1764</v>
      </c>
      <c r="C221" s="31" t="str">
        <f t="shared" si="20"/>
        <v>GTQ (Guatemala Quetzal)</v>
      </c>
      <c r="D221" s="3"/>
      <c r="E221" s="16" t="s">
        <v>1765</v>
      </c>
      <c r="F221" s="15">
        <v>3404</v>
      </c>
      <c r="G221" s="16" t="str">
        <f t="shared" si="1"/>
        <v>3404 (Kab. Solok Selatan)</v>
      </c>
      <c r="H221" s="3"/>
      <c r="I221" s="16" t="s">
        <v>1766</v>
      </c>
      <c r="J221" s="52">
        <v>600014</v>
      </c>
      <c r="K221" s="16" t="str">
        <f t="shared" si="2"/>
        <v>600014 (PT. BPR Muliatama Dananjaya)</v>
      </c>
      <c r="L221" s="3"/>
      <c r="M221" s="3"/>
      <c r="N221" s="3"/>
      <c r="O221" s="3"/>
      <c r="P221" s="3"/>
      <c r="Q221" s="3"/>
      <c r="R221" s="3"/>
      <c r="S221" s="3"/>
      <c r="T221" s="3"/>
      <c r="U221" s="3"/>
      <c r="V221" s="3"/>
      <c r="W221" s="3"/>
      <c r="X221" s="3"/>
      <c r="Y221" s="21" t="s">
        <v>1767</v>
      </c>
      <c r="Z221" s="22" t="s">
        <v>1768</v>
      </c>
      <c r="AA221" s="23" t="str">
        <f t="shared" si="21"/>
        <v>UA Ukraine</v>
      </c>
    </row>
    <row r="222" spans="1:27" ht="12.75" customHeight="1" x14ac:dyDescent="0.35">
      <c r="A222" s="16" t="s">
        <v>1769</v>
      </c>
      <c r="B222" s="15" t="s">
        <v>1770</v>
      </c>
      <c r="C222" s="31" t="str">
        <f t="shared" si="20"/>
        <v>GNF (Guinea Franc)</v>
      </c>
      <c r="D222" s="3"/>
      <c r="E222" s="16" t="s">
        <v>1771</v>
      </c>
      <c r="F222" s="15">
        <v>3405</v>
      </c>
      <c r="G222" s="16" t="str">
        <f t="shared" si="1"/>
        <v>3405 (Kab. Padang Pariaman)</v>
      </c>
      <c r="H222" s="3"/>
      <c r="I222" s="16" t="s">
        <v>1772</v>
      </c>
      <c r="J222" s="52">
        <v>600015</v>
      </c>
      <c r="K222" s="16" t="str">
        <f t="shared" si="2"/>
        <v>600015 (PT. BPR Panasayu Arthalayan Sejahtera)</v>
      </c>
      <c r="L222" s="3"/>
      <c r="M222" s="3"/>
      <c r="N222" s="3"/>
      <c r="O222" s="3"/>
      <c r="P222" s="3"/>
      <c r="Q222" s="3"/>
      <c r="R222" s="3"/>
      <c r="S222" s="3"/>
      <c r="T222" s="3"/>
      <c r="U222" s="3"/>
      <c r="V222" s="3"/>
      <c r="W222" s="3"/>
      <c r="X222" s="3"/>
      <c r="Y222" s="21" t="s">
        <v>1773</v>
      </c>
      <c r="Z222" s="22" t="s">
        <v>1774</v>
      </c>
      <c r="AA222" s="23" t="str">
        <f t="shared" si="21"/>
        <v>AE United Arab Emirates (the)</v>
      </c>
    </row>
    <row r="223" spans="1:27" ht="12.75" customHeight="1" x14ac:dyDescent="0.35">
      <c r="A223" s="16" t="s">
        <v>1775</v>
      </c>
      <c r="B223" s="15" t="s">
        <v>1776</v>
      </c>
      <c r="C223" s="31" t="str">
        <f t="shared" si="20"/>
        <v>GYD (Guyana Dollar)</v>
      </c>
      <c r="D223" s="3"/>
      <c r="E223" s="16" t="s">
        <v>1777</v>
      </c>
      <c r="F223" s="15">
        <v>3406</v>
      </c>
      <c r="G223" s="16" t="str">
        <f t="shared" si="1"/>
        <v>3406 (Kab. Pesisir Selatan)</v>
      </c>
      <c r="H223" s="3"/>
      <c r="I223" s="16" t="s">
        <v>1778</v>
      </c>
      <c r="J223" s="52">
        <v>600016</v>
      </c>
      <c r="K223" s="16" t="str">
        <f t="shared" si="2"/>
        <v>600016 (PT. BPR Siraya Karya Bakti)</v>
      </c>
      <c r="L223" s="3"/>
      <c r="M223" s="3"/>
      <c r="N223" s="3"/>
      <c r="O223" s="3"/>
      <c r="P223" s="3"/>
      <c r="Q223" s="3"/>
      <c r="R223" s="3"/>
      <c r="S223" s="3"/>
      <c r="T223" s="3"/>
      <c r="U223" s="3"/>
      <c r="V223" s="3"/>
      <c r="W223" s="3"/>
      <c r="X223" s="3"/>
      <c r="Y223" s="21" t="s">
        <v>1779</v>
      </c>
      <c r="Z223" s="22" t="s">
        <v>1780</v>
      </c>
      <c r="AA223" s="23" t="str">
        <f t="shared" si="21"/>
        <v>GB United Kingdom of Great Britain and Northern Ireland (the)</v>
      </c>
    </row>
    <row r="224" spans="1:27" ht="12.75" customHeight="1" x14ac:dyDescent="0.35">
      <c r="A224" s="16" t="s">
        <v>1781</v>
      </c>
      <c r="B224" s="15" t="s">
        <v>1782</v>
      </c>
      <c r="C224" s="31" t="str">
        <f t="shared" si="20"/>
        <v>HTG (Haiti Gourde)</v>
      </c>
      <c r="D224" s="3"/>
      <c r="E224" s="16" t="s">
        <v>1783</v>
      </c>
      <c r="F224" s="15">
        <v>3407</v>
      </c>
      <c r="G224" s="16" t="str">
        <f t="shared" si="1"/>
        <v>3407 (Kab. Tanah Datar)</v>
      </c>
      <c r="H224" s="3"/>
      <c r="I224" s="16" t="s">
        <v>1784</v>
      </c>
      <c r="J224" s="52">
        <v>600017</v>
      </c>
      <c r="K224" s="16" t="str">
        <f t="shared" si="2"/>
        <v>600017 (PT. BPR Akasia Mas)</v>
      </c>
      <c r="L224" s="3"/>
      <c r="M224" s="3"/>
      <c r="N224" s="3"/>
      <c r="O224" s="3"/>
      <c r="P224" s="3"/>
      <c r="Q224" s="3"/>
      <c r="R224" s="3"/>
      <c r="S224" s="3"/>
      <c r="T224" s="3"/>
      <c r="U224" s="3"/>
      <c r="V224" s="3"/>
      <c r="W224" s="3"/>
      <c r="X224" s="3"/>
      <c r="Y224" s="21" t="s">
        <v>1785</v>
      </c>
      <c r="Z224" s="22" t="s">
        <v>1786</v>
      </c>
      <c r="AA224" s="23" t="str">
        <f t="shared" si="21"/>
        <v>US United States of America (the)</v>
      </c>
    </row>
    <row r="225" spans="1:27" ht="12.75" customHeight="1" x14ac:dyDescent="0.35">
      <c r="A225" s="16" t="s">
        <v>1787</v>
      </c>
      <c r="B225" s="15" t="s">
        <v>1788</v>
      </c>
      <c r="C225" s="31" t="str">
        <f t="shared" si="20"/>
        <v>HNL (Honduras Lempira)</v>
      </c>
      <c r="D225" s="3"/>
      <c r="E225" s="16" t="s">
        <v>1789</v>
      </c>
      <c r="F225" s="15">
        <v>3408</v>
      </c>
      <c r="G225" s="16" t="str">
        <f t="shared" si="1"/>
        <v>3408 (Kab. Sawahlunto/Sijunjung)</v>
      </c>
      <c r="H225" s="3"/>
      <c r="I225" s="16" t="s">
        <v>1790</v>
      </c>
      <c r="J225" s="52">
        <v>600018</v>
      </c>
      <c r="K225" s="16" t="str">
        <f t="shared" si="2"/>
        <v>600018 (PT. BPR Nusantara Bona Pasogit 25)</v>
      </c>
      <c r="L225" s="3"/>
      <c r="M225" s="3"/>
      <c r="N225" s="3"/>
      <c r="O225" s="3"/>
      <c r="P225" s="3"/>
      <c r="Q225" s="3"/>
      <c r="R225" s="3"/>
      <c r="S225" s="3"/>
      <c r="T225" s="3"/>
      <c r="U225" s="3"/>
      <c r="V225" s="3"/>
      <c r="W225" s="3"/>
      <c r="X225" s="3"/>
      <c r="Y225" s="21" t="s">
        <v>1791</v>
      </c>
      <c r="Z225" s="22" t="s">
        <v>1792</v>
      </c>
      <c r="AA225" s="23" t="str">
        <f t="shared" si="21"/>
        <v>UY Uruguay</v>
      </c>
    </row>
    <row r="226" spans="1:27" ht="12.75" customHeight="1" x14ac:dyDescent="0.35">
      <c r="A226" s="16" t="s">
        <v>1793</v>
      </c>
      <c r="B226" s="15" t="s">
        <v>1794</v>
      </c>
      <c r="C226" s="31" t="str">
        <f t="shared" si="20"/>
        <v>HKD (Hong Kong  Dollar)</v>
      </c>
      <c r="D226" s="3"/>
      <c r="E226" s="16" t="s">
        <v>1795</v>
      </c>
      <c r="F226" s="15">
        <v>3409</v>
      </c>
      <c r="G226" s="16" t="str">
        <f t="shared" si="1"/>
        <v>3409 (Kab. Kepulauan Mentawai)</v>
      </c>
      <c r="H226" s="3"/>
      <c r="I226" s="16" t="s">
        <v>1796</v>
      </c>
      <c r="J226" s="52">
        <v>600019</v>
      </c>
      <c r="K226" s="16" t="str">
        <f t="shared" si="2"/>
        <v>600019 (PD. BPR BP Kota Bogor)</v>
      </c>
      <c r="L226" s="3"/>
      <c r="M226" s="3"/>
      <c r="N226" s="3"/>
      <c r="O226" s="3"/>
      <c r="P226" s="3"/>
      <c r="Q226" s="3"/>
      <c r="R226" s="3"/>
      <c r="S226" s="3"/>
      <c r="T226" s="3"/>
      <c r="U226" s="3"/>
      <c r="V226" s="3"/>
      <c r="W226" s="3"/>
      <c r="X226" s="3"/>
      <c r="Y226" s="21" t="s">
        <v>1797</v>
      </c>
      <c r="Z226" s="22" t="s">
        <v>1798</v>
      </c>
      <c r="AA226" s="23" t="str">
        <f t="shared" si="21"/>
        <v>UM United States Minor Outlying Islands (the)</v>
      </c>
    </row>
    <row r="227" spans="1:27" ht="12.75" customHeight="1" x14ac:dyDescent="0.35">
      <c r="A227" s="16" t="s">
        <v>1799</v>
      </c>
      <c r="B227" s="15" t="s">
        <v>1800</v>
      </c>
      <c r="C227" s="31" t="str">
        <f t="shared" si="20"/>
        <v>HUF (Hungarian Forint)</v>
      </c>
      <c r="D227" s="3"/>
      <c r="E227" s="16" t="s">
        <v>1801</v>
      </c>
      <c r="F227" s="15">
        <v>3410</v>
      </c>
      <c r="G227" s="16" t="str">
        <f t="shared" si="1"/>
        <v>3410 (Kab. Pasaman Barat)</v>
      </c>
      <c r="H227" s="3"/>
      <c r="I227" s="16" t="s">
        <v>1802</v>
      </c>
      <c r="J227" s="52">
        <v>600020</v>
      </c>
      <c r="K227" s="16" t="str">
        <f t="shared" si="2"/>
        <v>600020 (PT. BPR Marcorindo Perdana)</v>
      </c>
      <c r="L227" s="3"/>
      <c r="M227" s="3"/>
      <c r="N227" s="3"/>
      <c r="O227" s="3"/>
      <c r="P227" s="3"/>
      <c r="Q227" s="3"/>
      <c r="R227" s="3"/>
      <c r="S227" s="3"/>
      <c r="T227" s="3"/>
      <c r="U227" s="3"/>
      <c r="V227" s="3"/>
      <c r="W227" s="3"/>
      <c r="X227" s="3"/>
      <c r="Y227" s="21" t="s">
        <v>1803</v>
      </c>
      <c r="Z227" s="22" t="s">
        <v>1804</v>
      </c>
      <c r="AA227" s="23" t="str">
        <f t="shared" si="21"/>
        <v>UZ Uzbekistan</v>
      </c>
    </row>
    <row r="228" spans="1:27" ht="12.75" customHeight="1" x14ac:dyDescent="0.35">
      <c r="A228" s="16" t="s">
        <v>1805</v>
      </c>
      <c r="B228" s="15" t="s">
        <v>1806</v>
      </c>
      <c r="C228" s="31" t="str">
        <f t="shared" si="20"/>
        <v>ISK (Icelandic Krona)</v>
      </c>
      <c r="D228" s="3"/>
      <c r="E228" s="16" t="s">
        <v>1807</v>
      </c>
      <c r="F228" s="15">
        <v>3411</v>
      </c>
      <c r="G228" s="16" t="str">
        <f t="shared" si="1"/>
        <v>3411 (Kab. Dharmasraya)</v>
      </c>
      <c r="H228" s="3"/>
      <c r="I228" s="16" t="s">
        <v>1808</v>
      </c>
      <c r="J228" s="52">
        <v>600021</v>
      </c>
      <c r="K228" s="16" t="str">
        <f t="shared" si="2"/>
        <v>600021 (PT. BPR Mora)</v>
      </c>
      <c r="L228" s="3"/>
      <c r="M228" s="3"/>
      <c r="N228" s="3"/>
      <c r="O228" s="3"/>
      <c r="P228" s="3"/>
      <c r="Q228" s="3"/>
      <c r="R228" s="3"/>
      <c r="S228" s="3"/>
      <c r="T228" s="3"/>
      <c r="U228" s="3"/>
      <c r="V228" s="3"/>
      <c r="W228" s="3"/>
      <c r="X228" s="3"/>
      <c r="Y228" s="21" t="s">
        <v>1809</v>
      </c>
      <c r="Z228" s="22" t="s">
        <v>1810</v>
      </c>
      <c r="AA228" s="23" t="str">
        <f t="shared" si="21"/>
        <v>VU Vanuatu</v>
      </c>
    </row>
    <row r="229" spans="1:27" ht="12.75" customHeight="1" x14ac:dyDescent="0.35">
      <c r="A229" s="16" t="s">
        <v>1811</v>
      </c>
      <c r="B229" s="15" t="s">
        <v>1812</v>
      </c>
      <c r="C229" s="31" t="str">
        <f t="shared" si="20"/>
        <v>IDR (Indonesian Rupiah)</v>
      </c>
      <c r="D229" s="3"/>
      <c r="E229" s="16" t="s">
        <v>1813</v>
      </c>
      <c r="F229" s="15">
        <v>3412</v>
      </c>
      <c r="G229" s="16" t="str">
        <f t="shared" si="1"/>
        <v>3412 (Kab. Solok)</v>
      </c>
      <c r="H229" s="3"/>
      <c r="I229" s="16" t="s">
        <v>1814</v>
      </c>
      <c r="J229" s="52">
        <v>600024</v>
      </c>
      <c r="K229" s="16" t="str">
        <f t="shared" si="2"/>
        <v>600024 (PT. BPR Mulya Arta)</v>
      </c>
      <c r="L229" s="3"/>
      <c r="M229" s="3"/>
      <c r="N229" s="3"/>
      <c r="O229" s="3"/>
      <c r="P229" s="3"/>
      <c r="Q229" s="3"/>
      <c r="R229" s="3"/>
      <c r="S229" s="3"/>
      <c r="T229" s="3"/>
      <c r="U229" s="3"/>
      <c r="V229" s="3"/>
      <c r="W229" s="3"/>
      <c r="X229" s="3"/>
      <c r="Y229" s="21" t="s">
        <v>1815</v>
      </c>
      <c r="Z229" s="22" t="s">
        <v>1816</v>
      </c>
      <c r="AA229" s="23" t="str">
        <f t="shared" si="21"/>
        <v>VA Holy See (the)</v>
      </c>
    </row>
    <row r="230" spans="1:27" ht="12.75" customHeight="1" x14ac:dyDescent="0.35">
      <c r="A230" s="16" t="s">
        <v>1817</v>
      </c>
      <c r="B230" s="15" t="s">
        <v>1818</v>
      </c>
      <c r="C230" s="31" t="str">
        <f t="shared" si="20"/>
        <v>IRR (Iranian Rial)</v>
      </c>
      <c r="D230" s="3"/>
      <c r="E230" s="16" t="s">
        <v>1819</v>
      </c>
      <c r="F230" s="15">
        <v>3491</v>
      </c>
      <c r="G230" s="16" t="str">
        <f t="shared" si="1"/>
        <v>3491 (Kota Bukittinggi)</v>
      </c>
      <c r="H230" s="3"/>
      <c r="I230" s="16" t="s">
        <v>1820</v>
      </c>
      <c r="J230" s="52">
        <v>600026</v>
      </c>
      <c r="K230" s="16" t="str">
        <f t="shared" si="2"/>
        <v>600026 (PT. BPR Swadaya Tunggal d/h Nusantara)</v>
      </c>
      <c r="L230" s="3"/>
      <c r="M230" s="3"/>
      <c r="N230" s="3"/>
      <c r="O230" s="3"/>
      <c r="P230" s="3"/>
      <c r="Q230" s="3"/>
      <c r="R230" s="3"/>
      <c r="S230" s="3"/>
      <c r="T230" s="3"/>
      <c r="U230" s="3"/>
      <c r="V230" s="3"/>
      <c r="W230" s="3"/>
      <c r="X230" s="3"/>
      <c r="Y230" s="21" t="s">
        <v>1821</v>
      </c>
      <c r="Z230" s="22" t="s">
        <v>1822</v>
      </c>
      <c r="AA230" s="23" t="str">
        <f t="shared" si="21"/>
        <v>VE Venezuela (Bolivarian Republic of)</v>
      </c>
    </row>
    <row r="231" spans="1:27" ht="12.75" customHeight="1" x14ac:dyDescent="0.35">
      <c r="A231" s="16" t="s">
        <v>1823</v>
      </c>
      <c r="B231" s="15" t="s">
        <v>1824</v>
      </c>
      <c r="C231" s="31" t="str">
        <f t="shared" si="20"/>
        <v>IQD (Iraqi Dinar)</v>
      </c>
      <c r="D231" s="3"/>
      <c r="E231" s="16" t="s">
        <v>1825</v>
      </c>
      <c r="F231" s="15">
        <v>3492</v>
      </c>
      <c r="G231" s="16" t="str">
        <f t="shared" si="1"/>
        <v>3492 (Kota Padang)</v>
      </c>
      <c r="H231" s="3"/>
      <c r="I231" s="16" t="s">
        <v>1826</v>
      </c>
      <c r="J231" s="52">
        <v>600027</v>
      </c>
      <c r="K231" s="16" t="str">
        <f t="shared" si="2"/>
        <v>600027 (PT BPR Adipura Santosa)</v>
      </c>
      <c r="L231" s="3"/>
      <c r="M231" s="3"/>
      <c r="N231" s="3"/>
      <c r="O231" s="3"/>
      <c r="P231" s="3"/>
      <c r="Q231" s="3"/>
      <c r="R231" s="3"/>
      <c r="S231" s="3"/>
      <c r="T231" s="3"/>
      <c r="U231" s="3"/>
      <c r="V231" s="3"/>
      <c r="W231" s="3"/>
      <c r="X231" s="3"/>
      <c r="Y231" s="21" t="s">
        <v>1827</v>
      </c>
      <c r="Z231" s="22" t="s">
        <v>1828</v>
      </c>
      <c r="AA231" s="23" t="str">
        <f t="shared" si="21"/>
        <v>VN Viet Nam</v>
      </c>
    </row>
    <row r="232" spans="1:27" ht="12.75" customHeight="1" x14ac:dyDescent="0.35">
      <c r="A232" s="16" t="s">
        <v>1829</v>
      </c>
      <c r="B232" s="15" t="s">
        <v>1830</v>
      </c>
      <c r="C232" s="31" t="str">
        <f t="shared" si="20"/>
        <v>IEP (Irish Punt)</v>
      </c>
      <c r="D232" s="3"/>
      <c r="E232" s="16" t="s">
        <v>1831</v>
      </c>
      <c r="F232" s="15">
        <v>3493</v>
      </c>
      <c r="G232" s="16" t="str">
        <f t="shared" si="1"/>
        <v>3493 (Kota Sawahlunto)</v>
      </c>
      <c r="H232" s="3"/>
      <c r="I232" s="16" t="s">
        <v>1832</v>
      </c>
      <c r="J232" s="52">
        <v>600028</v>
      </c>
      <c r="K232" s="16" t="str">
        <f t="shared" si="2"/>
        <v>600028 (PT. BPR Ghadira Danamulia)</v>
      </c>
      <c r="L232" s="3"/>
      <c r="M232" s="3"/>
      <c r="N232" s="3"/>
      <c r="O232" s="3"/>
      <c r="P232" s="3"/>
      <c r="Q232" s="3"/>
      <c r="R232" s="3"/>
      <c r="S232" s="3"/>
      <c r="T232" s="3"/>
      <c r="U232" s="3"/>
      <c r="V232" s="3"/>
      <c r="W232" s="3"/>
      <c r="X232" s="3"/>
      <c r="Y232" s="21" t="s">
        <v>1833</v>
      </c>
      <c r="Z232" s="22" t="s">
        <v>1834</v>
      </c>
      <c r="AA232" s="23" t="str">
        <f t="shared" si="21"/>
        <v>VG Virgin Islands (British)</v>
      </c>
    </row>
    <row r="233" spans="1:27" ht="12.75" customHeight="1" x14ac:dyDescent="0.35">
      <c r="A233" s="16" t="s">
        <v>1835</v>
      </c>
      <c r="B233" s="15" t="s">
        <v>1836</v>
      </c>
      <c r="C233" s="31" t="str">
        <f t="shared" si="20"/>
        <v>ILS (Israeli Shekel)</v>
      </c>
      <c r="D233" s="3"/>
      <c r="E233" s="16" t="s">
        <v>1837</v>
      </c>
      <c r="F233" s="15">
        <v>3494</v>
      </c>
      <c r="G233" s="16" t="str">
        <f t="shared" si="1"/>
        <v>3494 (Kota Padang Panjang)</v>
      </c>
      <c r="H233" s="3"/>
      <c r="I233" s="16" t="s">
        <v>1838</v>
      </c>
      <c r="J233" s="52">
        <v>600029</v>
      </c>
      <c r="K233" s="16" t="str">
        <f t="shared" si="2"/>
        <v>600029 (PT. BPR Pandanaran Jaya)</v>
      </c>
      <c r="L233" s="3"/>
      <c r="M233" s="3"/>
      <c r="N233" s="3"/>
      <c r="O233" s="3"/>
      <c r="P233" s="3"/>
      <c r="Q233" s="3"/>
      <c r="R233" s="3"/>
      <c r="S233" s="3"/>
      <c r="T233" s="3"/>
      <c r="U233" s="3"/>
      <c r="V233" s="3"/>
      <c r="W233" s="3"/>
      <c r="X233" s="3"/>
      <c r="Y233" s="21" t="s">
        <v>1839</v>
      </c>
      <c r="Z233" s="22" t="s">
        <v>1840</v>
      </c>
      <c r="AA233" s="23" t="str">
        <f t="shared" si="21"/>
        <v>VI Virgin Islands (U.S.)</v>
      </c>
    </row>
    <row r="234" spans="1:27" ht="12.75" customHeight="1" x14ac:dyDescent="0.35">
      <c r="A234" s="16" t="s">
        <v>1841</v>
      </c>
      <c r="B234" s="15" t="s">
        <v>1842</v>
      </c>
      <c r="C234" s="31" t="str">
        <f t="shared" si="20"/>
        <v>ITL (Italian Lira)</v>
      </c>
      <c r="D234" s="3"/>
      <c r="E234" s="16" t="s">
        <v>1843</v>
      </c>
      <c r="F234" s="15">
        <v>3495</v>
      </c>
      <c r="G234" s="16" t="str">
        <f t="shared" si="1"/>
        <v>3495 (Kota Solok)</v>
      </c>
      <c r="H234" s="3"/>
      <c r="I234" s="16" t="s">
        <v>1844</v>
      </c>
      <c r="J234" s="52">
        <v>600030</v>
      </c>
      <c r="K234" s="16" t="str">
        <f t="shared" si="2"/>
        <v>600030 (PT. BPR Artha Bersama Sejahtera)</v>
      </c>
      <c r="L234" s="3"/>
      <c r="M234" s="3"/>
      <c r="N234" s="3"/>
      <c r="O234" s="3"/>
      <c r="P234" s="3"/>
      <c r="Q234" s="3"/>
      <c r="R234" s="3"/>
      <c r="S234" s="3"/>
      <c r="T234" s="3"/>
      <c r="U234" s="3"/>
      <c r="V234" s="3"/>
      <c r="W234" s="3"/>
      <c r="X234" s="3"/>
      <c r="Y234" s="21" t="s">
        <v>1845</v>
      </c>
      <c r="Z234" s="22" t="s">
        <v>1846</v>
      </c>
      <c r="AA234" s="23" t="str">
        <f t="shared" si="21"/>
        <v>WF Wallis and Futuna</v>
      </c>
    </row>
    <row r="235" spans="1:27" ht="12.75" customHeight="1" x14ac:dyDescent="0.35">
      <c r="A235" s="16" t="s">
        <v>1847</v>
      </c>
      <c r="B235" s="15" t="s">
        <v>1848</v>
      </c>
      <c r="C235" s="31" t="str">
        <f t="shared" si="20"/>
        <v>JMD (Jamaican Dollar)</v>
      </c>
      <c r="D235" s="3"/>
      <c r="E235" s="16" t="s">
        <v>1849</v>
      </c>
      <c r="F235" s="15">
        <v>3496</v>
      </c>
      <c r="G235" s="16" t="str">
        <f t="shared" si="1"/>
        <v>3496 (Kota Payakumbuh)</v>
      </c>
      <c r="H235" s="3"/>
      <c r="I235" s="16" t="s">
        <v>1850</v>
      </c>
      <c r="J235" s="52">
        <v>600031</v>
      </c>
      <c r="K235" s="16" t="str">
        <f t="shared" si="2"/>
        <v>600031 (PT. BPR Pantura Abadi)</v>
      </c>
      <c r="L235" s="3"/>
      <c r="M235" s="3"/>
      <c r="N235" s="3"/>
      <c r="O235" s="3"/>
      <c r="P235" s="3"/>
      <c r="Q235" s="3"/>
      <c r="R235" s="3"/>
      <c r="S235" s="3"/>
      <c r="T235" s="3"/>
      <c r="U235" s="3"/>
      <c r="V235" s="3"/>
      <c r="W235" s="3"/>
      <c r="X235" s="3"/>
      <c r="Y235" s="21" t="s">
        <v>1851</v>
      </c>
      <c r="Z235" s="22" t="s">
        <v>1852</v>
      </c>
      <c r="AA235" s="23" t="str">
        <f t="shared" si="21"/>
        <v>EH Western Sahara</v>
      </c>
    </row>
    <row r="236" spans="1:27" ht="12.75" customHeight="1" x14ac:dyDescent="0.35">
      <c r="A236" s="16" t="s">
        <v>1853</v>
      </c>
      <c r="B236" s="15" t="s">
        <v>1854</v>
      </c>
      <c r="C236" s="31" t="str">
        <f t="shared" si="20"/>
        <v>JPY (Japanese Yen)</v>
      </c>
      <c r="D236" s="3"/>
      <c r="E236" s="16" t="s">
        <v>1855</v>
      </c>
      <c r="F236" s="15">
        <v>3497</v>
      </c>
      <c r="G236" s="16" t="str">
        <f t="shared" si="1"/>
        <v>3497 (Kota Pariaman)</v>
      </c>
      <c r="H236" s="3"/>
      <c r="I236" s="16" t="s">
        <v>1856</v>
      </c>
      <c r="J236" s="52">
        <v>600032</v>
      </c>
      <c r="K236" s="16" t="str">
        <f t="shared" si="2"/>
        <v>600032 (PT. BPR Bringin Dana Sejahtera)</v>
      </c>
      <c r="L236" s="3"/>
      <c r="M236" s="3"/>
      <c r="N236" s="3"/>
      <c r="O236" s="3"/>
      <c r="P236" s="3"/>
      <c r="Q236" s="3"/>
      <c r="R236" s="3"/>
      <c r="S236" s="3"/>
      <c r="T236" s="3"/>
      <c r="U236" s="3"/>
      <c r="V236" s="3"/>
      <c r="W236" s="3"/>
      <c r="X236" s="3"/>
      <c r="Y236" s="21" t="s">
        <v>1857</v>
      </c>
      <c r="Z236" s="22" t="s">
        <v>1858</v>
      </c>
      <c r="AA236" s="23" t="str">
        <f t="shared" si="21"/>
        <v>YE Yemen</v>
      </c>
    </row>
    <row r="237" spans="1:27" ht="12.75" customHeight="1" x14ac:dyDescent="0.35">
      <c r="A237" s="16" t="s">
        <v>1859</v>
      </c>
      <c r="B237" s="15" t="s">
        <v>1860</v>
      </c>
      <c r="C237" s="31" t="str">
        <f t="shared" si="20"/>
        <v>JOD (Jordanian Dinar)</v>
      </c>
      <c r="D237" s="3"/>
      <c r="E237" s="16" t="s">
        <v>1735</v>
      </c>
      <c r="F237" s="15">
        <v>3488</v>
      </c>
      <c r="G237" s="16" t="str">
        <f t="shared" si="1"/>
        <v>3488 (Kab/Kota Lainnya)</v>
      </c>
      <c r="H237" s="3"/>
      <c r="I237" s="16" t="s">
        <v>1861</v>
      </c>
      <c r="J237" s="52">
        <v>600033</v>
      </c>
      <c r="K237" s="16" t="str">
        <f t="shared" si="2"/>
        <v>600033 (PT. BPR Polatama Kusuma)</v>
      </c>
      <c r="L237" s="3"/>
      <c r="M237" s="3"/>
      <c r="N237" s="3"/>
      <c r="O237" s="3"/>
      <c r="P237" s="3"/>
      <c r="Q237" s="3"/>
      <c r="R237" s="3"/>
      <c r="S237" s="3"/>
      <c r="T237" s="3"/>
      <c r="U237" s="3"/>
      <c r="V237" s="3"/>
      <c r="W237" s="3"/>
      <c r="X237" s="3"/>
      <c r="Y237" s="21" t="s">
        <v>1862</v>
      </c>
      <c r="Z237" s="22" t="s">
        <v>1863</v>
      </c>
      <c r="AA237" s="23" t="str">
        <f t="shared" si="21"/>
        <v>ZM Zambia</v>
      </c>
    </row>
    <row r="238" spans="1:27" ht="12.75" customHeight="1" x14ac:dyDescent="0.35">
      <c r="A238" s="16" t="s">
        <v>1864</v>
      </c>
      <c r="B238" s="15" t="s">
        <v>1865</v>
      </c>
      <c r="C238" s="31" t="str">
        <f t="shared" si="20"/>
        <v>KZT (Kazakhstan Tenge)</v>
      </c>
      <c r="D238" s="3"/>
      <c r="E238" s="14" t="s">
        <v>1866</v>
      </c>
      <c r="F238" s="15"/>
      <c r="G238" s="16" t="str">
        <f t="shared" si="1"/>
        <v>---- (Provinsi Riau)</v>
      </c>
      <c r="H238" s="3"/>
      <c r="I238" s="16" t="s">
        <v>1867</v>
      </c>
      <c r="J238" s="52">
        <v>600035</v>
      </c>
      <c r="K238" s="16" t="str">
        <f t="shared" si="2"/>
        <v>600035 (PT. BPR Pusaka Dana)</v>
      </c>
      <c r="L238" s="3"/>
      <c r="M238" s="3"/>
      <c r="N238" s="3"/>
      <c r="O238" s="3"/>
      <c r="P238" s="3"/>
      <c r="Q238" s="3"/>
      <c r="R238" s="3"/>
      <c r="S238" s="3"/>
      <c r="T238" s="3"/>
      <c r="U238" s="3"/>
      <c r="V238" s="3"/>
      <c r="W238" s="3"/>
      <c r="X238" s="3"/>
      <c r="Y238" s="21" t="s">
        <v>1868</v>
      </c>
      <c r="Z238" s="22" t="s">
        <v>1869</v>
      </c>
      <c r="AA238" s="23" t="str">
        <f t="shared" si="21"/>
        <v>ZW Zimbabwe</v>
      </c>
    </row>
    <row r="239" spans="1:27" ht="12.75" customHeight="1" x14ac:dyDescent="0.35">
      <c r="A239" s="16" t="s">
        <v>1870</v>
      </c>
      <c r="B239" s="15" t="s">
        <v>1871</v>
      </c>
      <c r="C239" s="31" t="str">
        <f t="shared" si="20"/>
        <v>KES (Kenyan Shilling)</v>
      </c>
      <c r="D239" s="3"/>
      <c r="E239" s="16" t="s">
        <v>1872</v>
      </c>
      <c r="F239" s="15">
        <v>3501</v>
      </c>
      <c r="G239" s="16" t="str">
        <f t="shared" si="1"/>
        <v>3501 (Kab. Kampar)</v>
      </c>
      <c r="H239" s="3"/>
      <c r="I239" s="16" t="s">
        <v>1873</v>
      </c>
      <c r="J239" s="52">
        <v>600036</v>
      </c>
      <c r="K239" s="16" t="str">
        <f t="shared" si="2"/>
        <v>600036 (PT. BPR Dana Multi Guna)</v>
      </c>
      <c r="L239" s="3"/>
      <c r="M239" s="3"/>
      <c r="N239" s="3"/>
      <c r="O239" s="3"/>
      <c r="P239" s="3"/>
      <c r="Q239" s="3"/>
      <c r="R239" s="3"/>
      <c r="S239" s="3"/>
      <c r="T239" s="3"/>
      <c r="U239" s="3"/>
      <c r="V239" s="3"/>
      <c r="W239" s="3"/>
      <c r="X239" s="3"/>
      <c r="Y239" s="21" t="s">
        <v>1874</v>
      </c>
      <c r="Z239" s="22" t="s">
        <v>1875</v>
      </c>
      <c r="AA239" s="23" t="str">
        <f t="shared" si="21"/>
        <v>PS Palestine, State of</v>
      </c>
    </row>
    <row r="240" spans="1:27" ht="12.75" customHeight="1" x14ac:dyDescent="0.35">
      <c r="A240" s="16" t="s">
        <v>1876</v>
      </c>
      <c r="B240" s="15" t="s">
        <v>1877</v>
      </c>
      <c r="C240" s="31" t="str">
        <f t="shared" si="20"/>
        <v>KRW (Korean Won)</v>
      </c>
      <c r="D240" s="3"/>
      <c r="E240" s="16" t="s">
        <v>1878</v>
      </c>
      <c r="F240" s="15">
        <v>3502</v>
      </c>
      <c r="G240" s="16" t="str">
        <f t="shared" si="1"/>
        <v>3502 (Kab. Bengkalis)</v>
      </c>
      <c r="H240" s="3"/>
      <c r="I240" s="16" t="s">
        <v>1879</v>
      </c>
      <c r="J240" s="52">
        <v>600037</v>
      </c>
      <c r="K240" s="16" t="str">
        <f t="shared" si="2"/>
        <v>600037 (PT BPR Puspitasari)</v>
      </c>
      <c r="L240" s="3"/>
      <c r="M240" s="3"/>
      <c r="N240" s="3"/>
      <c r="O240" s="3"/>
      <c r="P240" s="3"/>
      <c r="Q240" s="3"/>
      <c r="R240" s="3"/>
      <c r="S240" s="3"/>
      <c r="T240" s="3"/>
      <c r="U240" s="3"/>
      <c r="V240" s="3"/>
      <c r="W240" s="3"/>
      <c r="X240" s="3"/>
      <c r="Y240" s="21" t="s">
        <v>1880</v>
      </c>
      <c r="Z240" s="22" t="s">
        <v>1881</v>
      </c>
      <c r="AA240" s="23" t="str">
        <f t="shared" si="21"/>
        <v>TG Togo</v>
      </c>
    </row>
    <row r="241" spans="1:27" ht="12.75" customHeight="1" x14ac:dyDescent="0.35">
      <c r="A241" s="16" t="s">
        <v>1882</v>
      </c>
      <c r="B241" s="15" t="s">
        <v>1883</v>
      </c>
      <c r="C241" s="31" t="str">
        <f t="shared" si="20"/>
        <v>KPW (North Korean Won)</v>
      </c>
      <c r="D241" s="3"/>
      <c r="E241" s="16" t="s">
        <v>1884</v>
      </c>
      <c r="F241" s="15">
        <v>3504</v>
      </c>
      <c r="G241" s="16" t="str">
        <f t="shared" si="1"/>
        <v>3504 (Kab. Indragiri Hulu)</v>
      </c>
      <c r="H241" s="3"/>
      <c r="I241" s="16" t="s">
        <v>1885</v>
      </c>
      <c r="J241" s="52">
        <v>600038</v>
      </c>
      <c r="K241" s="16" t="str">
        <f t="shared" si="2"/>
        <v>600038 (PT. BPR Sanggabuana Agung)</v>
      </c>
      <c r="L241" s="3"/>
      <c r="M241" s="3"/>
      <c r="N241" s="3"/>
      <c r="O241" s="3"/>
      <c r="P241" s="3"/>
      <c r="Q241" s="3"/>
      <c r="R241" s="3"/>
      <c r="S241" s="3"/>
      <c r="T241" s="3"/>
      <c r="U241" s="3"/>
      <c r="V241" s="3"/>
      <c r="W241" s="3"/>
      <c r="X241" s="3"/>
      <c r="Y241" s="21" t="s">
        <v>1886</v>
      </c>
      <c r="Z241" s="22" t="s">
        <v>1887</v>
      </c>
      <c r="AA241" s="23" t="str">
        <f t="shared" si="21"/>
        <v>GG Guernsey</v>
      </c>
    </row>
    <row r="242" spans="1:27" ht="12.75" customHeight="1" x14ac:dyDescent="0.35">
      <c r="A242" s="16" t="s">
        <v>1888</v>
      </c>
      <c r="B242" s="15" t="s">
        <v>1889</v>
      </c>
      <c r="C242" s="31" t="str">
        <f t="shared" si="20"/>
        <v>KWD (Kuwaiti Dinar)</v>
      </c>
      <c r="D242" s="3"/>
      <c r="E242" s="16" t="s">
        <v>1890</v>
      </c>
      <c r="F242" s="15">
        <v>3505</v>
      </c>
      <c r="G242" s="16" t="str">
        <f t="shared" si="1"/>
        <v>3505 (Kab. Indragiri Hilir)</v>
      </c>
      <c r="H242" s="3"/>
      <c r="I242" s="16" t="s">
        <v>1891</v>
      </c>
      <c r="J242" s="52">
        <v>600039</v>
      </c>
      <c r="K242" s="16" t="str">
        <f t="shared" si="2"/>
        <v>600039 (PT BPR Kawan)</v>
      </c>
      <c r="L242" s="3"/>
      <c r="M242" s="3"/>
      <c r="N242" s="3"/>
      <c r="O242" s="3"/>
      <c r="P242" s="3"/>
      <c r="Q242" s="3"/>
      <c r="R242" s="3"/>
      <c r="S242" s="3"/>
      <c r="T242" s="3"/>
      <c r="U242" s="3"/>
      <c r="V242" s="3"/>
      <c r="W242" s="3"/>
      <c r="X242" s="3"/>
      <c r="Y242" s="21" t="s">
        <v>1892</v>
      </c>
      <c r="Z242" s="22" t="s">
        <v>1893</v>
      </c>
      <c r="AA242" s="23" t="str">
        <f t="shared" si="21"/>
        <v>IM Isle of Man</v>
      </c>
    </row>
    <row r="243" spans="1:27" ht="12.75" customHeight="1" x14ac:dyDescent="0.35">
      <c r="A243" s="16" t="s">
        <v>1894</v>
      </c>
      <c r="B243" s="15" t="s">
        <v>1895</v>
      </c>
      <c r="C243" s="31" t="str">
        <f t="shared" si="20"/>
        <v>KGS (Kyrgyzstan Som)</v>
      </c>
      <c r="D243" s="3"/>
      <c r="E243" s="16" t="s">
        <v>1896</v>
      </c>
      <c r="F243" s="15">
        <v>3508</v>
      </c>
      <c r="G243" s="16" t="str">
        <f t="shared" si="1"/>
        <v>3508 (Kab. Rokan Hulu)</v>
      </c>
      <c r="H243" s="3"/>
      <c r="I243" s="16" t="s">
        <v>1897</v>
      </c>
      <c r="J243" s="52">
        <v>600040</v>
      </c>
      <c r="K243" s="16" t="str">
        <f t="shared" si="2"/>
        <v>600040 (PT. BPR Anugerah Multi Dana)</v>
      </c>
      <c r="L243" s="3"/>
      <c r="M243" s="3"/>
      <c r="N243" s="3"/>
      <c r="O243" s="3"/>
      <c r="P243" s="3"/>
      <c r="Q243" s="3"/>
      <c r="R243" s="3"/>
      <c r="S243" s="3"/>
      <c r="T243" s="3"/>
      <c r="U243" s="3"/>
      <c r="V243" s="3"/>
      <c r="W243" s="3"/>
      <c r="X243" s="3"/>
      <c r="Y243" s="21" t="s">
        <v>1898</v>
      </c>
      <c r="Z243" s="22" t="s">
        <v>1899</v>
      </c>
      <c r="AA243" s="23" t="str">
        <f t="shared" si="21"/>
        <v>JE Jersey</v>
      </c>
    </row>
    <row r="244" spans="1:27" ht="12.75" customHeight="1" x14ac:dyDescent="0.35">
      <c r="A244" s="16" t="s">
        <v>1900</v>
      </c>
      <c r="B244" s="15" t="s">
        <v>1901</v>
      </c>
      <c r="C244" s="31" t="str">
        <f t="shared" si="20"/>
        <v>LAK (Laos New Kip)</v>
      </c>
      <c r="D244" s="3"/>
      <c r="E244" s="16" t="s">
        <v>1902</v>
      </c>
      <c r="F244" s="15">
        <v>3509</v>
      </c>
      <c r="G244" s="16" t="str">
        <f t="shared" si="1"/>
        <v>3509 (Kab. Rokan Hilir)</v>
      </c>
      <c r="H244" s="3"/>
      <c r="I244" s="16" t="s">
        <v>1903</v>
      </c>
      <c r="J244" s="52">
        <v>600042</v>
      </c>
      <c r="K244" s="16" t="str">
        <f t="shared" si="2"/>
        <v>600042 (PT. BPR Supradana Mas)</v>
      </c>
      <c r="L244" s="3"/>
      <c r="M244" s="3"/>
      <c r="N244" s="3"/>
      <c r="O244" s="3"/>
      <c r="P244" s="3"/>
      <c r="Q244" s="3"/>
      <c r="R244" s="3"/>
      <c r="S244" s="3"/>
      <c r="T244" s="3"/>
      <c r="U244" s="3"/>
      <c r="V244" s="3"/>
      <c r="W244" s="3"/>
      <c r="X244" s="3"/>
      <c r="Y244" s="21" t="s">
        <v>1904</v>
      </c>
      <c r="Z244" s="22" t="s">
        <v>1905</v>
      </c>
      <c r="AA244" s="23" t="str">
        <f t="shared" si="21"/>
        <v>AX Åland Islands</v>
      </c>
    </row>
    <row r="245" spans="1:27" ht="12.75" customHeight="1" x14ac:dyDescent="0.35">
      <c r="A245" s="16" t="s">
        <v>1906</v>
      </c>
      <c r="B245" s="15" t="s">
        <v>1907</v>
      </c>
      <c r="C245" s="31" t="str">
        <f t="shared" si="20"/>
        <v>LVL (Latvian Lats)</v>
      </c>
      <c r="D245" s="3"/>
      <c r="E245" s="16" t="s">
        <v>1908</v>
      </c>
      <c r="F245" s="15">
        <v>3510</v>
      </c>
      <c r="G245" s="16" t="str">
        <f t="shared" si="1"/>
        <v>3510 (Kab. Pelalawan)</v>
      </c>
      <c r="H245" s="3"/>
      <c r="I245" s="16" t="s">
        <v>1909</v>
      </c>
      <c r="J245" s="52">
        <v>600044</v>
      </c>
      <c r="K245" s="16" t="str">
        <f t="shared" si="2"/>
        <v>600044 (PT. BPR Binadana Swadaya)</v>
      </c>
      <c r="L245" s="3"/>
      <c r="M245" s="3"/>
      <c r="N245" s="3"/>
      <c r="O245" s="3"/>
      <c r="P245" s="3"/>
      <c r="Q245" s="3"/>
      <c r="R245" s="3"/>
      <c r="S245" s="3"/>
      <c r="T245" s="3"/>
      <c r="U245" s="3"/>
      <c r="V245" s="3"/>
      <c r="W245" s="3"/>
      <c r="X245" s="3"/>
      <c r="Y245" s="21" t="s">
        <v>1910</v>
      </c>
      <c r="Z245" s="22" t="s">
        <v>1911</v>
      </c>
      <c r="AA245" s="23" t="str">
        <f t="shared" si="21"/>
        <v>CW Curaçao</v>
      </c>
    </row>
    <row r="246" spans="1:27" ht="12.75" customHeight="1" x14ac:dyDescent="0.35">
      <c r="A246" s="16" t="s">
        <v>1912</v>
      </c>
      <c r="B246" s="15" t="s">
        <v>1913</v>
      </c>
      <c r="C246" s="31" t="str">
        <f t="shared" si="20"/>
        <v>LBP (Lebanese Pound)</v>
      </c>
      <c r="D246" s="3"/>
      <c r="E246" s="16" t="s">
        <v>1914</v>
      </c>
      <c r="F246" s="15">
        <v>3511</v>
      </c>
      <c r="G246" s="16" t="str">
        <f t="shared" si="1"/>
        <v>3511 (Kab. Siak)</v>
      </c>
      <c r="H246" s="3"/>
      <c r="I246" s="16" t="s">
        <v>1915</v>
      </c>
      <c r="J246" s="52">
        <v>600046</v>
      </c>
      <c r="K246" s="16" t="str">
        <f t="shared" si="2"/>
        <v>600046 (PT. BPR Tjandra Artha Lestari)</v>
      </c>
      <c r="L246" s="3"/>
      <c r="M246" s="3"/>
      <c r="N246" s="3"/>
      <c r="O246" s="3"/>
      <c r="P246" s="3"/>
      <c r="Q246" s="3"/>
      <c r="R246" s="3"/>
      <c r="S246" s="3"/>
      <c r="T246" s="3"/>
      <c r="U246" s="3"/>
      <c r="V246" s="3"/>
      <c r="W246" s="3"/>
      <c r="X246" s="3"/>
      <c r="Y246" s="21" t="s">
        <v>1916</v>
      </c>
      <c r="Z246" s="22" t="s">
        <v>1917</v>
      </c>
      <c r="AA246" s="23" t="str">
        <f t="shared" si="21"/>
        <v>ME Montenegro</v>
      </c>
    </row>
    <row r="247" spans="1:27" ht="12.75" customHeight="1" x14ac:dyDescent="0.35">
      <c r="A247" s="16" t="s">
        <v>1918</v>
      </c>
      <c r="B247" s="15" t="s">
        <v>1919</v>
      </c>
      <c r="C247" s="31" t="str">
        <f t="shared" si="20"/>
        <v>LSL (Loti Lesatho)</v>
      </c>
      <c r="D247" s="3"/>
      <c r="E247" s="16" t="s">
        <v>1920</v>
      </c>
      <c r="F247" s="15">
        <v>3512</v>
      </c>
      <c r="G247" s="16" t="str">
        <f t="shared" si="1"/>
        <v>3512 (Kab. Kuantan Singingi)</v>
      </c>
      <c r="H247" s="3"/>
      <c r="I247" s="16" t="s">
        <v>1921</v>
      </c>
      <c r="J247" s="52">
        <v>600047</v>
      </c>
      <c r="K247" s="16" t="str">
        <f t="shared" si="2"/>
        <v>600047 (PT. BPR Ragam Peranmandiri)</v>
      </c>
      <c r="L247" s="3"/>
      <c r="M247" s="3"/>
      <c r="N247" s="3"/>
      <c r="O247" s="3"/>
      <c r="P247" s="3"/>
      <c r="Q247" s="3"/>
      <c r="R247" s="3"/>
      <c r="S247" s="3"/>
      <c r="T247" s="3"/>
      <c r="U247" s="3"/>
      <c r="V247" s="3"/>
      <c r="W247" s="3"/>
      <c r="X247" s="3"/>
      <c r="Y247" s="21" t="s">
        <v>1922</v>
      </c>
      <c r="Z247" s="22" t="s">
        <v>1923</v>
      </c>
      <c r="AA247" s="23" t="str">
        <f t="shared" si="21"/>
        <v>RS Serbia</v>
      </c>
    </row>
    <row r="248" spans="1:27" ht="12.75" customHeight="1" x14ac:dyDescent="0.35">
      <c r="A248" s="16" t="s">
        <v>1924</v>
      </c>
      <c r="B248" s="15" t="s">
        <v>1925</v>
      </c>
      <c r="C248" s="31" t="str">
        <f t="shared" si="20"/>
        <v>LRD (Liberian Dollar)</v>
      </c>
      <c r="D248" s="3"/>
      <c r="E248" s="16" t="s">
        <v>1926</v>
      </c>
      <c r="F248" s="15">
        <v>3513</v>
      </c>
      <c r="G248" s="16" t="str">
        <f t="shared" si="1"/>
        <v>3513 (Kab. Kepulauan Meranti)</v>
      </c>
      <c r="H248" s="3"/>
      <c r="I248" s="16" t="s">
        <v>1927</v>
      </c>
      <c r="J248" s="52">
        <v>600048</v>
      </c>
      <c r="K248" s="16" t="str">
        <f t="shared" si="2"/>
        <v>600048 (PT BPR Multi Sembada Dana)</v>
      </c>
      <c r="L248" s="3"/>
      <c r="M248" s="3"/>
      <c r="N248" s="3"/>
      <c r="O248" s="3"/>
      <c r="P248" s="3"/>
      <c r="Q248" s="3"/>
      <c r="R248" s="3"/>
      <c r="S248" s="3"/>
      <c r="T248" s="3"/>
      <c r="U248" s="3"/>
      <c r="V248" s="3"/>
      <c r="W248" s="3"/>
      <c r="X248" s="3"/>
      <c r="Y248" s="21" t="s">
        <v>1928</v>
      </c>
      <c r="Z248" s="22" t="s">
        <v>1929</v>
      </c>
      <c r="AA248" s="23" t="str">
        <f t="shared" si="21"/>
        <v>BL Saint Barthélemy</v>
      </c>
    </row>
    <row r="249" spans="1:27" ht="12.75" customHeight="1" x14ac:dyDescent="0.35">
      <c r="A249" s="16" t="s">
        <v>1930</v>
      </c>
      <c r="B249" s="15" t="s">
        <v>1931</v>
      </c>
      <c r="C249" s="31" t="str">
        <f t="shared" si="20"/>
        <v>LYD (Libyan Dinar)</v>
      </c>
      <c r="D249" s="3"/>
      <c r="E249" s="16" t="s">
        <v>1932</v>
      </c>
      <c r="F249" s="15">
        <v>3591</v>
      </c>
      <c r="G249" s="16" t="str">
        <f t="shared" si="1"/>
        <v>3591 (Kota Pekanbaru)</v>
      </c>
      <c r="H249" s="3"/>
      <c r="I249" s="16" t="s">
        <v>1933</v>
      </c>
      <c r="J249" s="52">
        <v>600049</v>
      </c>
      <c r="K249" s="16" t="str">
        <f t="shared" si="2"/>
        <v>600049 (PT. BPR Gerbang Masa Depan)</v>
      </c>
      <c r="L249" s="3"/>
      <c r="M249" s="3"/>
      <c r="N249" s="3"/>
      <c r="O249" s="3"/>
      <c r="P249" s="3"/>
      <c r="Q249" s="3"/>
      <c r="R249" s="3"/>
      <c r="S249" s="3"/>
      <c r="T249" s="3"/>
      <c r="U249" s="3"/>
      <c r="V249" s="3"/>
      <c r="W249" s="3"/>
      <c r="X249" s="3"/>
      <c r="Y249" s="21" t="s">
        <v>1934</v>
      </c>
      <c r="Z249" s="22" t="s">
        <v>1935</v>
      </c>
      <c r="AA249" s="23" t="str">
        <f t="shared" si="21"/>
        <v>MF Saint Martin (French part)</v>
      </c>
    </row>
    <row r="250" spans="1:27" ht="12.75" customHeight="1" x14ac:dyDescent="0.35">
      <c r="A250" s="16" t="s">
        <v>1936</v>
      </c>
      <c r="B250" s="15" t="s">
        <v>1937</v>
      </c>
      <c r="C250" s="31" t="str">
        <f t="shared" si="20"/>
        <v>CHF (Liechtenstein Franc)</v>
      </c>
      <c r="D250" s="3"/>
      <c r="E250" s="16" t="s">
        <v>1938</v>
      </c>
      <c r="F250" s="15">
        <v>3592</v>
      </c>
      <c r="G250" s="16" t="str">
        <f t="shared" si="1"/>
        <v>3592 (Kota Dumai)</v>
      </c>
      <c r="H250" s="3"/>
      <c r="I250" s="16" t="s">
        <v>1939</v>
      </c>
      <c r="J250" s="52">
        <v>600050</v>
      </c>
      <c r="K250" s="16" t="str">
        <f t="shared" si="2"/>
        <v>600050 (PT. BPR Amal Bhakti Sejahtera)</v>
      </c>
      <c r="L250" s="3"/>
      <c r="M250" s="3"/>
      <c r="N250" s="3"/>
      <c r="O250" s="3"/>
      <c r="P250" s="3"/>
      <c r="Q250" s="3"/>
      <c r="R250" s="3"/>
      <c r="S250" s="3"/>
      <c r="T250" s="3"/>
      <c r="U250" s="3"/>
      <c r="V250" s="3"/>
      <c r="W250" s="3"/>
      <c r="X250" s="3"/>
      <c r="Y250" s="21" t="s">
        <v>1940</v>
      </c>
      <c r="Z250" s="22" t="s">
        <v>1941</v>
      </c>
      <c r="AA250" s="23" t="str">
        <f t="shared" si="21"/>
        <v>SS South Sudan</v>
      </c>
    </row>
    <row r="251" spans="1:27" ht="12.75" customHeight="1" x14ac:dyDescent="0.35">
      <c r="A251" s="16" t="s">
        <v>1942</v>
      </c>
      <c r="B251" s="15" t="s">
        <v>1943</v>
      </c>
      <c r="C251" s="31" t="str">
        <f t="shared" si="20"/>
        <v>LTL (Lithuanian Litas)</v>
      </c>
      <c r="D251" s="3"/>
      <c r="E251" s="16" t="s">
        <v>381</v>
      </c>
      <c r="F251" s="15">
        <v>3588</v>
      </c>
      <c r="G251" s="16" t="str">
        <f t="shared" si="1"/>
        <v>3588 (Kab./Kota Lainnya)</v>
      </c>
      <c r="H251" s="3"/>
      <c r="I251" s="16" t="s">
        <v>1944</v>
      </c>
      <c r="J251" s="52">
        <v>600051</v>
      </c>
      <c r="K251" s="16" t="str">
        <f t="shared" si="2"/>
        <v>600051 (PT. BPR Kurnia Sewon)</v>
      </c>
      <c r="L251" s="3"/>
      <c r="M251" s="3"/>
      <c r="N251" s="3"/>
      <c r="O251" s="3"/>
      <c r="P251" s="3"/>
      <c r="Q251" s="3"/>
      <c r="R251" s="3"/>
      <c r="S251" s="3"/>
      <c r="T251" s="3"/>
      <c r="U251" s="3"/>
      <c r="V251" s="3"/>
      <c r="W251" s="3"/>
      <c r="X251" s="3"/>
      <c r="Y251" s="21" t="s">
        <v>1945</v>
      </c>
      <c r="Z251" s="22" t="s">
        <v>1946</v>
      </c>
      <c r="AA251" s="23" t="str">
        <f t="shared" si="21"/>
        <v>BQ Bonaire, Sint Eustatius and Saba</v>
      </c>
    </row>
    <row r="252" spans="1:27" ht="12.75" customHeight="1" x14ac:dyDescent="0.35">
      <c r="A252" s="16" t="s">
        <v>1947</v>
      </c>
      <c r="B252" s="15" t="s">
        <v>1948</v>
      </c>
      <c r="C252" s="31" t="str">
        <f t="shared" si="20"/>
        <v>LUF (Luxembourg Franc)</v>
      </c>
      <c r="D252" s="3"/>
      <c r="E252" s="14" t="s">
        <v>1949</v>
      </c>
      <c r="F252" s="15"/>
      <c r="G252" s="16" t="str">
        <f t="shared" si="1"/>
        <v>---- (Provinsi Sumatera Selatan)</v>
      </c>
      <c r="H252" s="3"/>
      <c r="I252" s="16" t="s">
        <v>1950</v>
      </c>
      <c r="J252" s="52">
        <v>600052</v>
      </c>
      <c r="K252" s="16" t="str">
        <f t="shared" si="2"/>
        <v>600052 (PD BPR Bank Daerah Bojonegoro)</v>
      </c>
      <c r="L252" s="3"/>
      <c r="M252" s="3"/>
      <c r="N252" s="3"/>
      <c r="O252" s="3"/>
      <c r="P252" s="3"/>
      <c r="Q252" s="3"/>
      <c r="R252" s="3"/>
      <c r="S252" s="3"/>
      <c r="T252" s="3"/>
      <c r="U252" s="3"/>
      <c r="V252" s="3"/>
      <c r="W252" s="3"/>
      <c r="X252" s="3"/>
      <c r="Y252" s="21" t="s">
        <v>1951</v>
      </c>
      <c r="Z252" s="22" t="s">
        <v>1952</v>
      </c>
      <c r="AA252" s="23" t="str">
        <f t="shared" si="21"/>
        <v>SX Sint Maarten (Dutch part)</v>
      </c>
    </row>
    <row r="253" spans="1:27" ht="12.75" customHeight="1" x14ac:dyDescent="0.35">
      <c r="A253" s="16" t="s">
        <v>1953</v>
      </c>
      <c r="B253" s="15" t="s">
        <v>1954</v>
      </c>
      <c r="C253" s="31" t="str">
        <f t="shared" si="20"/>
        <v>MOP (Macau Pataca)</v>
      </c>
      <c r="D253" s="3"/>
      <c r="E253" s="16" t="s">
        <v>1955</v>
      </c>
      <c r="F253" s="15">
        <v>3606</v>
      </c>
      <c r="G253" s="16" t="str">
        <f t="shared" si="1"/>
        <v>3606 (Kab. Musi Banyuasin)</v>
      </c>
      <c r="H253" s="3"/>
      <c r="I253" s="16" t="s">
        <v>1956</v>
      </c>
      <c r="J253" s="52">
        <v>600053</v>
      </c>
      <c r="K253" s="16" t="str">
        <f t="shared" si="2"/>
        <v>600053 (PT. BPR Ana Artha)</v>
      </c>
      <c r="L253" s="3"/>
      <c r="M253" s="3"/>
      <c r="N253" s="3"/>
      <c r="O253" s="3"/>
      <c r="P253" s="3"/>
      <c r="Q253" s="3"/>
      <c r="R253" s="3"/>
      <c r="S253" s="3"/>
      <c r="T253" s="3"/>
      <c r="U253" s="3"/>
      <c r="V253" s="3"/>
      <c r="W253" s="3"/>
      <c r="X253" s="3"/>
      <c r="Y253" s="21" t="s">
        <v>1957</v>
      </c>
      <c r="Z253" s="22" t="s">
        <v>1958</v>
      </c>
      <c r="AA253" s="23" t="str">
        <f t="shared" si="21"/>
        <v>XK Republic of Kosovo</v>
      </c>
    </row>
    <row r="254" spans="1:27" ht="12.75" customHeight="1" x14ac:dyDescent="0.35">
      <c r="A254" s="16" t="s">
        <v>1959</v>
      </c>
      <c r="B254" s="15" t="s">
        <v>1960</v>
      </c>
      <c r="C254" s="31" t="str">
        <f t="shared" si="20"/>
        <v>MKD (Macedonian Denar)</v>
      </c>
      <c r="D254" s="3"/>
      <c r="E254" s="16" t="s">
        <v>1961</v>
      </c>
      <c r="F254" s="15">
        <v>3607</v>
      </c>
      <c r="G254" s="16" t="str">
        <f t="shared" si="1"/>
        <v>3607 (Kab. Ogan Komering Ulu)</v>
      </c>
      <c r="H254" s="3"/>
      <c r="I254" s="16" t="s">
        <v>1962</v>
      </c>
      <c r="J254" s="52">
        <v>600054</v>
      </c>
      <c r="K254" s="16" t="str">
        <f t="shared" si="2"/>
        <v>600054 (PT. BPR Sum Adiyatra)</v>
      </c>
      <c r="L254" s="3"/>
      <c r="M254" s="3"/>
      <c r="N254" s="3"/>
      <c r="O254" s="3"/>
      <c r="P254" s="3"/>
      <c r="Q254" s="3"/>
      <c r="R254" s="3"/>
      <c r="S254" s="3"/>
      <c r="T254" s="3"/>
      <c r="U254" s="3"/>
      <c r="V254" s="3"/>
      <c r="W254" s="3"/>
      <c r="X254" s="3"/>
      <c r="Y254" s="21" t="s">
        <v>1963</v>
      </c>
      <c r="Z254" s="22" t="s">
        <v>1703</v>
      </c>
      <c r="AA254" s="23" t="str">
        <f t="shared" si="21"/>
        <v>EU European Community</v>
      </c>
    </row>
    <row r="255" spans="1:27" ht="12.75" customHeight="1" x14ac:dyDescent="0.35">
      <c r="A255" s="16" t="s">
        <v>1964</v>
      </c>
      <c r="B255" s="15" t="s">
        <v>1965</v>
      </c>
      <c r="C255" s="31" t="str">
        <f t="shared" si="20"/>
        <v>MGF (Madagascar Franc)</v>
      </c>
      <c r="D255" s="3"/>
      <c r="E255" s="16" t="s">
        <v>1966</v>
      </c>
      <c r="F255" s="15">
        <v>3608</v>
      </c>
      <c r="G255" s="16" t="str">
        <f t="shared" si="1"/>
        <v>3608 (Kab. Lematang Ilir Ogan Tengah (Muara Enim))</v>
      </c>
      <c r="H255" s="3"/>
      <c r="I255" s="16" t="s">
        <v>1967</v>
      </c>
      <c r="J255" s="52">
        <v>600056</v>
      </c>
      <c r="K255" s="16" t="str">
        <f t="shared" si="2"/>
        <v>600056 (PT. BPR Universal Sentosa)</v>
      </c>
      <c r="L255" s="3"/>
      <c r="M255" s="3"/>
      <c r="N255" s="3"/>
      <c r="O255" s="3"/>
      <c r="P255" s="3"/>
      <c r="Q255" s="3"/>
      <c r="R255" s="3"/>
      <c r="S255" s="3"/>
      <c r="T255" s="3"/>
      <c r="U255" s="3"/>
      <c r="V255" s="3"/>
      <c r="W255" s="3"/>
      <c r="X255" s="3"/>
      <c r="Y255" s="3"/>
      <c r="Z255" s="3"/>
      <c r="AA255" s="3"/>
    </row>
    <row r="256" spans="1:27" ht="12.75" customHeight="1" x14ac:dyDescent="0.35">
      <c r="A256" s="16" t="s">
        <v>1968</v>
      </c>
      <c r="B256" s="15" t="s">
        <v>1969</v>
      </c>
      <c r="C256" s="31" t="str">
        <f t="shared" si="20"/>
        <v>MWK (Malawi Kwacha)</v>
      </c>
      <c r="D256" s="3"/>
      <c r="E256" s="16" t="s">
        <v>1970</v>
      </c>
      <c r="F256" s="15">
        <v>3609</v>
      </c>
      <c r="G256" s="16" t="str">
        <f t="shared" si="1"/>
        <v>3609 (Kab. Lahat)</v>
      </c>
      <c r="H256" s="3"/>
      <c r="I256" s="16" t="s">
        <v>1971</v>
      </c>
      <c r="J256" s="52">
        <v>600057</v>
      </c>
      <c r="K256" s="16" t="str">
        <f t="shared" si="2"/>
        <v>600057 (PT. BPR Bhakti Riyadi Wedi)</v>
      </c>
      <c r="L256" s="3"/>
      <c r="M256" s="3"/>
      <c r="N256" s="3"/>
      <c r="O256" s="3"/>
      <c r="P256" s="3"/>
      <c r="Q256" s="3"/>
      <c r="R256" s="3"/>
      <c r="S256" s="3"/>
      <c r="T256" s="3"/>
      <c r="U256" s="3"/>
      <c r="V256" s="3"/>
      <c r="W256" s="3"/>
      <c r="X256" s="3"/>
      <c r="Y256" s="3"/>
      <c r="Z256" s="3"/>
      <c r="AA256" s="3"/>
    </row>
    <row r="257" spans="1:11" ht="12.75" customHeight="1" x14ac:dyDescent="0.35">
      <c r="A257" s="16" t="s">
        <v>1972</v>
      </c>
      <c r="B257" s="15" t="s">
        <v>1973</v>
      </c>
      <c r="C257" s="31" t="str">
        <f t="shared" si="20"/>
        <v>MYR (Malaysian Ringgit)</v>
      </c>
      <c r="D257" s="3"/>
      <c r="E257" s="16" t="s">
        <v>1974</v>
      </c>
      <c r="F257" s="15">
        <v>3610</v>
      </c>
      <c r="G257" s="16" t="str">
        <f t="shared" si="1"/>
        <v>3610 (Kab. Musi Rawas)</v>
      </c>
      <c r="H257" s="3"/>
      <c r="I257" s="16" t="s">
        <v>1975</v>
      </c>
      <c r="J257" s="52">
        <v>600058</v>
      </c>
      <c r="K257" s="16" t="str">
        <f t="shared" si="2"/>
        <v>600058 (PT. BPR Artha Selomanik Putra)</v>
      </c>
    </row>
    <row r="258" spans="1:11" ht="12.75" customHeight="1" x14ac:dyDescent="0.35">
      <c r="A258" s="16" t="s">
        <v>1976</v>
      </c>
      <c r="B258" s="15" t="s">
        <v>1977</v>
      </c>
      <c r="C258" s="31" t="str">
        <f t="shared" si="20"/>
        <v>MVR (Maldives Rufiyaa)</v>
      </c>
      <c r="D258" s="3"/>
      <c r="E258" s="16" t="s">
        <v>1978</v>
      </c>
      <c r="F258" s="15">
        <v>3611</v>
      </c>
      <c r="G258" s="16" t="str">
        <f t="shared" si="1"/>
        <v>3611 (Kab. Ogan Komering Ilir)</v>
      </c>
      <c r="H258" s="3"/>
      <c r="I258" s="16" t="s">
        <v>1979</v>
      </c>
      <c r="J258" s="52">
        <v>600059</v>
      </c>
      <c r="K258" s="16" t="str">
        <f t="shared" si="2"/>
        <v>600059 (PT BPR Universal Kalbar)</v>
      </c>
    </row>
    <row r="259" spans="1:11" ht="12.75" customHeight="1" x14ac:dyDescent="0.35">
      <c r="A259" s="16" t="s">
        <v>1980</v>
      </c>
      <c r="B259" s="15" t="s">
        <v>1981</v>
      </c>
      <c r="C259" s="31" t="str">
        <f t="shared" si="20"/>
        <v>MLF (Malian Franc)</v>
      </c>
      <c r="D259" s="3"/>
      <c r="E259" s="16" t="s">
        <v>1982</v>
      </c>
      <c r="F259" s="15">
        <v>3613</v>
      </c>
      <c r="G259" s="16" t="str">
        <f t="shared" ref="G259:G513" si="22">CONCATENATE(IF(F259="","----",F259)," (",E259,")")</f>
        <v>3613 (Kab. Banyuasin)</v>
      </c>
      <c r="H259" s="3"/>
      <c r="I259" s="16" t="s">
        <v>1983</v>
      </c>
      <c r="J259" s="52">
        <v>600060</v>
      </c>
      <c r="K259" s="16" t="str">
        <f t="shared" ref="K259:K513" si="23">CONCATENATE(J259," (",SUBSTITUTE(I259,"  ",""),")")</f>
        <v>600060 (PT BPR Sejahtera Artha Sembada)</v>
      </c>
    </row>
    <row r="260" spans="1:11" ht="12.75" customHeight="1" x14ac:dyDescent="0.35">
      <c r="A260" s="16" t="s">
        <v>1984</v>
      </c>
      <c r="B260" s="15" t="s">
        <v>1985</v>
      </c>
      <c r="C260" s="31" t="str">
        <f t="shared" si="20"/>
        <v>MTL (Maltese Lira)</v>
      </c>
      <c r="D260" s="3"/>
      <c r="E260" s="16" t="s">
        <v>1986</v>
      </c>
      <c r="F260" s="15">
        <v>3614</v>
      </c>
      <c r="G260" s="16" t="str">
        <f t="shared" si="22"/>
        <v>3614 (Kab. Ogan Komeing Ulu Selatan)</v>
      </c>
      <c r="H260" s="3"/>
      <c r="I260" s="16" t="s">
        <v>1987</v>
      </c>
      <c r="J260" s="52">
        <v>600061</v>
      </c>
      <c r="K260" s="16" t="str">
        <f t="shared" si="23"/>
        <v>600061 (PT. BPR Balongpanggang Sentosa)</v>
      </c>
    </row>
    <row r="261" spans="1:11" ht="12.75" customHeight="1" x14ac:dyDescent="0.35">
      <c r="A261" s="16" t="s">
        <v>1988</v>
      </c>
      <c r="B261" s="15" t="s">
        <v>1989</v>
      </c>
      <c r="C261" s="31" t="str">
        <f t="shared" si="20"/>
        <v>MRO (Mauritania Ouguiya)</v>
      </c>
      <c r="D261" s="3"/>
      <c r="E261" s="16" t="s">
        <v>1990</v>
      </c>
      <c r="F261" s="15">
        <v>3615</v>
      </c>
      <c r="G261" s="16" t="str">
        <f t="shared" si="22"/>
        <v>3615 (Kab. Ogan Komeing Ulu Timur)</v>
      </c>
      <c r="H261" s="3"/>
      <c r="I261" s="16" t="s">
        <v>1991</v>
      </c>
      <c r="J261" s="52">
        <v>600062</v>
      </c>
      <c r="K261" s="16" t="str">
        <f t="shared" si="23"/>
        <v>600062 (PT BPR Universal)</v>
      </c>
    </row>
    <row r="262" spans="1:11" ht="12.75" customHeight="1" x14ac:dyDescent="0.35">
      <c r="A262" s="16" t="s">
        <v>1992</v>
      </c>
      <c r="B262" s="15" t="s">
        <v>1993</v>
      </c>
      <c r="C262" s="31" t="str">
        <f t="shared" si="20"/>
        <v>MUR (Maurutius Rupee)</v>
      </c>
      <c r="D262" s="3"/>
      <c r="E262" s="16" t="s">
        <v>1994</v>
      </c>
      <c r="F262" s="15">
        <v>3616</v>
      </c>
      <c r="G262" s="16" t="str">
        <f t="shared" si="22"/>
        <v>3616 (Kab. Ogan Ilir)</v>
      </c>
      <c r="H262" s="3"/>
      <c r="I262" s="16" t="s">
        <v>1995</v>
      </c>
      <c r="J262" s="52">
        <v>600063</v>
      </c>
      <c r="K262" s="16" t="str">
        <f t="shared" si="23"/>
        <v>600063 (PT. BPR Binarta Luhur)</v>
      </c>
    </row>
    <row r="263" spans="1:11" ht="12.75" customHeight="1" x14ac:dyDescent="0.35">
      <c r="A263" s="16" t="s">
        <v>1996</v>
      </c>
      <c r="B263" s="15" t="s">
        <v>1997</v>
      </c>
      <c r="C263" s="31" t="str">
        <f t="shared" si="20"/>
        <v>MXN (Mexican Peso)</v>
      </c>
      <c r="D263" s="3"/>
      <c r="E263" s="16" t="s">
        <v>1998</v>
      </c>
      <c r="F263" s="15">
        <v>3617</v>
      </c>
      <c r="G263" s="16" t="str">
        <f t="shared" si="22"/>
        <v>3617 (Kab. Empat Lawang)</v>
      </c>
      <c r="H263" s="3"/>
      <c r="I263" s="16" t="s">
        <v>1999</v>
      </c>
      <c r="J263" s="52">
        <v>600064</v>
      </c>
      <c r="K263" s="16" t="str">
        <f t="shared" si="23"/>
        <v>600064 (PT. BPR Cibitung Permai)</v>
      </c>
    </row>
    <row r="264" spans="1:11" ht="12.75" customHeight="1" x14ac:dyDescent="0.35">
      <c r="A264" s="16" t="s">
        <v>2000</v>
      </c>
      <c r="B264" s="15" t="s">
        <v>2001</v>
      </c>
      <c r="C264" s="31" t="str">
        <f t="shared" si="20"/>
        <v>MDL (Moldova Lei)</v>
      </c>
      <c r="D264" s="3"/>
      <c r="E264" s="16" t="s">
        <v>2002</v>
      </c>
      <c r="F264" s="15">
        <v>3691</v>
      </c>
      <c r="G264" s="16" t="str">
        <f t="shared" si="22"/>
        <v>3691 (Kota Palembang)</v>
      </c>
      <c r="H264" s="3"/>
      <c r="I264" s="16" t="s">
        <v>2003</v>
      </c>
      <c r="J264" s="52">
        <v>600065</v>
      </c>
      <c r="K264" s="16" t="str">
        <f t="shared" si="23"/>
        <v>600065 (PT BPR Artha Daya)</v>
      </c>
    </row>
    <row r="265" spans="1:11" ht="12.75" customHeight="1" x14ac:dyDescent="0.35">
      <c r="A265" s="16" t="s">
        <v>2004</v>
      </c>
      <c r="B265" s="15" t="s">
        <v>2005</v>
      </c>
      <c r="C265" s="31" t="str">
        <f t="shared" si="20"/>
        <v>MNT (Mongolia Tugrik)</v>
      </c>
      <c r="D265" s="3"/>
      <c r="E265" s="16" t="s">
        <v>2006</v>
      </c>
      <c r="F265" s="15">
        <v>3693</v>
      </c>
      <c r="G265" s="16" t="str">
        <f t="shared" si="22"/>
        <v>3693 (Kota Lubuklinggau)</v>
      </c>
      <c r="H265" s="3"/>
      <c r="I265" s="16" t="s">
        <v>2007</v>
      </c>
      <c r="J265" s="52">
        <v>600066</v>
      </c>
      <c r="K265" s="16" t="str">
        <f t="shared" si="23"/>
        <v>600066 (PT. BPR Lumbung Mekar Sentosa)</v>
      </c>
    </row>
    <row r="266" spans="1:11" ht="12.75" customHeight="1" x14ac:dyDescent="0.35">
      <c r="A266" s="16" t="s">
        <v>2008</v>
      </c>
      <c r="B266" s="15" t="s">
        <v>2009</v>
      </c>
      <c r="C266" s="31" t="str">
        <f t="shared" si="20"/>
        <v>MAD (Moroccan Dirham)</v>
      </c>
      <c r="D266" s="3"/>
      <c r="E266" s="16" t="s">
        <v>2010</v>
      </c>
      <c r="F266" s="15">
        <v>3694</v>
      </c>
      <c r="G266" s="16" t="str">
        <f t="shared" si="22"/>
        <v>3694 (Kota Prabumulih)</v>
      </c>
      <c r="H266" s="3"/>
      <c r="I266" s="16" t="s">
        <v>2011</v>
      </c>
      <c r="J266" s="52">
        <v>600067</v>
      </c>
      <c r="K266" s="16" t="str">
        <f t="shared" si="23"/>
        <v>600067 (PT. BPR Prima Mertoyudan Sejahtera)</v>
      </c>
    </row>
    <row r="267" spans="1:11" ht="12.75" customHeight="1" x14ac:dyDescent="0.35">
      <c r="A267" s="16" t="s">
        <v>2012</v>
      </c>
      <c r="B267" s="15" t="s">
        <v>2013</v>
      </c>
      <c r="C267" s="31" t="str">
        <f t="shared" si="20"/>
        <v>MZM (Mozambique Metical)</v>
      </c>
      <c r="D267" s="3"/>
      <c r="E267" s="16" t="s">
        <v>2014</v>
      </c>
      <c r="F267" s="15">
        <v>3697</v>
      </c>
      <c r="G267" s="16" t="str">
        <f t="shared" si="22"/>
        <v>3697 (Kota Pagar Alam)</v>
      </c>
      <c r="H267" s="3"/>
      <c r="I267" s="16" t="s">
        <v>2015</v>
      </c>
      <c r="J267" s="52">
        <v>600068</v>
      </c>
      <c r="K267" s="16" t="str">
        <f t="shared" si="23"/>
        <v>600068 (PT. BPR Metropolitan Putra)</v>
      </c>
    </row>
    <row r="268" spans="1:11" ht="12.75" customHeight="1" x14ac:dyDescent="0.35">
      <c r="A268" s="16" t="s">
        <v>2016</v>
      </c>
      <c r="B268" s="15" t="s">
        <v>2017</v>
      </c>
      <c r="C268" s="31" t="str">
        <f t="shared" si="20"/>
        <v>MMK (Myanmar Kyat)</v>
      </c>
      <c r="D268" s="3"/>
      <c r="E268" s="16" t="s">
        <v>381</v>
      </c>
      <c r="F268" s="15">
        <v>3688</v>
      </c>
      <c r="G268" s="16" t="str">
        <f t="shared" si="22"/>
        <v>3688 (Kab./Kota Lainnya)</v>
      </c>
      <c r="H268" s="3"/>
      <c r="I268" s="16" t="s">
        <v>2018</v>
      </c>
      <c r="J268" s="52">
        <v>600069</v>
      </c>
      <c r="K268" s="16" t="str">
        <f t="shared" si="23"/>
        <v>600069 (PT. BPR Dharma Pejuang Empat Lima)</v>
      </c>
    </row>
    <row r="269" spans="1:11" ht="12.75" customHeight="1" x14ac:dyDescent="0.35">
      <c r="A269" s="16" t="s">
        <v>2019</v>
      </c>
      <c r="B269" s="15" t="s">
        <v>2020</v>
      </c>
      <c r="C269" s="31" t="str">
        <f t="shared" si="20"/>
        <v>NAD (Namibia Dollar)</v>
      </c>
      <c r="D269" s="3"/>
      <c r="E269" s="14" t="s">
        <v>2021</v>
      </c>
      <c r="F269" s="15"/>
      <c r="G269" s="16" t="str">
        <f t="shared" si="22"/>
        <v>---- (Provinsi Kepulauan Bangka Belitung)</v>
      </c>
      <c r="H269" s="3"/>
      <c r="I269" s="16" t="s">
        <v>2022</v>
      </c>
      <c r="J269" s="52">
        <v>600070</v>
      </c>
      <c r="K269" s="16" t="str">
        <f t="shared" si="23"/>
        <v>600070 (PT. BPR Siwa Rahardja Utama)</v>
      </c>
    </row>
    <row r="270" spans="1:11" ht="12.75" customHeight="1" x14ac:dyDescent="0.35">
      <c r="A270" s="16" t="s">
        <v>2023</v>
      </c>
      <c r="B270" s="15" t="s">
        <v>2024</v>
      </c>
      <c r="C270" s="31" t="str">
        <f t="shared" si="20"/>
        <v>ZAR (Rand (South African Rand))</v>
      </c>
      <c r="D270" s="3"/>
      <c r="E270" s="16" t="s">
        <v>2025</v>
      </c>
      <c r="F270" s="15">
        <v>3701</v>
      </c>
      <c r="G270" s="16" t="str">
        <f t="shared" si="22"/>
        <v>3701 (Kab. Bangka)</v>
      </c>
      <c r="H270" s="3"/>
      <c r="I270" s="16" t="s">
        <v>2026</v>
      </c>
      <c r="J270" s="52">
        <v>600071</v>
      </c>
      <c r="K270" s="16" t="str">
        <f t="shared" si="23"/>
        <v>600071 (PT. BPR Artaperdana Delta Sentosa)</v>
      </c>
    </row>
    <row r="271" spans="1:11" ht="12.75" customHeight="1" x14ac:dyDescent="0.35">
      <c r="A271" s="16" t="s">
        <v>2027</v>
      </c>
      <c r="B271" s="15" t="s">
        <v>2028</v>
      </c>
      <c r="C271" s="31" t="str">
        <f t="shared" si="20"/>
        <v>NPR (Nepalese Rupee)</v>
      </c>
      <c r="D271" s="3"/>
      <c r="E271" s="16" t="s">
        <v>2029</v>
      </c>
      <c r="F271" s="15">
        <v>3702</v>
      </c>
      <c r="G271" s="16" t="str">
        <f t="shared" si="22"/>
        <v>3702 (Kab. Belitung)</v>
      </c>
      <c r="H271" s="3"/>
      <c r="I271" s="16" t="s">
        <v>2030</v>
      </c>
      <c r="J271" s="52">
        <v>600072</v>
      </c>
      <c r="K271" s="16" t="str">
        <f t="shared" si="23"/>
        <v>600072 (PT. BPR Karunia Kanaka)</v>
      </c>
    </row>
    <row r="272" spans="1:11" ht="12.75" customHeight="1" x14ac:dyDescent="0.35">
      <c r="A272" s="16" t="s">
        <v>2031</v>
      </c>
      <c r="B272" s="15" t="s">
        <v>2032</v>
      </c>
      <c r="C272" s="31" t="str">
        <f t="shared" si="20"/>
        <v>ANG (Netherlands Guilder/Gulden/Florin)</v>
      </c>
      <c r="D272" s="3"/>
      <c r="E272" s="16" t="s">
        <v>2033</v>
      </c>
      <c r="F272" s="15">
        <v>3703</v>
      </c>
      <c r="G272" s="16" t="str">
        <f t="shared" si="22"/>
        <v>3703 (Kab. Bangka Barat)</v>
      </c>
      <c r="H272" s="3"/>
      <c r="I272" s="16" t="s">
        <v>2034</v>
      </c>
      <c r="J272" s="52">
        <v>600073</v>
      </c>
      <c r="K272" s="16" t="str">
        <f t="shared" si="23"/>
        <v>600073 (PT BPR Mega Karsa Mandiri)</v>
      </c>
    </row>
    <row r="273" spans="1:11" ht="12.75" customHeight="1" x14ac:dyDescent="0.35">
      <c r="A273" s="16" t="s">
        <v>2035</v>
      </c>
      <c r="B273" s="15" t="s">
        <v>2036</v>
      </c>
      <c r="C273" s="31" t="str">
        <f t="shared" si="20"/>
        <v>NGN (Nigeria Naira)</v>
      </c>
      <c r="D273" s="3"/>
      <c r="E273" s="16" t="s">
        <v>2037</v>
      </c>
      <c r="F273" s="15">
        <v>3704</v>
      </c>
      <c r="G273" s="16" t="str">
        <f t="shared" si="22"/>
        <v>3704 (Kab. Bangka Selatan)</v>
      </c>
      <c r="H273" s="3"/>
      <c r="I273" s="16" t="s">
        <v>2038</v>
      </c>
      <c r="J273" s="52">
        <v>600074</v>
      </c>
      <c r="K273" s="16" t="str">
        <f t="shared" si="23"/>
        <v>600074 (PT. BPR Gema Esamas Abadi)</v>
      </c>
    </row>
    <row r="274" spans="1:11" ht="12.75" customHeight="1" x14ac:dyDescent="0.35">
      <c r="A274" s="16" t="s">
        <v>2039</v>
      </c>
      <c r="B274" s="15" t="s">
        <v>2040</v>
      </c>
      <c r="C274" s="31" t="str">
        <f t="shared" si="20"/>
        <v>OMR (Omani Rial)</v>
      </c>
      <c r="D274" s="3"/>
      <c r="E274" s="16" t="s">
        <v>2041</v>
      </c>
      <c r="F274" s="15">
        <v>3705</v>
      </c>
      <c r="G274" s="16" t="str">
        <f t="shared" si="22"/>
        <v>3705 (Kab. Bangka Tengah)</v>
      </c>
      <c r="H274" s="3"/>
      <c r="I274" s="16" t="s">
        <v>2042</v>
      </c>
      <c r="J274" s="52">
        <v>600075</v>
      </c>
      <c r="K274" s="16" t="str">
        <f t="shared" si="23"/>
        <v>600075 (PT. BPR Hidup Arthagraha)</v>
      </c>
    </row>
    <row r="275" spans="1:11" ht="12.75" customHeight="1" x14ac:dyDescent="0.35">
      <c r="A275" s="16" t="s">
        <v>2043</v>
      </c>
      <c r="B275" s="15" t="s">
        <v>2044</v>
      </c>
      <c r="C275" s="31" t="str">
        <f t="shared" si="20"/>
        <v>PKR (Pakistan Rupee)</v>
      </c>
      <c r="D275" s="3"/>
      <c r="E275" s="16" t="s">
        <v>2045</v>
      </c>
      <c r="F275" s="15">
        <v>3706</v>
      </c>
      <c r="G275" s="16" t="str">
        <f t="shared" si="22"/>
        <v>3706 (Kab. Belitung Timur)</v>
      </c>
      <c r="H275" s="3"/>
      <c r="I275" s="16" t="s">
        <v>2046</v>
      </c>
      <c r="J275" s="52">
        <v>600076</v>
      </c>
      <c r="K275" s="16" t="str">
        <f t="shared" si="23"/>
        <v>600076 (PT. BPR Multi Tata Perkasa)</v>
      </c>
    </row>
    <row r="276" spans="1:11" ht="12.75" customHeight="1" x14ac:dyDescent="0.35">
      <c r="A276" s="16" t="s">
        <v>2047</v>
      </c>
      <c r="B276" s="15" t="s">
        <v>2048</v>
      </c>
      <c r="C276" s="31" t="str">
        <f t="shared" si="20"/>
        <v>PAB (Panamanian Balboa)</v>
      </c>
      <c r="D276" s="3"/>
      <c r="E276" s="16" t="s">
        <v>2049</v>
      </c>
      <c r="F276" s="15">
        <v>3707</v>
      </c>
      <c r="G276" s="16" t="str">
        <f t="shared" si="22"/>
        <v>3707 (Kab. Bangka Belitung)</v>
      </c>
      <c r="H276" s="3"/>
      <c r="I276" s="16" t="s">
        <v>2050</v>
      </c>
      <c r="J276" s="52">
        <v>600077</v>
      </c>
      <c r="K276" s="16" t="str">
        <f t="shared" si="23"/>
        <v>600077 (PT BPR Dana Mandiri Bogor)</v>
      </c>
    </row>
    <row r="277" spans="1:11" ht="12.75" customHeight="1" x14ac:dyDescent="0.35">
      <c r="A277" s="16" t="s">
        <v>2051</v>
      </c>
      <c r="B277" s="15" t="s">
        <v>2052</v>
      </c>
      <c r="C277" s="31" t="str">
        <f t="shared" si="20"/>
        <v>PGK (Papua New Guinea Kina)</v>
      </c>
      <c r="D277" s="3"/>
      <c r="E277" s="16" t="s">
        <v>2053</v>
      </c>
      <c r="F277" s="15">
        <v>3791</v>
      </c>
      <c r="G277" s="16" t="str">
        <f t="shared" si="22"/>
        <v>3791 (Kota Pangkal Pinang)</v>
      </c>
      <c r="H277" s="3"/>
      <c r="I277" s="16" t="s">
        <v>2054</v>
      </c>
      <c r="J277" s="52">
        <v>600078</v>
      </c>
      <c r="K277" s="16" t="str">
        <f t="shared" si="23"/>
        <v>600078 (PT. BPR Klaten Sejahtera)</v>
      </c>
    </row>
    <row r="278" spans="1:11" ht="12.75" customHeight="1" x14ac:dyDescent="0.35">
      <c r="A278" s="16" t="s">
        <v>2055</v>
      </c>
      <c r="B278" s="15" t="s">
        <v>2056</v>
      </c>
      <c r="C278" s="31" t="str">
        <f t="shared" si="20"/>
        <v>PYG (Paraguayan Guarani)</v>
      </c>
      <c r="D278" s="3"/>
      <c r="E278" s="16" t="s">
        <v>381</v>
      </c>
      <c r="F278" s="15">
        <v>3788</v>
      </c>
      <c r="G278" s="16" t="str">
        <f t="shared" si="22"/>
        <v>3788 (Kab./Kota Lainnya)</v>
      </c>
      <c r="H278" s="3"/>
      <c r="I278" s="16" t="s">
        <v>2057</v>
      </c>
      <c r="J278" s="52">
        <v>600079</v>
      </c>
      <c r="K278" s="16" t="str">
        <f t="shared" si="23"/>
        <v>600079 (PT BPR Tunas Jaya Global)</v>
      </c>
    </row>
    <row r="279" spans="1:11" ht="12.75" customHeight="1" x14ac:dyDescent="0.35">
      <c r="A279" s="16" t="s">
        <v>2058</v>
      </c>
      <c r="B279" s="15" t="s">
        <v>2059</v>
      </c>
      <c r="C279" s="31" t="str">
        <f t="shared" si="20"/>
        <v>PEN (Peruvian Nuevo)</v>
      </c>
      <c r="D279" s="3"/>
      <c r="E279" s="14" t="s">
        <v>2060</v>
      </c>
      <c r="F279" s="15"/>
      <c r="G279" s="16" t="str">
        <f t="shared" si="22"/>
        <v>---- (Provinsi Kepulauan Riau)</v>
      </c>
      <c r="H279" s="3"/>
      <c r="I279" s="16" t="s">
        <v>2061</v>
      </c>
      <c r="J279" s="52">
        <v>600080</v>
      </c>
      <c r="K279" s="16" t="str">
        <f t="shared" si="23"/>
        <v>600080 (PT. BPR Tridharma Depok)</v>
      </c>
    </row>
    <row r="280" spans="1:11" ht="12.75" customHeight="1" x14ac:dyDescent="0.35">
      <c r="A280" s="16" t="s">
        <v>2062</v>
      </c>
      <c r="B280" s="15" t="s">
        <v>2063</v>
      </c>
      <c r="C280" s="31" t="str">
        <f t="shared" si="20"/>
        <v>PHP (Philippines Peso)</v>
      </c>
      <c r="D280" s="3"/>
      <c r="E280" s="16" t="s">
        <v>2064</v>
      </c>
      <c r="F280" s="15">
        <v>3801</v>
      </c>
      <c r="G280" s="16" t="str">
        <f t="shared" si="22"/>
        <v>3801 (Kab. Karimun)</v>
      </c>
      <c r="H280" s="3"/>
      <c r="I280" s="16" t="s">
        <v>2065</v>
      </c>
      <c r="J280" s="52">
        <v>600081</v>
      </c>
      <c r="K280" s="16" t="str">
        <f t="shared" si="23"/>
        <v>600081 (PT. BPR Phidectama Biak)</v>
      </c>
    </row>
    <row r="281" spans="1:11" ht="12.75" customHeight="1" x14ac:dyDescent="0.35">
      <c r="A281" s="16" t="s">
        <v>2066</v>
      </c>
      <c r="B281" s="15" t="s">
        <v>2067</v>
      </c>
      <c r="C281" s="31" t="str">
        <f t="shared" si="20"/>
        <v>PLN (Polis  Zloty/New Zloty)</v>
      </c>
      <c r="D281" s="3"/>
      <c r="E281" s="16" t="s">
        <v>2068</v>
      </c>
      <c r="F281" s="15">
        <v>3802</v>
      </c>
      <c r="G281" s="16" t="str">
        <f t="shared" si="22"/>
        <v>3802 (Kab. Lingga)</v>
      </c>
      <c r="H281" s="3"/>
      <c r="I281" s="16" t="s">
        <v>2069</v>
      </c>
      <c r="J281" s="52">
        <v>600082</v>
      </c>
      <c r="K281" s="16" t="str">
        <f t="shared" si="23"/>
        <v>600082 (PT. BPR Aneka Danaraya)</v>
      </c>
    </row>
    <row r="282" spans="1:11" ht="12.75" customHeight="1" x14ac:dyDescent="0.35">
      <c r="A282" s="16" t="s">
        <v>2070</v>
      </c>
      <c r="B282" s="15" t="s">
        <v>2071</v>
      </c>
      <c r="C282" s="31" t="str">
        <f t="shared" si="20"/>
        <v>PTE (Portuguese Escudo)</v>
      </c>
      <c r="D282" s="3"/>
      <c r="E282" s="16" t="s">
        <v>2072</v>
      </c>
      <c r="F282" s="15">
        <v>3803</v>
      </c>
      <c r="G282" s="16" t="str">
        <f t="shared" si="22"/>
        <v>3803 (Kab. Natuna)</v>
      </c>
      <c r="H282" s="3"/>
      <c r="I282" s="16" t="s">
        <v>2073</v>
      </c>
      <c r="J282" s="52">
        <v>600083</v>
      </c>
      <c r="K282" s="16" t="str">
        <f t="shared" si="23"/>
        <v>600083 (PT. BPR Duta Bali d/h Martabat Buana)</v>
      </c>
    </row>
    <row r="283" spans="1:11" ht="12.75" customHeight="1" x14ac:dyDescent="0.35">
      <c r="A283" s="16" t="s">
        <v>2074</v>
      </c>
      <c r="B283" s="15" t="s">
        <v>2075</v>
      </c>
      <c r="C283" s="31" t="str">
        <f t="shared" si="20"/>
        <v>QAR (Qatari Rial)</v>
      </c>
      <c r="D283" s="3"/>
      <c r="E283" s="16" t="s">
        <v>2076</v>
      </c>
      <c r="F283" s="15">
        <v>3804</v>
      </c>
      <c r="G283" s="16" t="str">
        <f t="shared" si="22"/>
        <v>3804 (Kab. Bintan (d/h Kabupaten Kepulauan Riau))</v>
      </c>
      <c r="H283" s="3"/>
      <c r="I283" s="16" t="s">
        <v>2077</v>
      </c>
      <c r="J283" s="52">
        <v>600084</v>
      </c>
      <c r="K283" s="16" t="str">
        <f t="shared" si="23"/>
        <v>600084 (PT. BPR Langgeng Lestari Bersama)</v>
      </c>
    </row>
    <row r="284" spans="1:11" ht="12.75" customHeight="1" x14ac:dyDescent="0.35">
      <c r="A284" s="16" t="s">
        <v>2078</v>
      </c>
      <c r="B284" s="15" t="s">
        <v>2079</v>
      </c>
      <c r="C284" s="31" t="str">
        <f t="shared" si="20"/>
        <v>ROL (Romanian Leu)</v>
      </c>
      <c r="D284" s="3"/>
      <c r="E284" s="16" t="s">
        <v>2080</v>
      </c>
      <c r="F284" s="15">
        <v>3805</v>
      </c>
      <c r="G284" s="16" t="str">
        <f t="shared" si="22"/>
        <v>3805 (Kab. Anambas)</v>
      </c>
      <c r="H284" s="3"/>
      <c r="I284" s="16" t="s">
        <v>2081</v>
      </c>
      <c r="J284" s="52">
        <v>600085</v>
      </c>
      <c r="K284" s="16" t="str">
        <f t="shared" si="23"/>
        <v>600085 (PT. BPR Dana Niaga)</v>
      </c>
    </row>
    <row r="285" spans="1:11" ht="12.75" customHeight="1" x14ac:dyDescent="0.35">
      <c r="A285" s="16" t="s">
        <v>2082</v>
      </c>
      <c r="B285" s="15" t="s">
        <v>2083</v>
      </c>
      <c r="C285" s="31" t="str">
        <f t="shared" si="20"/>
        <v>RUB (Russian Rouble)</v>
      </c>
      <c r="D285" s="3"/>
      <c r="E285" s="16" t="s">
        <v>2084</v>
      </c>
      <c r="F285" s="15">
        <v>3891</v>
      </c>
      <c r="G285" s="16" t="str">
        <f t="shared" si="22"/>
        <v>3891 (Kota Tanjung Pinang)</v>
      </c>
      <c r="H285" s="3"/>
      <c r="I285" s="16" t="s">
        <v>2085</v>
      </c>
      <c r="J285" s="52">
        <v>600086</v>
      </c>
      <c r="K285" s="16" t="str">
        <f t="shared" si="23"/>
        <v>600086 (PT. BPR Suryamas)</v>
      </c>
    </row>
    <row r="286" spans="1:11" ht="12.75" customHeight="1" x14ac:dyDescent="0.35">
      <c r="A286" s="16" t="s">
        <v>2086</v>
      </c>
      <c r="B286" s="15" t="s">
        <v>2087</v>
      </c>
      <c r="C286" s="31" t="str">
        <f t="shared" si="20"/>
        <v>RWF (Rwanda Franc)</v>
      </c>
      <c r="D286" s="3"/>
      <c r="E286" s="16" t="s">
        <v>2088</v>
      </c>
      <c r="F286" s="15">
        <v>3892</v>
      </c>
      <c r="G286" s="16" t="str">
        <f t="shared" si="22"/>
        <v>3892 (Kota Batam)</v>
      </c>
      <c r="H286" s="3"/>
      <c r="I286" s="16" t="s">
        <v>2089</v>
      </c>
      <c r="J286" s="52">
        <v>600087</v>
      </c>
      <c r="K286" s="16" t="str">
        <f t="shared" si="23"/>
        <v>600087 (PT BPR Central International)</v>
      </c>
    </row>
    <row r="287" spans="1:11" ht="12.75" customHeight="1" x14ac:dyDescent="0.35">
      <c r="A287" s="16" t="s">
        <v>2090</v>
      </c>
      <c r="B287" s="15" t="s">
        <v>2091</v>
      </c>
      <c r="C287" s="31" t="str">
        <f t="shared" si="20"/>
        <v>WST (Samoan (West)  Tala)</v>
      </c>
      <c r="D287" s="3"/>
      <c r="E287" s="16" t="s">
        <v>381</v>
      </c>
      <c r="F287" s="15">
        <v>3888</v>
      </c>
      <c r="G287" s="16" t="str">
        <f t="shared" si="22"/>
        <v>3888 (Kab./Kota Lainnya)</v>
      </c>
      <c r="H287" s="3"/>
      <c r="I287" s="16" t="s">
        <v>2092</v>
      </c>
      <c r="J287" s="52">
        <v>600088</v>
      </c>
      <c r="K287" s="16" t="str">
        <f t="shared" si="23"/>
        <v>600088 (PT. BPR Artha Huda Abadi)</v>
      </c>
    </row>
    <row r="288" spans="1:11" ht="12.75" customHeight="1" x14ac:dyDescent="0.35">
      <c r="A288" s="16" t="s">
        <v>2093</v>
      </c>
      <c r="B288" s="15" t="s">
        <v>2094</v>
      </c>
      <c r="C288" s="31" t="str">
        <f t="shared" si="20"/>
        <v>STD (Sao  Tome  Dobra)</v>
      </c>
      <c r="D288" s="3"/>
      <c r="E288" s="14" t="s">
        <v>2095</v>
      </c>
      <c r="F288" s="15"/>
      <c r="G288" s="16" t="str">
        <f t="shared" si="22"/>
        <v>---- (Provinsi Lampung)</v>
      </c>
      <c r="H288" s="3"/>
      <c r="I288" s="16" t="s">
        <v>2096</v>
      </c>
      <c r="J288" s="52">
        <v>600089</v>
      </c>
      <c r="K288" s="16" t="str">
        <f t="shared" si="23"/>
        <v>600089 (PT. BPR Hariarta Sedana)</v>
      </c>
    </row>
    <row r="289" spans="1:11" ht="12.75" customHeight="1" x14ac:dyDescent="0.35">
      <c r="A289" s="16" t="s">
        <v>2097</v>
      </c>
      <c r="B289" s="15" t="s">
        <v>2098</v>
      </c>
      <c r="C289" s="31" t="str">
        <f t="shared" si="20"/>
        <v>SAR (Saudi Riyal)</v>
      </c>
      <c r="D289" s="3"/>
      <c r="E289" s="16" t="s">
        <v>2099</v>
      </c>
      <c r="F289" s="15">
        <v>3901</v>
      </c>
      <c r="G289" s="16" t="str">
        <f t="shared" si="22"/>
        <v>3901 (Kab. Lampung Selatan)</v>
      </c>
      <c r="H289" s="3"/>
      <c r="I289" s="16" t="s">
        <v>2100</v>
      </c>
      <c r="J289" s="52">
        <v>600090</v>
      </c>
      <c r="K289" s="16" t="str">
        <f t="shared" si="23"/>
        <v>600090 (PT. BPR Ukabima Nindya Raharja)</v>
      </c>
    </row>
    <row r="290" spans="1:11" ht="12.75" customHeight="1" x14ac:dyDescent="0.35">
      <c r="A290" s="16" t="s">
        <v>2101</v>
      </c>
      <c r="B290" s="15" t="s">
        <v>2102</v>
      </c>
      <c r="C290" s="31" t="str">
        <f t="shared" si="20"/>
        <v>SLL (Sierra Leone Leone)</v>
      </c>
      <c r="D290" s="3"/>
      <c r="E290" s="16" t="s">
        <v>2103</v>
      </c>
      <c r="F290" s="15">
        <v>3902</v>
      </c>
      <c r="G290" s="16" t="str">
        <f t="shared" si="22"/>
        <v>3902 (Kab. Lampung Tengah)</v>
      </c>
      <c r="H290" s="3"/>
      <c r="I290" s="16" t="s">
        <v>2104</v>
      </c>
      <c r="J290" s="52">
        <v>600091</v>
      </c>
      <c r="K290" s="16" t="str">
        <f t="shared" si="23"/>
        <v>600091 (PT. BPR Menaramas Mitra)</v>
      </c>
    </row>
    <row r="291" spans="1:11" ht="12.75" customHeight="1" x14ac:dyDescent="0.35">
      <c r="A291" s="16" t="s">
        <v>2105</v>
      </c>
      <c r="B291" s="15" t="s">
        <v>2106</v>
      </c>
      <c r="C291" s="31" t="str">
        <f t="shared" si="20"/>
        <v>SGD (Singapore Dollar)</v>
      </c>
      <c r="D291" s="3"/>
      <c r="E291" s="16" t="s">
        <v>2107</v>
      </c>
      <c r="F291" s="15">
        <v>3903</v>
      </c>
      <c r="G291" s="16" t="str">
        <f t="shared" si="22"/>
        <v>3903 (Kab. Lampung Utara)</v>
      </c>
      <c r="H291" s="3"/>
      <c r="I291" s="16" t="s">
        <v>2108</v>
      </c>
      <c r="J291" s="52">
        <v>600092</v>
      </c>
      <c r="K291" s="16" t="str">
        <f t="shared" si="23"/>
        <v>600092 (PT. BPR Nusantara Bona Pasogit 16)</v>
      </c>
    </row>
    <row r="292" spans="1:11" ht="12.75" customHeight="1" x14ac:dyDescent="0.35">
      <c r="A292" s="16" t="s">
        <v>2109</v>
      </c>
      <c r="B292" s="15" t="s">
        <v>2110</v>
      </c>
      <c r="C292" s="31" t="str">
        <f t="shared" si="20"/>
        <v>SKK (Slovakian Koruna)</v>
      </c>
      <c r="D292" s="3"/>
      <c r="E292" s="16" t="s">
        <v>2111</v>
      </c>
      <c r="F292" s="15">
        <v>3904</v>
      </c>
      <c r="G292" s="16" t="str">
        <f t="shared" si="22"/>
        <v>3904 (Kab. Lampung Barat)</v>
      </c>
      <c r="H292" s="3"/>
      <c r="I292" s="16" t="s">
        <v>2112</v>
      </c>
      <c r="J292" s="52">
        <v>600093</v>
      </c>
      <c r="K292" s="16" t="str">
        <f t="shared" si="23"/>
        <v>600093 (PT. BPR Gita Makmur Utama)</v>
      </c>
    </row>
    <row r="293" spans="1:11" ht="12.75" customHeight="1" x14ac:dyDescent="0.35">
      <c r="A293" s="16" t="s">
        <v>2113</v>
      </c>
      <c r="B293" s="15" t="s">
        <v>2114</v>
      </c>
      <c r="C293" s="31" t="str">
        <f t="shared" si="20"/>
        <v>SIT (Slovenia Tolar)</v>
      </c>
      <c r="D293" s="3"/>
      <c r="E293" s="16" t="s">
        <v>2115</v>
      </c>
      <c r="F293" s="15">
        <v>3905</v>
      </c>
      <c r="G293" s="16" t="str">
        <f t="shared" si="22"/>
        <v>3905 (Kab. Tulang Bawang)</v>
      </c>
      <c r="H293" s="3"/>
      <c r="I293" s="16" t="s">
        <v>2116</v>
      </c>
      <c r="J293" s="52">
        <v>600094</v>
      </c>
      <c r="K293" s="16" t="str">
        <f t="shared" si="23"/>
        <v>600094 (PT. BPR Dana Rajabally)</v>
      </c>
    </row>
    <row r="294" spans="1:11" ht="12.75" customHeight="1" x14ac:dyDescent="0.35">
      <c r="A294" s="16" t="s">
        <v>2117</v>
      </c>
      <c r="B294" s="15" t="s">
        <v>2118</v>
      </c>
      <c r="C294" s="31" t="str">
        <f t="shared" si="20"/>
        <v>SBD (Solomon Islands Dollar)</v>
      </c>
      <c r="D294" s="3"/>
      <c r="E294" s="16" t="s">
        <v>2119</v>
      </c>
      <c r="F294" s="15">
        <v>3906</v>
      </c>
      <c r="G294" s="16" t="str">
        <f t="shared" si="22"/>
        <v>3906 (Kab. Tanggamus)</v>
      </c>
      <c r="H294" s="3"/>
      <c r="I294" s="16" t="s">
        <v>2120</v>
      </c>
      <c r="J294" s="52">
        <v>600095</v>
      </c>
      <c r="K294" s="16" t="str">
        <f t="shared" si="23"/>
        <v>600095 (PT. BPR Gajah Mungkur d/h Tunggal Dara)</v>
      </c>
    </row>
    <row r="295" spans="1:11" ht="12.75" customHeight="1" x14ac:dyDescent="0.35">
      <c r="A295" s="16" t="s">
        <v>2121</v>
      </c>
      <c r="B295" s="15" t="s">
        <v>2122</v>
      </c>
      <c r="C295" s="31" t="str">
        <f t="shared" si="20"/>
        <v>SOS (Somali Schilling)</v>
      </c>
      <c r="D295" s="3"/>
      <c r="E295" s="16" t="s">
        <v>2123</v>
      </c>
      <c r="F295" s="15">
        <v>3907</v>
      </c>
      <c r="G295" s="16" t="str">
        <f t="shared" si="22"/>
        <v>3907 (Kab. Lampung Timur)</v>
      </c>
      <c r="H295" s="3"/>
      <c r="I295" s="16" t="s">
        <v>2124</v>
      </c>
      <c r="J295" s="52">
        <v>600096</v>
      </c>
      <c r="K295" s="16" t="str">
        <f t="shared" si="23"/>
        <v>600096 (PT. BPR Artha Aceh Sejahtera)</v>
      </c>
    </row>
    <row r="296" spans="1:11" ht="12.75" customHeight="1" x14ac:dyDescent="0.35">
      <c r="A296" s="16" t="s">
        <v>2125</v>
      </c>
      <c r="B296" s="15" t="s">
        <v>2126</v>
      </c>
      <c r="C296" s="31" t="str">
        <f t="shared" si="20"/>
        <v>ESP (Spanish Peseta (convertiable Peseta Acc))</v>
      </c>
      <c r="D296" s="3"/>
      <c r="E296" s="16" t="s">
        <v>2127</v>
      </c>
      <c r="F296" s="15">
        <v>3908</v>
      </c>
      <c r="G296" s="16" t="str">
        <f t="shared" si="22"/>
        <v>3908 (Kab. Way Kanan)</v>
      </c>
      <c r="H296" s="3"/>
      <c r="I296" s="16" t="s">
        <v>2128</v>
      </c>
      <c r="J296" s="52">
        <v>600097</v>
      </c>
      <c r="K296" s="16" t="str">
        <f t="shared" si="23"/>
        <v>600097 (PT. BPR Gebu Kujang Kinantan)</v>
      </c>
    </row>
    <row r="297" spans="1:11" ht="12.75" customHeight="1" x14ac:dyDescent="0.35">
      <c r="A297" s="16" t="s">
        <v>1328</v>
      </c>
      <c r="B297" s="15" t="s">
        <v>2129</v>
      </c>
      <c r="C297" s="31" t="str">
        <f t="shared" si="20"/>
        <v>ESB (Spanish Peseta)</v>
      </c>
      <c r="D297" s="3"/>
      <c r="E297" s="16" t="s">
        <v>2130</v>
      </c>
      <c r="F297" s="15">
        <v>3909</v>
      </c>
      <c r="G297" s="16" t="str">
        <f t="shared" si="22"/>
        <v>3909 (Kab. Pesawaran)</v>
      </c>
      <c r="H297" s="3"/>
      <c r="I297" s="16" t="s">
        <v>2131</v>
      </c>
      <c r="J297" s="52">
        <v>600098</v>
      </c>
      <c r="K297" s="16" t="str">
        <f t="shared" si="23"/>
        <v>600098 (PT. BPR Binadana Makmur)</v>
      </c>
    </row>
    <row r="298" spans="1:11" ht="12.75" customHeight="1" x14ac:dyDescent="0.35">
      <c r="A298" s="16" t="s">
        <v>2132</v>
      </c>
      <c r="B298" s="15" t="s">
        <v>2133</v>
      </c>
      <c r="C298" s="31" t="str">
        <f t="shared" si="20"/>
        <v>LKR (Sri  Langka Rupee)</v>
      </c>
      <c r="D298" s="3"/>
      <c r="E298" s="16" t="s">
        <v>2134</v>
      </c>
      <c r="F298" s="15">
        <v>3910</v>
      </c>
      <c r="G298" s="16" t="str">
        <f t="shared" si="22"/>
        <v>3910 (Kab. Pringsewu)</v>
      </c>
      <c r="H298" s="3"/>
      <c r="I298" s="16" t="s">
        <v>2135</v>
      </c>
      <c r="J298" s="52">
        <v>600099</v>
      </c>
      <c r="K298" s="16" t="str">
        <f t="shared" si="23"/>
        <v>600099 (PT. BPR Kedu Arthasetia)</v>
      </c>
    </row>
    <row r="299" spans="1:11" ht="12.75" customHeight="1" x14ac:dyDescent="0.35">
      <c r="A299" s="16" t="s">
        <v>2136</v>
      </c>
      <c r="B299" s="15" t="s">
        <v>2137</v>
      </c>
      <c r="C299" s="31" t="str">
        <f t="shared" si="20"/>
        <v>SHP (St.  Helena Pound)</v>
      </c>
      <c r="D299" s="3"/>
      <c r="E299" s="16" t="s">
        <v>2138</v>
      </c>
      <c r="F299" s="15">
        <v>3911</v>
      </c>
      <c r="G299" s="16" t="str">
        <f t="shared" si="22"/>
        <v>3911 (Kab. Tulang Bawang Barat)</v>
      </c>
      <c r="H299" s="3"/>
      <c r="I299" s="16" t="s">
        <v>2139</v>
      </c>
      <c r="J299" s="52">
        <v>600101</v>
      </c>
      <c r="K299" s="16" t="str">
        <f t="shared" si="23"/>
        <v>600101 (PT. BPR Sisibahari Dana)</v>
      </c>
    </row>
    <row r="300" spans="1:11" ht="12.75" customHeight="1" x14ac:dyDescent="0.35">
      <c r="A300" s="16" t="s">
        <v>2140</v>
      </c>
      <c r="B300" s="15" t="s">
        <v>2141</v>
      </c>
      <c r="C300" s="31" t="str">
        <f t="shared" si="20"/>
        <v>SDP (Sudanese Pound)</v>
      </c>
      <c r="D300" s="3"/>
      <c r="E300" s="16" t="s">
        <v>2142</v>
      </c>
      <c r="F300" s="15">
        <v>3912</v>
      </c>
      <c r="G300" s="16" t="str">
        <f t="shared" si="22"/>
        <v>3912 (Kab. Mesuji)</v>
      </c>
      <c r="H300" s="3"/>
      <c r="I300" s="16" t="s">
        <v>2143</v>
      </c>
      <c r="J300" s="52">
        <v>600102</v>
      </c>
      <c r="K300" s="16" t="str">
        <f t="shared" si="23"/>
        <v>600102 (PT. BPR Wirosari Ijo)</v>
      </c>
    </row>
    <row r="301" spans="1:11" ht="12.75" customHeight="1" x14ac:dyDescent="0.35">
      <c r="A301" s="16" t="s">
        <v>2144</v>
      </c>
      <c r="B301" s="15" t="s">
        <v>2145</v>
      </c>
      <c r="C301" s="31" t="str">
        <f t="shared" si="20"/>
        <v>SDD (Sudanese Dinar)</v>
      </c>
      <c r="D301" s="3"/>
      <c r="E301" s="16" t="s">
        <v>2146</v>
      </c>
      <c r="F301" s="15">
        <v>3991</v>
      </c>
      <c r="G301" s="16" t="str">
        <f t="shared" si="22"/>
        <v>3991 (Kota Bandar Lampung)</v>
      </c>
      <c r="H301" s="3"/>
      <c r="I301" s="16" t="s">
        <v>2147</v>
      </c>
      <c r="J301" s="52">
        <v>600103</v>
      </c>
      <c r="K301" s="16" t="str">
        <f t="shared" si="23"/>
        <v>600103 (PT. BPR Ardhie Gede)</v>
      </c>
    </row>
    <row r="302" spans="1:11" ht="12.75" customHeight="1" x14ac:dyDescent="0.35">
      <c r="A302" s="16" t="s">
        <v>2148</v>
      </c>
      <c r="B302" s="15" t="s">
        <v>2149</v>
      </c>
      <c r="C302" s="31" t="str">
        <f t="shared" si="20"/>
        <v>SRG (Surinam Guilder)</v>
      </c>
      <c r="D302" s="3"/>
      <c r="E302" s="16" t="s">
        <v>2150</v>
      </c>
      <c r="F302" s="15">
        <v>3992</v>
      </c>
      <c r="G302" s="16" t="str">
        <f t="shared" si="22"/>
        <v>3992 (Kota Metro)</v>
      </c>
      <c r="H302" s="3"/>
      <c r="I302" s="16" t="s">
        <v>2151</v>
      </c>
      <c r="J302" s="52">
        <v>600104</v>
      </c>
      <c r="K302" s="16" t="str">
        <f t="shared" si="23"/>
        <v>600104 (PT. BPR Pondok Meja Indah)</v>
      </c>
    </row>
    <row r="303" spans="1:11" ht="12.75" customHeight="1" x14ac:dyDescent="0.35">
      <c r="A303" s="16" t="s">
        <v>2152</v>
      </c>
      <c r="B303" s="15" t="s">
        <v>2153</v>
      </c>
      <c r="C303" s="31" t="str">
        <f t="shared" si="20"/>
        <v>SRD (Surinam Dollar)</v>
      </c>
      <c r="D303" s="3"/>
      <c r="E303" s="16" t="s">
        <v>381</v>
      </c>
      <c r="F303" s="15">
        <v>3988</v>
      </c>
      <c r="G303" s="16" t="str">
        <f t="shared" si="22"/>
        <v>3988 (Kab./Kota Lainnya)</v>
      </c>
      <c r="H303" s="3"/>
      <c r="I303" s="16" t="s">
        <v>2154</v>
      </c>
      <c r="J303" s="52">
        <v>600105</v>
      </c>
      <c r="K303" s="16" t="str">
        <f t="shared" si="23"/>
        <v>600105 (PT. BPR Sowan Utama)</v>
      </c>
    </row>
    <row r="304" spans="1:11" ht="12.75" customHeight="1" x14ac:dyDescent="0.35">
      <c r="A304" s="16" t="s">
        <v>2155</v>
      </c>
      <c r="B304" s="15" t="s">
        <v>2156</v>
      </c>
      <c r="C304" s="31" t="str">
        <f t="shared" si="20"/>
        <v>SZL (Swaziland Lilangeni)</v>
      </c>
      <c r="D304" s="3"/>
      <c r="E304" s="14" t="s">
        <v>2157</v>
      </c>
      <c r="F304" s="15"/>
      <c r="G304" s="16" t="str">
        <f t="shared" si="22"/>
        <v>---- (Provinsi Kalimantan Selatan)</v>
      </c>
      <c r="H304" s="3"/>
      <c r="I304" s="16" t="s">
        <v>2158</v>
      </c>
      <c r="J304" s="52">
        <v>600106</v>
      </c>
      <c r="K304" s="16" t="str">
        <f t="shared" si="23"/>
        <v>600106 (PT. BPR Matahari Artadaya)</v>
      </c>
    </row>
    <row r="305" spans="1:11" ht="12.75" customHeight="1" x14ac:dyDescent="0.35">
      <c r="A305" s="16" t="s">
        <v>2159</v>
      </c>
      <c r="B305" s="15" t="s">
        <v>2160</v>
      </c>
      <c r="C305" s="31" t="str">
        <f t="shared" si="20"/>
        <v>SEK (Swedish Krone)</v>
      </c>
      <c r="D305" s="3"/>
      <c r="E305" s="16" t="s">
        <v>2161</v>
      </c>
      <c r="F305" s="15">
        <v>5101</v>
      </c>
      <c r="G305" s="16" t="str">
        <f t="shared" si="22"/>
        <v>5101 (Kab. Banjar)</v>
      </c>
      <c r="H305" s="3"/>
      <c r="I305" s="16" t="s">
        <v>2162</v>
      </c>
      <c r="J305" s="52">
        <v>600108</v>
      </c>
      <c r="K305" s="16" t="str">
        <f t="shared" si="23"/>
        <v>600108 (PT. BPR Antar Guna)</v>
      </c>
    </row>
    <row r="306" spans="1:11" ht="12.75" customHeight="1" x14ac:dyDescent="0.35">
      <c r="A306" s="16" t="s">
        <v>2163</v>
      </c>
      <c r="B306" s="15" t="s">
        <v>2164</v>
      </c>
      <c r="C306" s="31" t="str">
        <f t="shared" si="20"/>
        <v>SYP (Syrian Pound)</v>
      </c>
      <c r="D306" s="3"/>
      <c r="E306" s="16" t="s">
        <v>2165</v>
      </c>
      <c r="F306" s="15">
        <v>5102</v>
      </c>
      <c r="G306" s="16" t="str">
        <f t="shared" si="22"/>
        <v>5102 (Kab. Tanah Laut)</v>
      </c>
      <c r="H306" s="3"/>
      <c r="I306" s="16" t="s">
        <v>2166</v>
      </c>
      <c r="J306" s="52">
        <v>600109</v>
      </c>
      <c r="K306" s="16" t="str">
        <f t="shared" si="23"/>
        <v>600109 (PT. BPR Tri Harta Indah)</v>
      </c>
    </row>
    <row r="307" spans="1:11" ht="12.75" customHeight="1" x14ac:dyDescent="0.35">
      <c r="A307" s="16" t="s">
        <v>2167</v>
      </c>
      <c r="B307" s="15" t="s">
        <v>2168</v>
      </c>
      <c r="C307" s="31" t="str">
        <f t="shared" si="20"/>
        <v>TWD (Taiwan Dollar)</v>
      </c>
      <c r="D307" s="3"/>
      <c r="E307" s="16" t="s">
        <v>2169</v>
      </c>
      <c r="F307" s="15">
        <v>5103</v>
      </c>
      <c r="G307" s="16" t="str">
        <f t="shared" si="22"/>
        <v>5103 (Kab. Tapin)</v>
      </c>
      <c r="H307" s="3"/>
      <c r="I307" s="16" t="s">
        <v>2170</v>
      </c>
      <c r="J307" s="52">
        <v>600110</v>
      </c>
      <c r="K307" s="16" t="str">
        <f t="shared" si="23"/>
        <v>600110 (PT. BPR Jadi Manunggal Abadi)</v>
      </c>
    </row>
    <row r="308" spans="1:11" ht="12.75" customHeight="1" x14ac:dyDescent="0.35">
      <c r="A308" s="16" t="s">
        <v>2171</v>
      </c>
      <c r="B308" s="15" t="s">
        <v>2172</v>
      </c>
      <c r="C308" s="31" t="str">
        <f t="shared" si="20"/>
        <v>TJS (Tajikistan Somoni)</v>
      </c>
      <c r="D308" s="3"/>
      <c r="E308" s="16" t="s">
        <v>2173</v>
      </c>
      <c r="F308" s="15">
        <v>5104</v>
      </c>
      <c r="G308" s="16" t="str">
        <f t="shared" si="22"/>
        <v>5104 (Kab. Hulu Sungai Selatan)</v>
      </c>
      <c r="H308" s="3"/>
      <c r="I308" s="16" t="s">
        <v>2174</v>
      </c>
      <c r="J308" s="52">
        <v>600111</v>
      </c>
      <c r="K308" s="16" t="str">
        <f t="shared" si="23"/>
        <v>600111 (PT BPR DP Taspen)</v>
      </c>
    </row>
    <row r="309" spans="1:11" ht="12.75" customHeight="1" x14ac:dyDescent="0.35">
      <c r="A309" s="16" t="s">
        <v>2175</v>
      </c>
      <c r="B309" s="15" t="s">
        <v>2176</v>
      </c>
      <c r="C309" s="31" t="str">
        <f t="shared" si="20"/>
        <v>TZS (Tanzanian Shilling)</v>
      </c>
      <c r="D309" s="3"/>
      <c r="E309" s="16" t="s">
        <v>2177</v>
      </c>
      <c r="F309" s="15">
        <v>5105</v>
      </c>
      <c r="G309" s="16" t="str">
        <f t="shared" si="22"/>
        <v>5105 (Kab. Hulu Sungai Tengah)</v>
      </c>
      <c r="H309" s="3"/>
      <c r="I309" s="16" t="s">
        <v>2178</v>
      </c>
      <c r="J309" s="52">
        <v>600112</v>
      </c>
      <c r="K309" s="16" t="str">
        <f t="shared" si="23"/>
        <v>600112 (PT. BPR Dau Lestari)</v>
      </c>
    </row>
    <row r="310" spans="1:11" ht="12.75" customHeight="1" x14ac:dyDescent="0.35">
      <c r="A310" s="16" t="s">
        <v>2179</v>
      </c>
      <c r="B310" s="15" t="s">
        <v>2180</v>
      </c>
      <c r="C310" s="31" t="str">
        <f t="shared" si="20"/>
        <v>THB (Thai Bath)</v>
      </c>
      <c r="D310" s="3"/>
      <c r="E310" s="16" t="s">
        <v>2181</v>
      </c>
      <c r="F310" s="15">
        <v>5106</v>
      </c>
      <c r="G310" s="16" t="str">
        <f t="shared" si="22"/>
        <v>5106 (Kab. Hulu Sungai Utara)</v>
      </c>
      <c r="H310" s="3"/>
      <c r="I310" s="16" t="s">
        <v>2182</v>
      </c>
      <c r="J310" s="52">
        <v>600113</v>
      </c>
      <c r="K310" s="16" t="str">
        <f t="shared" si="23"/>
        <v>600113 (PT. BPR Pulau Intan Sejahtera)</v>
      </c>
    </row>
    <row r="311" spans="1:11" ht="12.75" customHeight="1" x14ac:dyDescent="0.35">
      <c r="A311" s="16" t="s">
        <v>2183</v>
      </c>
      <c r="B311" s="15" t="s">
        <v>2184</v>
      </c>
      <c r="C311" s="31" t="str">
        <f t="shared" si="20"/>
        <v>TOP (Tonga Pa'anga)</v>
      </c>
      <c r="D311" s="3"/>
      <c r="E311" s="16" t="s">
        <v>2185</v>
      </c>
      <c r="F311" s="15">
        <v>5107</v>
      </c>
      <c r="G311" s="16" t="str">
        <f t="shared" si="22"/>
        <v>5107 (Kab. Barito Kuala)</v>
      </c>
      <c r="H311" s="3"/>
      <c r="I311" s="16" t="s">
        <v>2186</v>
      </c>
      <c r="J311" s="52">
        <v>600114</v>
      </c>
      <c r="K311" s="16" t="str">
        <f t="shared" si="23"/>
        <v>600114 (PT. BPR Artha Jaya Citeureup)</v>
      </c>
    </row>
    <row r="312" spans="1:11" ht="12.75" customHeight="1" x14ac:dyDescent="0.35">
      <c r="A312" s="16" t="s">
        <v>2187</v>
      </c>
      <c r="B312" s="15" t="s">
        <v>2188</v>
      </c>
      <c r="C312" s="31" t="str">
        <f t="shared" si="20"/>
        <v>TTD (Trinidad &amp; Tobago Dollar)</v>
      </c>
      <c r="D312" s="3"/>
      <c r="E312" s="16" t="s">
        <v>2189</v>
      </c>
      <c r="F312" s="15">
        <v>5108</v>
      </c>
      <c r="G312" s="16" t="str">
        <f t="shared" si="22"/>
        <v>5108 (Kab. Kota Baru)</v>
      </c>
      <c r="H312" s="3"/>
      <c r="I312" s="16" t="s">
        <v>2190</v>
      </c>
      <c r="J312" s="52">
        <v>600116</v>
      </c>
      <c r="K312" s="16" t="str">
        <f t="shared" si="23"/>
        <v>600116 (PT. BPR Danamitra Surya)</v>
      </c>
    </row>
    <row r="313" spans="1:11" ht="12.75" customHeight="1" x14ac:dyDescent="0.35">
      <c r="A313" s="16" t="s">
        <v>2191</v>
      </c>
      <c r="B313" s="15" t="s">
        <v>2192</v>
      </c>
      <c r="C313" s="31" t="str">
        <f t="shared" si="20"/>
        <v>TND (Tunisian Dinar)</v>
      </c>
      <c r="D313" s="3"/>
      <c r="E313" s="16" t="s">
        <v>2193</v>
      </c>
      <c r="F313" s="15">
        <v>5109</v>
      </c>
      <c r="G313" s="16" t="str">
        <f t="shared" si="22"/>
        <v>5109 (Kab. Tabalong)</v>
      </c>
      <c r="H313" s="3"/>
      <c r="I313" s="16" t="s">
        <v>2194</v>
      </c>
      <c r="J313" s="52">
        <v>600119</v>
      </c>
      <c r="K313" s="16" t="str">
        <f t="shared" si="23"/>
        <v>600119 (PT. BPR Panca Danarakyat)</v>
      </c>
    </row>
    <row r="314" spans="1:11" ht="12.75" customHeight="1" x14ac:dyDescent="0.35">
      <c r="A314" s="16" t="s">
        <v>2195</v>
      </c>
      <c r="B314" s="15" t="s">
        <v>2196</v>
      </c>
      <c r="C314" s="31" t="str">
        <f t="shared" si="20"/>
        <v>TRY (Turkish Lira)</v>
      </c>
      <c r="D314" s="3"/>
      <c r="E314" s="16" t="s">
        <v>2197</v>
      </c>
      <c r="F314" s="15">
        <v>5110</v>
      </c>
      <c r="G314" s="16" t="str">
        <f t="shared" si="22"/>
        <v>5110 (Kab.Tanah Bumbu)</v>
      </c>
      <c r="H314" s="3"/>
      <c r="I314" s="16" t="s">
        <v>2198</v>
      </c>
      <c r="J314" s="52">
        <v>600120</v>
      </c>
      <c r="K314" s="16" t="str">
        <f t="shared" si="23"/>
        <v>600120 (PT. BPR Dau Anugerah)</v>
      </c>
    </row>
    <row r="315" spans="1:11" ht="12.75" customHeight="1" x14ac:dyDescent="0.35">
      <c r="A315" s="16" t="s">
        <v>2199</v>
      </c>
      <c r="B315" s="15" t="s">
        <v>2200</v>
      </c>
      <c r="C315" s="31" t="str">
        <f t="shared" si="20"/>
        <v>TMM (Turkmenistan Manat)</v>
      </c>
      <c r="D315" s="3"/>
      <c r="E315" s="16" t="s">
        <v>2201</v>
      </c>
      <c r="F315" s="15">
        <v>5111</v>
      </c>
      <c r="G315" s="16" t="str">
        <f t="shared" si="22"/>
        <v>5111 (Kab. Balangan)</v>
      </c>
      <c r="H315" s="3"/>
      <c r="I315" s="16" t="s">
        <v>2202</v>
      </c>
      <c r="J315" s="52">
        <v>600122</v>
      </c>
      <c r="K315" s="16" t="str">
        <f t="shared" si="23"/>
        <v>600122 (PT. BPR Artha Moro)</v>
      </c>
    </row>
    <row r="316" spans="1:11" ht="12.75" customHeight="1" x14ac:dyDescent="0.35">
      <c r="A316" s="16" t="s">
        <v>2203</v>
      </c>
      <c r="B316" s="15" t="s">
        <v>2204</v>
      </c>
      <c r="C316" s="31" t="str">
        <f t="shared" si="20"/>
        <v>UGX (Ugandan Shilling)</v>
      </c>
      <c r="D316" s="3"/>
      <c r="E316" s="16" t="s">
        <v>2205</v>
      </c>
      <c r="F316" s="15">
        <v>5191</v>
      </c>
      <c r="G316" s="16" t="str">
        <f t="shared" si="22"/>
        <v>5191 (Kota Banjarmasin)</v>
      </c>
      <c r="H316" s="3"/>
      <c r="I316" s="16" t="s">
        <v>2206</v>
      </c>
      <c r="J316" s="52">
        <v>600123</v>
      </c>
      <c r="K316" s="16" t="str">
        <f t="shared" si="23"/>
        <v>600123 (PT. BPR Artha Kurnia Raharja)</v>
      </c>
    </row>
    <row r="317" spans="1:11" ht="12.75" customHeight="1" x14ac:dyDescent="0.35">
      <c r="A317" s="16" t="s">
        <v>2207</v>
      </c>
      <c r="B317" s="15" t="s">
        <v>2208</v>
      </c>
      <c r="C317" s="31" t="str">
        <f t="shared" si="20"/>
        <v>UAH (Ukrainian Hryvna)</v>
      </c>
      <c r="D317" s="3"/>
      <c r="E317" s="16" t="s">
        <v>2209</v>
      </c>
      <c r="F317" s="15">
        <v>5192</v>
      </c>
      <c r="G317" s="16" t="str">
        <f t="shared" si="22"/>
        <v>5192 (Kota Banjarbaru)</v>
      </c>
      <c r="H317" s="3"/>
      <c r="I317" s="16" t="s">
        <v>2210</v>
      </c>
      <c r="J317" s="52">
        <v>600124</v>
      </c>
      <c r="K317" s="16" t="str">
        <f t="shared" si="23"/>
        <v>600124 (PT. BPR Cipta Dana Mulia)</v>
      </c>
    </row>
    <row r="318" spans="1:11" ht="12.75" customHeight="1" x14ac:dyDescent="0.35">
      <c r="A318" s="16" t="s">
        <v>2211</v>
      </c>
      <c r="B318" s="15" t="s">
        <v>2212</v>
      </c>
      <c r="C318" s="31" t="str">
        <f t="shared" si="20"/>
        <v>AED (UAE Dirham)</v>
      </c>
      <c r="D318" s="3"/>
      <c r="E318" s="16" t="s">
        <v>381</v>
      </c>
      <c r="F318" s="15">
        <v>5188</v>
      </c>
      <c r="G318" s="16" t="str">
        <f t="shared" si="22"/>
        <v>5188 (Kab./Kota Lainnya)</v>
      </c>
      <c r="H318" s="3"/>
      <c r="I318" s="16" t="s">
        <v>2213</v>
      </c>
      <c r="J318" s="52">
        <v>600125</v>
      </c>
      <c r="K318" s="16" t="str">
        <f t="shared" si="23"/>
        <v>600125 (PT. BPR Tulus Puji Rejeki)</v>
      </c>
    </row>
    <row r="319" spans="1:11" ht="12.75" customHeight="1" x14ac:dyDescent="0.35">
      <c r="A319" s="16" t="s">
        <v>2214</v>
      </c>
      <c r="B319" s="15" t="s">
        <v>2215</v>
      </c>
      <c r="C319" s="31" t="str">
        <f t="shared" si="20"/>
        <v>UYU (Uruguay Peso)</v>
      </c>
      <c r="D319" s="3"/>
      <c r="E319" s="14" t="s">
        <v>2216</v>
      </c>
      <c r="F319" s="15"/>
      <c r="G319" s="16" t="str">
        <f t="shared" si="22"/>
        <v>---- (Provinsi Kalimantan Barat)</v>
      </c>
      <c r="H319" s="3"/>
      <c r="I319" s="16" t="s">
        <v>2217</v>
      </c>
      <c r="J319" s="52">
        <v>600126</v>
      </c>
      <c r="K319" s="16" t="str">
        <f t="shared" si="23"/>
        <v>600126 (PT. BPR Indoartha Bintang Mulia)</v>
      </c>
    </row>
    <row r="320" spans="1:11" ht="12.75" customHeight="1" x14ac:dyDescent="0.35">
      <c r="A320" s="16" t="s">
        <v>2218</v>
      </c>
      <c r="B320" s="15" t="s">
        <v>2219</v>
      </c>
      <c r="C320" s="31" t="str">
        <f t="shared" si="20"/>
        <v>UZS (Uzbekistan Sum)</v>
      </c>
      <c r="D320" s="3"/>
      <c r="E320" s="16" t="s">
        <v>2220</v>
      </c>
      <c r="F320" s="15">
        <v>5301</v>
      </c>
      <c r="G320" s="16" t="str">
        <f t="shared" si="22"/>
        <v>5301 (Kab. Pontianak)</v>
      </c>
      <c r="H320" s="3"/>
      <c r="I320" s="16" t="s">
        <v>2221</v>
      </c>
      <c r="J320" s="52">
        <v>600127</v>
      </c>
      <c r="K320" s="16" t="str">
        <f t="shared" si="23"/>
        <v>600127 (PT. BPR Centra Kreditama)</v>
      </c>
    </row>
    <row r="321" spans="1:11" ht="12.75" customHeight="1" x14ac:dyDescent="0.35">
      <c r="A321" s="16" t="s">
        <v>2222</v>
      </c>
      <c r="B321" s="15" t="s">
        <v>2223</v>
      </c>
      <c r="C321" s="31" t="str">
        <f t="shared" si="20"/>
        <v>VUV (Vanuatu Vatu)</v>
      </c>
      <c r="D321" s="3"/>
      <c r="E321" s="16" t="s">
        <v>2224</v>
      </c>
      <c r="F321" s="15">
        <v>5302</v>
      </c>
      <c r="G321" s="16" t="str">
        <f t="shared" si="22"/>
        <v>5302 (Kab. Sambas)</v>
      </c>
      <c r="H321" s="3"/>
      <c r="I321" s="16" t="s">
        <v>2225</v>
      </c>
      <c r="J321" s="52">
        <v>600128</v>
      </c>
      <c r="K321" s="16" t="str">
        <f t="shared" si="23"/>
        <v>600128 (PT. BPR Mandiri Dhanasejahtera)</v>
      </c>
    </row>
    <row r="322" spans="1:11" ht="12.75" customHeight="1" x14ac:dyDescent="0.35">
      <c r="A322" s="16" t="s">
        <v>2226</v>
      </c>
      <c r="B322" s="15" t="s">
        <v>2227</v>
      </c>
      <c r="C322" s="31" t="str">
        <f t="shared" si="20"/>
        <v>VEB (Venezuelan Bolivar)</v>
      </c>
      <c r="D322" s="3"/>
      <c r="E322" s="16" t="s">
        <v>2228</v>
      </c>
      <c r="F322" s="15">
        <v>5303</v>
      </c>
      <c r="G322" s="16" t="str">
        <f t="shared" si="22"/>
        <v>5303 (Kab. Ketapang)</v>
      </c>
      <c r="H322" s="3"/>
      <c r="I322" s="16" t="s">
        <v>2229</v>
      </c>
      <c r="J322" s="52">
        <v>600129</v>
      </c>
      <c r="K322" s="16" t="str">
        <f t="shared" si="23"/>
        <v>600129 (PT BPR Indomitra Artha Pertiwi)</v>
      </c>
    </row>
    <row r="323" spans="1:11" ht="12.75" customHeight="1" x14ac:dyDescent="0.35">
      <c r="A323" s="16" t="s">
        <v>2230</v>
      </c>
      <c r="B323" s="15" t="s">
        <v>2231</v>
      </c>
      <c r="C323" s="31" t="str">
        <f t="shared" si="20"/>
        <v>VND (Vietnam Dong)</v>
      </c>
      <c r="D323" s="3"/>
      <c r="E323" s="16" t="s">
        <v>2232</v>
      </c>
      <c r="F323" s="15">
        <v>5304</v>
      </c>
      <c r="G323" s="16" t="str">
        <f t="shared" si="22"/>
        <v>5304 (Kab. Sanggau)</v>
      </c>
      <c r="H323" s="3"/>
      <c r="I323" s="16" t="s">
        <v>2233</v>
      </c>
      <c r="J323" s="52">
        <v>600130</v>
      </c>
      <c r="K323" s="16" t="str">
        <f t="shared" si="23"/>
        <v>600130 (PT. BPR Artha Pamenang Wates)</v>
      </c>
    </row>
    <row r="324" spans="1:11" ht="12.75" customHeight="1" x14ac:dyDescent="0.35">
      <c r="A324" s="16" t="s">
        <v>2234</v>
      </c>
      <c r="B324" s="15" t="s">
        <v>2235</v>
      </c>
      <c r="C324" s="31" t="str">
        <f t="shared" si="20"/>
        <v>YER (Yemeni Rial)</v>
      </c>
      <c r="D324" s="3"/>
      <c r="E324" s="16" t="s">
        <v>2236</v>
      </c>
      <c r="F324" s="15">
        <v>5305</v>
      </c>
      <c r="G324" s="16" t="str">
        <f t="shared" si="22"/>
        <v>5305 (Kab. Sintang)</v>
      </c>
      <c r="H324" s="3"/>
      <c r="I324" s="16" t="s">
        <v>2237</v>
      </c>
      <c r="J324" s="52">
        <v>600131</v>
      </c>
      <c r="K324" s="16" t="str">
        <f t="shared" si="23"/>
        <v>600131 (PT. BPR Artha Sentana Hardja)</v>
      </c>
    </row>
    <row r="325" spans="1:11" ht="12.75" customHeight="1" x14ac:dyDescent="0.35">
      <c r="A325" s="16" t="s">
        <v>2238</v>
      </c>
      <c r="B325" s="15" t="s">
        <v>2239</v>
      </c>
      <c r="C325" s="31" t="str">
        <f t="shared" si="20"/>
        <v>YUM (Yugoslav Dinar)</v>
      </c>
      <c r="D325" s="3"/>
      <c r="E325" s="16" t="s">
        <v>2240</v>
      </c>
      <c r="F325" s="15">
        <v>5306</v>
      </c>
      <c r="G325" s="16" t="str">
        <f t="shared" si="22"/>
        <v>5306 (Kab. Kapuas Hulu)</v>
      </c>
      <c r="H325" s="3"/>
      <c r="I325" s="16" t="s">
        <v>2241</v>
      </c>
      <c r="J325" s="52">
        <v>600132</v>
      </c>
      <c r="K325" s="16" t="str">
        <f t="shared" si="23"/>
        <v>600132 (PT. BPR Artha Pamenang Warujayeng)</v>
      </c>
    </row>
    <row r="326" spans="1:11" ht="12.75" customHeight="1" x14ac:dyDescent="0.35">
      <c r="A326" s="16" t="s">
        <v>2242</v>
      </c>
      <c r="B326" s="15" t="s">
        <v>2243</v>
      </c>
      <c r="C326" s="31" t="str">
        <f t="shared" si="20"/>
        <v>GRD (Greek Drachma)</v>
      </c>
      <c r="D326" s="3"/>
      <c r="E326" s="16" t="s">
        <v>2244</v>
      </c>
      <c r="F326" s="15">
        <v>5307</v>
      </c>
      <c r="G326" s="16" t="str">
        <f t="shared" si="22"/>
        <v>5307 (Kab. Bengkayang)</v>
      </c>
      <c r="H326" s="3"/>
      <c r="I326" s="16" t="s">
        <v>2245</v>
      </c>
      <c r="J326" s="52">
        <v>600134</v>
      </c>
      <c r="K326" s="16" t="str">
        <f t="shared" si="23"/>
        <v>600134 (PT. BPR Teguh Ayusuastika)</v>
      </c>
    </row>
    <row r="327" spans="1:11" ht="12.75" customHeight="1" x14ac:dyDescent="0.35">
      <c r="A327" s="16" t="s">
        <v>2246</v>
      </c>
      <c r="B327" s="15" t="s">
        <v>2247</v>
      </c>
      <c r="C327" s="31" t="str">
        <f t="shared" si="20"/>
        <v>ZMK (Zambian Kwacha)</v>
      </c>
      <c r="D327" s="3"/>
      <c r="E327" s="16" t="s">
        <v>2248</v>
      </c>
      <c r="F327" s="15">
        <v>5308</v>
      </c>
      <c r="G327" s="16" t="str">
        <f t="shared" si="22"/>
        <v>5308 (Kab. Landak)</v>
      </c>
      <c r="H327" s="3"/>
      <c r="I327" s="16" t="s">
        <v>2249</v>
      </c>
      <c r="J327" s="52">
        <v>600135</v>
      </c>
      <c r="K327" s="16" t="str">
        <f t="shared" si="23"/>
        <v>600135 (PT. BPR Karya Kurnia Utama)</v>
      </c>
    </row>
    <row r="328" spans="1:11" ht="12.75" customHeight="1" x14ac:dyDescent="0.35">
      <c r="A328" s="16" t="s">
        <v>2250</v>
      </c>
      <c r="B328" s="15" t="s">
        <v>2251</v>
      </c>
      <c r="C328" s="31" t="str">
        <f t="shared" si="20"/>
        <v>ZWD (Zimbabwe Dollar)</v>
      </c>
      <c r="D328" s="3"/>
      <c r="E328" s="16" t="s">
        <v>2252</v>
      </c>
      <c r="F328" s="15">
        <v>5309</v>
      </c>
      <c r="G328" s="16" t="str">
        <f t="shared" si="22"/>
        <v>5309 (Kab. Sekadau)</v>
      </c>
      <c r="H328" s="3"/>
      <c r="I328" s="16" t="s">
        <v>2253</v>
      </c>
      <c r="J328" s="52">
        <v>600136</v>
      </c>
      <c r="K328" s="16" t="str">
        <f t="shared" si="23"/>
        <v>600136 (PT. BPR Puri Artha Pacitan)</v>
      </c>
    </row>
    <row r="329" spans="1:11" ht="12.75" customHeight="1" x14ac:dyDescent="0.35">
      <c r="A329" s="16" t="s">
        <v>2254</v>
      </c>
      <c r="B329" s="15" t="s">
        <v>2255</v>
      </c>
      <c r="C329" s="31" t="str">
        <f t="shared" si="20"/>
        <v>XDR (Special Drawing Right)</v>
      </c>
      <c r="D329" s="3"/>
      <c r="E329" s="16" t="s">
        <v>2256</v>
      </c>
      <c r="F329" s="15">
        <v>5310</v>
      </c>
      <c r="G329" s="16" t="str">
        <f t="shared" si="22"/>
        <v>5310 (Kab. Melawi)</v>
      </c>
      <c r="H329" s="3"/>
      <c r="I329" s="16" t="s">
        <v>2257</v>
      </c>
      <c r="J329" s="52">
        <v>600137</v>
      </c>
      <c r="K329" s="16" t="str">
        <f t="shared" si="23"/>
        <v>600137 (PT. BPR Arthaprima Danajasa)</v>
      </c>
    </row>
    <row r="330" spans="1:11" ht="12.75" customHeight="1" x14ac:dyDescent="0.35">
      <c r="A330" s="16" t="s">
        <v>2258</v>
      </c>
      <c r="B330" s="15" t="s">
        <v>2259</v>
      </c>
      <c r="C330" s="31" t="str">
        <f t="shared" si="20"/>
        <v>XAG (Silver)</v>
      </c>
      <c r="D330" s="3"/>
      <c r="E330" s="16" t="s">
        <v>2260</v>
      </c>
      <c r="F330" s="15">
        <v>5311</v>
      </c>
      <c r="G330" s="16" t="str">
        <f t="shared" si="22"/>
        <v>5311 (Kab. Kayong Utara)</v>
      </c>
      <c r="H330" s="3"/>
      <c r="I330" s="16" t="s">
        <v>2261</v>
      </c>
      <c r="J330" s="52">
        <v>600138</v>
      </c>
      <c r="K330" s="16" t="str">
        <f t="shared" si="23"/>
        <v>600138 (PT. BPR Binalanggeng Mulia)</v>
      </c>
    </row>
    <row r="331" spans="1:11" ht="12.75" customHeight="1" x14ac:dyDescent="0.35">
      <c r="A331" s="16" t="s">
        <v>2262</v>
      </c>
      <c r="B331" s="15" t="s">
        <v>2263</v>
      </c>
      <c r="C331" s="31" t="str">
        <f t="shared" si="20"/>
        <v>XAU (Gold)</v>
      </c>
      <c r="D331" s="3"/>
      <c r="E331" s="16" t="s">
        <v>2264</v>
      </c>
      <c r="F331" s="15">
        <v>5312</v>
      </c>
      <c r="G331" s="16" t="str">
        <f t="shared" si="22"/>
        <v>5312 (Kab. Kubu Raya)</v>
      </c>
      <c r="H331" s="3"/>
      <c r="I331" s="16" t="s">
        <v>2265</v>
      </c>
      <c r="J331" s="52">
        <v>600139</v>
      </c>
      <c r="K331" s="16" t="str">
        <f t="shared" si="23"/>
        <v>600139 (PT. BPR Olympindo Primadana)</v>
      </c>
    </row>
    <row r="332" spans="1:11" ht="12.75" customHeight="1" x14ac:dyDescent="0.35">
      <c r="A332" s="3"/>
      <c r="B332" s="2"/>
      <c r="C332" s="3"/>
      <c r="D332" s="3"/>
      <c r="E332" s="16" t="s">
        <v>2266</v>
      </c>
      <c r="F332" s="15">
        <v>5391</v>
      </c>
      <c r="G332" s="16" t="str">
        <f t="shared" si="22"/>
        <v>5391 (Kota Pontianak)</v>
      </c>
      <c r="H332" s="3"/>
      <c r="I332" s="16" t="s">
        <v>2267</v>
      </c>
      <c r="J332" s="52">
        <v>600140</v>
      </c>
      <c r="K332" s="16" t="str">
        <f t="shared" si="23"/>
        <v>600140 (PT. BPR Nusantara Bona Pasogit 34)</v>
      </c>
    </row>
    <row r="333" spans="1:11" ht="12.75" customHeight="1" x14ac:dyDescent="0.35">
      <c r="A333" s="3" t="s">
        <v>2268</v>
      </c>
      <c r="B333" s="2"/>
      <c r="C333" s="3"/>
      <c r="D333" s="3"/>
      <c r="E333" s="16" t="s">
        <v>2269</v>
      </c>
      <c r="F333" s="15">
        <v>5392</v>
      </c>
      <c r="G333" s="16" t="str">
        <f t="shared" si="22"/>
        <v>5392 (Kota Singkawang)</v>
      </c>
      <c r="H333" s="3"/>
      <c r="I333" s="16" t="s">
        <v>2270</v>
      </c>
      <c r="J333" s="52">
        <v>600143</v>
      </c>
      <c r="K333" s="16" t="str">
        <f t="shared" si="23"/>
        <v>600143 (PD BPR Bank Salatiga)</v>
      </c>
    </row>
    <row r="334" spans="1:11" ht="12.75" customHeight="1" x14ac:dyDescent="0.35">
      <c r="A334" s="8" t="s">
        <v>2271</v>
      </c>
      <c r="B334" s="9" t="s">
        <v>2</v>
      </c>
      <c r="C334" s="10" t="s">
        <v>3</v>
      </c>
      <c r="D334" s="3"/>
      <c r="E334" s="16" t="s">
        <v>381</v>
      </c>
      <c r="F334" s="15">
        <v>5388</v>
      </c>
      <c r="G334" s="16" t="str">
        <f t="shared" si="22"/>
        <v>5388 (Kab./Kota Lainnya)</v>
      </c>
      <c r="H334" s="3"/>
      <c r="I334" s="16" t="s">
        <v>2272</v>
      </c>
      <c r="J334" s="52">
        <v>600144</v>
      </c>
      <c r="K334" s="16" t="str">
        <f t="shared" si="23"/>
        <v>600144 (PT BPR Kemuning Mitra Cemerlang)</v>
      </c>
    </row>
    <row r="335" spans="1:11" ht="12.75" customHeight="1" x14ac:dyDescent="0.35">
      <c r="A335" s="16" t="s">
        <v>2273</v>
      </c>
      <c r="B335" s="15">
        <v>1</v>
      </c>
      <c r="C335" s="31" t="str">
        <f t="shared" ref="C335:C336" si="24">CONCATENATE(B335," (",A335,")")</f>
        <v>1 (Tersedia untuk Dijual)</v>
      </c>
      <c r="D335" s="3"/>
      <c r="E335" s="14" t="s">
        <v>2274</v>
      </c>
      <c r="F335" s="15"/>
      <c r="G335" s="16" t="str">
        <f t="shared" si="22"/>
        <v>---- (Provinsi Kalimantan Timur)</v>
      </c>
      <c r="H335" s="3"/>
      <c r="I335" s="16" t="s">
        <v>2275</v>
      </c>
      <c r="J335" s="52">
        <v>600145</v>
      </c>
      <c r="K335" s="16" t="str">
        <f t="shared" si="23"/>
        <v>600145 (PT. BPR Prima Dadi Arta)</v>
      </c>
    </row>
    <row r="336" spans="1:11" ht="12.75" customHeight="1" x14ac:dyDescent="0.35">
      <c r="A336" s="16" t="s">
        <v>2276</v>
      </c>
      <c r="B336" s="15">
        <v>2</v>
      </c>
      <c r="C336" s="31" t="str">
        <f t="shared" si="24"/>
        <v>2 (Dimiliki Hingga Jatuh Tempo)</v>
      </c>
      <c r="D336" s="3"/>
      <c r="E336" s="16" t="s">
        <v>2277</v>
      </c>
      <c r="F336" s="15">
        <v>5401</v>
      </c>
      <c r="G336" s="16" t="str">
        <f t="shared" si="22"/>
        <v>5401 (Kab. Kutai Kartanegara)</v>
      </c>
      <c r="H336" s="3"/>
      <c r="I336" s="16" t="s">
        <v>2278</v>
      </c>
      <c r="J336" s="52">
        <v>600146</v>
      </c>
      <c r="K336" s="16" t="str">
        <f t="shared" si="23"/>
        <v>600146 (PT BPR Ophir)</v>
      </c>
    </row>
    <row r="337" spans="1:11" ht="12.75" customHeight="1" x14ac:dyDescent="0.35">
      <c r="A337" s="3"/>
      <c r="B337" s="2"/>
      <c r="C337" s="3"/>
      <c r="D337" s="3"/>
      <c r="E337" s="16" t="s">
        <v>2279</v>
      </c>
      <c r="F337" s="15">
        <v>5402</v>
      </c>
      <c r="G337" s="16" t="str">
        <f t="shared" si="22"/>
        <v>5402 (Kab. Berau)</v>
      </c>
      <c r="H337" s="3"/>
      <c r="I337" s="16" t="s">
        <v>2280</v>
      </c>
      <c r="J337" s="52">
        <v>600147</v>
      </c>
      <c r="K337" s="16" t="str">
        <f t="shared" si="23"/>
        <v>600147 (PT. BPR Samarason)</v>
      </c>
    </row>
    <row r="338" spans="1:11" ht="12.75" customHeight="1" x14ac:dyDescent="0.35">
      <c r="A338" s="3" t="s">
        <v>2281</v>
      </c>
      <c r="B338" s="2"/>
      <c r="C338" s="3"/>
      <c r="D338" s="3"/>
      <c r="E338" s="16" t="s">
        <v>2282</v>
      </c>
      <c r="F338" s="15">
        <v>5403</v>
      </c>
      <c r="G338" s="16" t="str">
        <f t="shared" si="22"/>
        <v>5403 (Kab. Pasir)</v>
      </c>
      <c r="H338" s="3"/>
      <c r="I338" s="16" t="s">
        <v>2283</v>
      </c>
      <c r="J338" s="52">
        <v>600148</v>
      </c>
      <c r="K338" s="16" t="str">
        <f t="shared" si="23"/>
        <v>600148 (PT BPR Nusa Utara)</v>
      </c>
    </row>
    <row r="339" spans="1:11" ht="12.75" customHeight="1" x14ac:dyDescent="0.35">
      <c r="A339" s="8" t="s">
        <v>2284</v>
      </c>
      <c r="B339" s="9" t="s">
        <v>2</v>
      </c>
      <c r="C339" s="10" t="s">
        <v>3</v>
      </c>
      <c r="D339" s="3"/>
      <c r="E339" s="16" t="s">
        <v>2285</v>
      </c>
      <c r="F339" s="15">
        <v>5404</v>
      </c>
      <c r="G339" s="16" t="str">
        <f t="shared" si="22"/>
        <v>5404 (Kab. Bulungan)</v>
      </c>
      <c r="H339" s="3"/>
      <c r="I339" s="16" t="s">
        <v>2286</v>
      </c>
      <c r="J339" s="52">
        <v>600149</v>
      </c>
      <c r="K339" s="16" t="str">
        <f t="shared" si="23"/>
        <v>600149 (PT BPR Nusantara Bona Pasogit 33)</v>
      </c>
    </row>
    <row r="340" spans="1:11" ht="12.75" customHeight="1" x14ac:dyDescent="0.35">
      <c r="A340" s="53" t="s">
        <v>2287</v>
      </c>
      <c r="B340" s="54">
        <v>10</v>
      </c>
      <c r="C340" s="55" t="str">
        <f t="shared" ref="C340:C345" si="25">CONCATENATE(B340," (",A340,")")</f>
        <v>10 (Giro)</v>
      </c>
      <c r="D340" s="3"/>
      <c r="E340" s="16" t="s">
        <v>2288</v>
      </c>
      <c r="F340" s="15">
        <v>5405</v>
      </c>
      <c r="G340" s="16" t="str">
        <f t="shared" si="22"/>
        <v>5405 (Kab. Kutai Barat)</v>
      </c>
      <c r="H340" s="3"/>
      <c r="I340" s="16" t="s">
        <v>2289</v>
      </c>
      <c r="J340" s="52">
        <v>600150</v>
      </c>
      <c r="K340" s="16" t="str">
        <f t="shared" si="23"/>
        <v>600150 (PT BPR Bintang Ekonomi Sejahtera)</v>
      </c>
    </row>
    <row r="341" spans="1:11" ht="12.75" customHeight="1" x14ac:dyDescent="0.35">
      <c r="A341" s="53" t="s">
        <v>2290</v>
      </c>
      <c r="B341" s="54">
        <v>20</v>
      </c>
      <c r="C341" s="55" t="str">
        <f t="shared" si="25"/>
        <v>20 (Tabungan Umum)</v>
      </c>
      <c r="D341" s="3"/>
      <c r="E341" s="16" t="s">
        <v>2291</v>
      </c>
      <c r="F341" s="15">
        <v>5406</v>
      </c>
      <c r="G341" s="16" t="str">
        <f t="shared" si="22"/>
        <v>5406 (Kab. Kutai Timur)</v>
      </c>
      <c r="H341" s="3"/>
      <c r="I341" s="16" t="s">
        <v>2292</v>
      </c>
      <c r="J341" s="52">
        <v>600151</v>
      </c>
      <c r="K341" s="16" t="str">
        <f t="shared" si="23"/>
        <v>600151 (PT. BPR Klepu Mitra Kencana)</v>
      </c>
    </row>
    <row r="342" spans="1:11" ht="12.75" customHeight="1" x14ac:dyDescent="0.35">
      <c r="A342" s="53" t="s">
        <v>2293</v>
      </c>
      <c r="B342" s="54">
        <v>25</v>
      </c>
      <c r="C342" s="55" t="str">
        <f t="shared" si="25"/>
        <v>25 (Tabungan Khusus)</v>
      </c>
      <c r="D342" s="3"/>
      <c r="E342" s="16" t="s">
        <v>2294</v>
      </c>
      <c r="F342" s="15">
        <v>5409</v>
      </c>
      <c r="G342" s="16" t="str">
        <f t="shared" si="22"/>
        <v>5409 (Kab. Nunukan)</v>
      </c>
      <c r="H342" s="3"/>
      <c r="I342" s="16" t="s">
        <v>2295</v>
      </c>
      <c r="J342" s="52">
        <v>600152</v>
      </c>
      <c r="K342" s="16" t="str">
        <f t="shared" si="23"/>
        <v>600152 (PT. BPR Makmur Merata)</v>
      </c>
    </row>
    <row r="343" spans="1:11" ht="12.75" customHeight="1" x14ac:dyDescent="0.35">
      <c r="A343" s="53" t="s">
        <v>2296</v>
      </c>
      <c r="B343" s="54">
        <v>30</v>
      </c>
      <c r="C343" s="55" t="str">
        <f t="shared" si="25"/>
        <v>30 (Deposito Umum)</v>
      </c>
      <c r="D343" s="3"/>
      <c r="E343" s="16" t="s">
        <v>2297</v>
      </c>
      <c r="F343" s="15">
        <v>5410</v>
      </c>
      <c r="G343" s="16" t="str">
        <f t="shared" si="22"/>
        <v>5410 (Kab. Malinau)</v>
      </c>
      <c r="H343" s="3"/>
      <c r="I343" s="16" t="s">
        <v>2298</v>
      </c>
      <c r="J343" s="52">
        <v>600153</v>
      </c>
      <c r="K343" s="16" t="str">
        <f t="shared" si="23"/>
        <v>600153 (PT. BPR Universitas Gajah Mada)</v>
      </c>
    </row>
    <row r="344" spans="1:11" ht="12.75" customHeight="1" x14ac:dyDescent="0.35">
      <c r="A344" s="53" t="s">
        <v>2299</v>
      </c>
      <c r="B344" s="54">
        <v>35</v>
      </c>
      <c r="C344" s="55" t="str">
        <f t="shared" si="25"/>
        <v>35 (Deposito Khusus)</v>
      </c>
      <c r="D344" s="3"/>
      <c r="E344" s="16" t="s">
        <v>2300</v>
      </c>
      <c r="F344" s="15">
        <v>5411</v>
      </c>
      <c r="G344" s="16" t="str">
        <f t="shared" si="22"/>
        <v>5411 (Kab. Penajam Paser Utara)</v>
      </c>
      <c r="H344" s="3"/>
      <c r="I344" s="16" t="s">
        <v>2301</v>
      </c>
      <c r="J344" s="52">
        <v>600154</v>
      </c>
      <c r="K344" s="16" t="str">
        <f t="shared" si="23"/>
        <v>600154 (PT. BPR Sayma Karya)</v>
      </c>
    </row>
    <row r="345" spans="1:11" ht="12.75" customHeight="1" x14ac:dyDescent="0.35">
      <c r="A345" s="53" t="s">
        <v>2302</v>
      </c>
      <c r="B345" s="54">
        <v>40</v>
      </c>
      <c r="C345" s="55" t="str">
        <f t="shared" si="25"/>
        <v>40 (Sertifikat Deposito)</v>
      </c>
      <c r="D345" s="3"/>
      <c r="E345" s="16" t="s">
        <v>2303</v>
      </c>
      <c r="F345" s="15">
        <v>5412</v>
      </c>
      <c r="G345" s="16" t="str">
        <f t="shared" si="22"/>
        <v>5412 (Kab. Tana Tidung)</v>
      </c>
      <c r="H345" s="3"/>
      <c r="I345" s="16" t="s">
        <v>2304</v>
      </c>
      <c r="J345" s="52">
        <v>600155</v>
      </c>
      <c r="K345" s="16" t="str">
        <f t="shared" si="23"/>
        <v>600155 (PT. BPR Mitradana Madani)</v>
      </c>
    </row>
    <row r="346" spans="1:11" ht="12.75" customHeight="1" x14ac:dyDescent="0.35">
      <c r="A346" s="3"/>
      <c r="B346" s="2"/>
      <c r="C346" s="3"/>
      <c r="D346" s="3"/>
      <c r="E346" s="16" t="s">
        <v>2305</v>
      </c>
      <c r="F346" s="15">
        <v>5491</v>
      </c>
      <c r="G346" s="16" t="str">
        <f t="shared" si="22"/>
        <v>5491 (Kota Samarinda)</v>
      </c>
      <c r="H346" s="3"/>
      <c r="I346" s="16" t="s">
        <v>2306</v>
      </c>
      <c r="J346" s="52">
        <v>600157</v>
      </c>
      <c r="K346" s="16" t="str">
        <f t="shared" si="23"/>
        <v>600157 (PT. BPR Mitra Telagasari Utama)</v>
      </c>
    </row>
    <row r="347" spans="1:11" ht="12.75" customHeight="1" x14ac:dyDescent="0.35">
      <c r="A347" s="3" t="s">
        <v>2281</v>
      </c>
      <c r="B347" s="2"/>
      <c r="C347" s="3"/>
      <c r="D347" s="3"/>
      <c r="E347" s="16" t="s">
        <v>2307</v>
      </c>
      <c r="F347" s="15">
        <v>5492</v>
      </c>
      <c r="G347" s="16" t="str">
        <f t="shared" si="22"/>
        <v>5492 (Kota Balikpapan)</v>
      </c>
      <c r="H347" s="3"/>
      <c r="I347" s="16" t="s">
        <v>2308</v>
      </c>
      <c r="J347" s="52">
        <v>600159</v>
      </c>
      <c r="K347" s="16" t="str">
        <f t="shared" si="23"/>
        <v>600159 (PT. BPR Nusa Galang Makmur)</v>
      </c>
    </row>
    <row r="348" spans="1:11" ht="12.75" customHeight="1" x14ac:dyDescent="0.35">
      <c r="A348" s="8" t="s">
        <v>2309</v>
      </c>
      <c r="B348" s="9" t="s">
        <v>2</v>
      </c>
      <c r="C348" s="10" t="s">
        <v>3</v>
      </c>
      <c r="D348" s="3"/>
      <c r="E348" s="16" t="s">
        <v>2310</v>
      </c>
      <c r="F348" s="15">
        <v>5493</v>
      </c>
      <c r="G348" s="16" t="str">
        <f t="shared" si="22"/>
        <v>5493 (Kota Tarakan)</v>
      </c>
      <c r="H348" s="3"/>
      <c r="I348" s="16" t="s">
        <v>2311</v>
      </c>
      <c r="J348" s="52">
        <v>600160</v>
      </c>
      <c r="K348" s="16" t="str">
        <f t="shared" si="23"/>
        <v>600160 (PD. BPR BKPD Cilamaya)</v>
      </c>
    </row>
    <row r="349" spans="1:11" ht="12.75" customHeight="1" x14ac:dyDescent="0.35">
      <c r="A349" s="16" t="s">
        <v>2312</v>
      </c>
      <c r="B349" s="15">
        <v>1</v>
      </c>
      <c r="C349" s="31" t="str">
        <f t="shared" ref="C349:C351" si="26">CONCATENATE(B349," (",A349,")")</f>
        <v>1 (Lancar)</v>
      </c>
      <c r="D349" s="3"/>
      <c r="E349" s="16" t="s">
        <v>2313</v>
      </c>
      <c r="F349" s="15">
        <v>5494</v>
      </c>
      <c r="G349" s="16" t="str">
        <f t="shared" si="22"/>
        <v>5494 (Kota Bontang)</v>
      </c>
      <c r="H349" s="3"/>
      <c r="I349" s="16" t="s">
        <v>2314</v>
      </c>
      <c r="J349" s="52">
        <v>600166</v>
      </c>
      <c r="K349" s="16" t="str">
        <f t="shared" si="23"/>
        <v>600166 (KOP. BPR Artos Parahyangan)</v>
      </c>
    </row>
    <row r="350" spans="1:11" ht="12.75" customHeight="1" x14ac:dyDescent="0.35">
      <c r="A350" s="16" t="s">
        <v>2315</v>
      </c>
      <c r="B350" s="15">
        <v>3</v>
      </c>
      <c r="C350" s="31" t="str">
        <f t="shared" si="26"/>
        <v>3 (Kurang Lancar)</v>
      </c>
      <c r="D350" s="3"/>
      <c r="E350" s="16" t="s">
        <v>381</v>
      </c>
      <c r="F350" s="15">
        <v>5488</v>
      </c>
      <c r="G350" s="16" t="str">
        <f t="shared" si="22"/>
        <v>5488 (Kab./Kota Lainnya)</v>
      </c>
      <c r="H350" s="3"/>
      <c r="I350" s="16" t="s">
        <v>2316</v>
      </c>
      <c r="J350" s="52">
        <v>600176</v>
      </c>
      <c r="K350" s="16" t="str">
        <f t="shared" si="23"/>
        <v>600176 (PD. BPR Kota Sukabumi)</v>
      </c>
    </row>
    <row r="351" spans="1:11" ht="12.75" customHeight="1" x14ac:dyDescent="0.35">
      <c r="A351" s="16" t="s">
        <v>2317</v>
      </c>
      <c r="B351" s="15">
        <v>5</v>
      </c>
      <c r="C351" s="31" t="str">
        <f t="shared" si="26"/>
        <v>5 (Macet)</v>
      </c>
      <c r="D351" s="3"/>
      <c r="E351" s="14" t="s">
        <v>2318</v>
      </c>
      <c r="F351" s="15"/>
      <c r="G351" s="16" t="str">
        <f t="shared" si="22"/>
        <v>---- (Provinsi Kalimantan Tengah)</v>
      </c>
      <c r="H351" s="3"/>
      <c r="I351" s="16" t="s">
        <v>2319</v>
      </c>
      <c r="J351" s="52">
        <v>600179</v>
      </c>
      <c r="K351" s="16" t="str">
        <f t="shared" si="23"/>
        <v>600179 (PT BPR Kredit Mandiri Jabar)</v>
      </c>
    </row>
    <row r="352" spans="1:11" ht="12.75" customHeight="1" x14ac:dyDescent="0.35">
      <c r="A352" s="3"/>
      <c r="B352" s="2"/>
      <c r="C352" s="3"/>
      <c r="D352" s="3"/>
      <c r="E352" s="16" t="s">
        <v>2320</v>
      </c>
      <c r="F352" s="15">
        <v>5801</v>
      </c>
      <c r="G352" s="16" t="str">
        <f t="shared" si="22"/>
        <v>5801 (Kab. Kapuas)</v>
      </c>
      <c r="H352" s="3"/>
      <c r="I352" s="16" t="s">
        <v>2321</v>
      </c>
      <c r="J352" s="52">
        <v>600180</v>
      </c>
      <c r="K352" s="16" t="str">
        <f t="shared" si="23"/>
        <v>600180 (KOP BPR Tanjung Raya)</v>
      </c>
    </row>
    <row r="353" spans="1:11" ht="12.75" customHeight="1" x14ac:dyDescent="0.35">
      <c r="A353" s="3" t="s">
        <v>2322</v>
      </c>
      <c r="B353" s="2"/>
      <c r="C353" s="3"/>
      <c r="D353" s="3"/>
      <c r="E353" s="16" t="s">
        <v>2323</v>
      </c>
      <c r="F353" s="15">
        <v>5802</v>
      </c>
      <c r="G353" s="16" t="str">
        <f t="shared" si="22"/>
        <v>5802 (Kab. Kotawaringin Barat)</v>
      </c>
      <c r="H353" s="3"/>
      <c r="I353" s="16" t="s">
        <v>2324</v>
      </c>
      <c r="J353" s="52">
        <v>600181</v>
      </c>
      <c r="K353" s="16" t="str">
        <f t="shared" si="23"/>
        <v>600181 (PT. BPR Nusamba Plered)</v>
      </c>
    </row>
    <row r="354" spans="1:11" ht="12.75" customHeight="1" x14ac:dyDescent="0.35">
      <c r="A354" s="9" t="s">
        <v>2325</v>
      </c>
      <c r="B354" s="9" t="s">
        <v>2</v>
      </c>
      <c r="C354" s="10" t="s">
        <v>3</v>
      </c>
      <c r="D354" s="3"/>
      <c r="E354" s="16" t="s">
        <v>2326</v>
      </c>
      <c r="F354" s="15">
        <v>5803</v>
      </c>
      <c r="G354" s="16" t="str">
        <f t="shared" si="22"/>
        <v>5803 (Kab. Kotawaringin Timur)</v>
      </c>
      <c r="H354" s="3"/>
      <c r="I354" s="16" t="s">
        <v>2327</v>
      </c>
      <c r="J354" s="52">
        <v>600182</v>
      </c>
      <c r="K354" s="16" t="str">
        <f t="shared" si="23"/>
        <v>600182 (PT. BPR Nusamba Sukaraja)</v>
      </c>
    </row>
    <row r="355" spans="1:11" ht="12.75" customHeight="1" x14ac:dyDescent="0.35">
      <c r="A355" s="16" t="s">
        <v>2328</v>
      </c>
      <c r="B355" s="24" t="s">
        <v>10</v>
      </c>
      <c r="C355" s="31" t="str">
        <f t="shared" ref="C355:C357" si="27">CONCATENATE(B355," (",A355,")")</f>
        <v>01 (Escrow Account)</v>
      </c>
      <c r="D355" s="3"/>
      <c r="E355" s="16" t="s">
        <v>2329</v>
      </c>
      <c r="F355" s="15">
        <v>5806</v>
      </c>
      <c r="G355" s="16" t="str">
        <f t="shared" si="22"/>
        <v>5806 (Kab. Barito Selatan)</v>
      </c>
      <c r="H355" s="3"/>
      <c r="I355" s="16" t="s">
        <v>2330</v>
      </c>
      <c r="J355" s="52">
        <v>600183</v>
      </c>
      <c r="K355" s="16" t="str">
        <f t="shared" si="23"/>
        <v>600183 (PT. BPR Nusamba Tanjungsari)</v>
      </c>
    </row>
    <row r="356" spans="1:11" ht="12.75" customHeight="1" x14ac:dyDescent="0.35">
      <c r="A356" s="16" t="s">
        <v>2331</v>
      </c>
      <c r="B356" s="24" t="s">
        <v>27</v>
      </c>
      <c r="C356" s="31" t="str">
        <f t="shared" si="27"/>
        <v>02 (Cash Collateral)</v>
      </c>
      <c r="D356" s="3"/>
      <c r="E356" s="16" t="s">
        <v>2332</v>
      </c>
      <c r="F356" s="15">
        <v>5808</v>
      </c>
      <c r="G356" s="16" t="str">
        <f t="shared" si="22"/>
        <v>5808 (Kab. Barito Utara)</v>
      </c>
      <c r="H356" s="3"/>
      <c r="I356" s="16" t="s">
        <v>2333</v>
      </c>
      <c r="J356" s="52">
        <v>600184</v>
      </c>
      <c r="K356" s="16" t="str">
        <f t="shared" si="23"/>
        <v>600184 (KOP. BPR Bara Ujungberung)</v>
      </c>
    </row>
    <row r="357" spans="1:11" ht="12.75" customHeight="1" x14ac:dyDescent="0.35">
      <c r="A357" s="16" t="s">
        <v>2334</v>
      </c>
      <c r="B357" s="15">
        <v>99</v>
      </c>
      <c r="C357" s="31" t="str">
        <f t="shared" si="27"/>
        <v>99 (Alasan Diblokir Lainnya)</v>
      </c>
      <c r="D357" s="3"/>
      <c r="E357" s="16" t="s">
        <v>2335</v>
      </c>
      <c r="F357" s="15">
        <v>5804</v>
      </c>
      <c r="G357" s="16" t="str">
        <f t="shared" si="22"/>
        <v>5804 (Kab. Murung Raya)</v>
      </c>
      <c r="H357" s="3"/>
      <c r="I357" s="16" t="s">
        <v>2336</v>
      </c>
      <c r="J357" s="52">
        <v>600185</v>
      </c>
      <c r="K357" s="16" t="str">
        <f t="shared" si="23"/>
        <v>600185 (PT. BPR Trisurya Tata Artha)</v>
      </c>
    </row>
    <row r="358" spans="1:11" ht="12.75" customHeight="1" x14ac:dyDescent="0.35">
      <c r="A358" s="3"/>
      <c r="B358" s="2"/>
      <c r="C358" s="3"/>
      <c r="D358" s="3"/>
      <c r="E358" s="16" t="s">
        <v>2337</v>
      </c>
      <c r="F358" s="15">
        <v>5805</v>
      </c>
      <c r="G358" s="16" t="str">
        <f t="shared" si="22"/>
        <v>5805 (Kab. Barito Timur)</v>
      </c>
      <c r="H358" s="3"/>
      <c r="I358" s="16" t="s">
        <v>2338</v>
      </c>
      <c r="J358" s="52">
        <v>600186</v>
      </c>
      <c r="K358" s="16" t="str">
        <f t="shared" si="23"/>
        <v>600186 (PT. BPR Artha Margahayu)</v>
      </c>
    </row>
    <row r="359" spans="1:11" ht="12.75" customHeight="1" x14ac:dyDescent="0.35">
      <c r="A359" s="3" t="s">
        <v>2281</v>
      </c>
      <c r="B359" s="2"/>
      <c r="C359" s="3"/>
      <c r="D359" s="3"/>
      <c r="E359" s="16" t="s">
        <v>2339</v>
      </c>
      <c r="F359" s="15">
        <v>5807</v>
      </c>
      <c r="G359" s="16" t="str">
        <f t="shared" si="22"/>
        <v>5807 (Kab. Gunung Mas)</v>
      </c>
      <c r="H359" s="3"/>
      <c r="I359" s="16" t="s">
        <v>2340</v>
      </c>
      <c r="J359" s="52">
        <v>600188</v>
      </c>
      <c r="K359" s="16" t="str">
        <f t="shared" si="23"/>
        <v>600188 (PT. BPR Nehemia)</v>
      </c>
    </row>
    <row r="360" spans="1:11" ht="12.75" customHeight="1" x14ac:dyDescent="0.35">
      <c r="A360" s="9" t="s">
        <v>2341</v>
      </c>
      <c r="B360" s="9" t="s">
        <v>2</v>
      </c>
      <c r="C360" s="10" t="s">
        <v>3</v>
      </c>
      <c r="D360" s="3"/>
      <c r="E360" s="16" t="s">
        <v>2342</v>
      </c>
      <c r="F360" s="15">
        <v>5809</v>
      </c>
      <c r="G360" s="16" t="str">
        <f t="shared" si="22"/>
        <v>5809 (Kab. Pulang Pisau)</v>
      </c>
      <c r="H360" s="3"/>
      <c r="I360" s="16" t="s">
        <v>2343</v>
      </c>
      <c r="J360" s="52">
        <v>600189</v>
      </c>
      <c r="K360" s="16" t="str">
        <f t="shared" si="23"/>
        <v>600189 (PT. BPR Sinar Mas Pelita)</v>
      </c>
    </row>
    <row r="361" spans="1:11" ht="12.75" customHeight="1" x14ac:dyDescent="0.35">
      <c r="A361" s="46" t="s">
        <v>2344</v>
      </c>
      <c r="B361" s="46" t="s">
        <v>380</v>
      </c>
      <c r="C361" s="31" t="str">
        <f t="shared" ref="C361:C367" si="28">CONCATENATE(B361," (",A361,")")</f>
        <v>00 (Tidak Melanggar dan Tidak Melampaui)</v>
      </c>
      <c r="D361" s="3"/>
      <c r="E361" s="16" t="s">
        <v>2345</v>
      </c>
      <c r="F361" s="15">
        <v>5810</v>
      </c>
      <c r="G361" s="16" t="str">
        <f t="shared" si="22"/>
        <v>5810 (Kab. Seruyan)</v>
      </c>
      <c r="H361" s="3"/>
      <c r="I361" s="16" t="s">
        <v>2346</v>
      </c>
      <c r="J361" s="52">
        <v>600190</v>
      </c>
      <c r="K361" s="16" t="str">
        <f t="shared" si="23"/>
        <v>600190 (PT. BPR Bina Sono Artha)</v>
      </c>
    </row>
    <row r="362" spans="1:11" ht="12.75" customHeight="1" x14ac:dyDescent="0.35">
      <c r="A362" s="46" t="s">
        <v>2347</v>
      </c>
      <c r="B362" s="46" t="s">
        <v>192</v>
      </c>
      <c r="C362" s="31" t="str">
        <f t="shared" si="28"/>
        <v>11 (Melanggar Individu)</v>
      </c>
      <c r="D362" s="3"/>
      <c r="E362" s="16" t="s">
        <v>2348</v>
      </c>
      <c r="F362" s="15">
        <v>5811</v>
      </c>
      <c r="G362" s="16" t="str">
        <f t="shared" si="22"/>
        <v>5811 (Kab. Katingan)</v>
      </c>
      <c r="H362" s="3"/>
      <c r="I362" s="16" t="s">
        <v>2349</v>
      </c>
      <c r="J362" s="52">
        <v>600193</v>
      </c>
      <c r="K362" s="16" t="str">
        <f t="shared" si="23"/>
        <v>600193 (PT. BPR Adhierresa)</v>
      </c>
    </row>
    <row r="363" spans="1:11" ht="12.75" customHeight="1" x14ac:dyDescent="0.35">
      <c r="A363" s="46" t="s">
        <v>2350</v>
      </c>
      <c r="B363" s="46" t="s">
        <v>206</v>
      </c>
      <c r="C363" s="31" t="str">
        <f t="shared" si="28"/>
        <v>12 (Melanggar Kelompok)</v>
      </c>
      <c r="D363" s="3"/>
      <c r="E363" s="16" t="s">
        <v>2351</v>
      </c>
      <c r="F363" s="15">
        <v>5812</v>
      </c>
      <c r="G363" s="16" t="str">
        <f t="shared" si="22"/>
        <v>5812 (Kab. Sukamara)</v>
      </c>
      <c r="H363" s="3"/>
      <c r="I363" s="16" t="s">
        <v>2352</v>
      </c>
      <c r="J363" s="52">
        <v>600216</v>
      </c>
      <c r="K363" s="16" t="str">
        <f t="shared" si="23"/>
        <v>600216 (PT. BPR Sindhur Arta Mulia Kencana)</v>
      </c>
    </row>
    <row r="364" spans="1:11" ht="12.75" customHeight="1" x14ac:dyDescent="0.35">
      <c r="A364" s="46" t="s">
        <v>2353</v>
      </c>
      <c r="B364" s="46" t="s">
        <v>220</v>
      </c>
      <c r="C364" s="31" t="str">
        <f t="shared" si="28"/>
        <v>13 (Melanggar Individu dan Kelompok)</v>
      </c>
      <c r="D364" s="3"/>
      <c r="E364" s="16" t="s">
        <v>2354</v>
      </c>
      <c r="F364" s="15">
        <v>5813</v>
      </c>
      <c r="G364" s="16" t="str">
        <f t="shared" si="22"/>
        <v>5813 (Kab. Lamandau)</v>
      </c>
      <c r="H364" s="3"/>
      <c r="I364" s="16" t="s">
        <v>2355</v>
      </c>
      <c r="J364" s="52">
        <v>600220</v>
      </c>
      <c r="K364" s="16" t="str">
        <f t="shared" si="23"/>
        <v>600220 (PT. BPR Artha Sari Sentosa)</v>
      </c>
    </row>
    <row r="365" spans="1:11" ht="12.75" customHeight="1" x14ac:dyDescent="0.35">
      <c r="A365" s="46" t="s">
        <v>2356</v>
      </c>
      <c r="B365" s="46" t="s">
        <v>324</v>
      </c>
      <c r="C365" s="31" t="str">
        <f t="shared" si="28"/>
        <v>21 (Melampaui Individu)</v>
      </c>
      <c r="D365" s="3"/>
      <c r="E365" s="16" t="s">
        <v>2357</v>
      </c>
      <c r="F365" s="15">
        <v>5892</v>
      </c>
      <c r="G365" s="16" t="str">
        <f t="shared" si="22"/>
        <v>5892 (Kota Palangkaraya)</v>
      </c>
      <c r="H365" s="3"/>
      <c r="I365" s="16" t="s">
        <v>2358</v>
      </c>
      <c r="J365" s="52">
        <v>600221</v>
      </c>
      <c r="K365" s="16" t="str">
        <f t="shared" si="23"/>
        <v>600221 (PT. BPR Sehat Ekonomi)</v>
      </c>
    </row>
    <row r="366" spans="1:11" ht="12.75" customHeight="1" x14ac:dyDescent="0.35">
      <c r="A366" s="46" t="s">
        <v>2359</v>
      </c>
      <c r="B366" s="46" t="s">
        <v>336</v>
      </c>
      <c r="C366" s="31" t="str">
        <f t="shared" si="28"/>
        <v>22 (Melampaui Kelompok)</v>
      </c>
      <c r="D366" s="3"/>
      <c r="E366" s="16" t="s">
        <v>381</v>
      </c>
      <c r="F366" s="15">
        <v>5888</v>
      </c>
      <c r="G366" s="16" t="str">
        <f t="shared" si="22"/>
        <v>5888 (Kab./Kota Lainnya)</v>
      </c>
      <c r="H366" s="3"/>
      <c r="I366" s="16" t="s">
        <v>2360</v>
      </c>
      <c r="J366" s="52">
        <v>600223</v>
      </c>
      <c r="K366" s="16" t="str">
        <f t="shared" si="23"/>
        <v>600223 (PD. BPR Amuntai Selatan)</v>
      </c>
    </row>
    <row r="367" spans="1:11" ht="12.75" customHeight="1" x14ac:dyDescent="0.35">
      <c r="A367" s="46" t="s">
        <v>2361</v>
      </c>
      <c r="B367" s="46" t="s">
        <v>2362</v>
      </c>
      <c r="C367" s="31" t="str">
        <f t="shared" si="28"/>
        <v>23 (Melampaui Individu dan Kelompok)</v>
      </c>
      <c r="D367" s="3"/>
      <c r="E367" s="14" t="s">
        <v>2363</v>
      </c>
      <c r="F367" s="15"/>
      <c r="G367" s="16" t="str">
        <f t="shared" si="22"/>
        <v>---- (Provinsi Sulawesi Tengah)</v>
      </c>
      <c r="H367" s="3"/>
      <c r="I367" s="16" t="s">
        <v>2364</v>
      </c>
      <c r="J367" s="52">
        <v>600224</v>
      </c>
      <c r="K367" s="16" t="str">
        <f t="shared" si="23"/>
        <v>600224 (PD. BPR Amuntai Tengah)</v>
      </c>
    </row>
    <row r="368" spans="1:11" ht="12.75" customHeight="1" x14ac:dyDescent="0.35">
      <c r="A368" s="3"/>
      <c r="B368" s="2"/>
      <c r="C368" s="3"/>
      <c r="D368" s="3"/>
      <c r="E368" s="16" t="s">
        <v>2365</v>
      </c>
      <c r="F368" s="15">
        <v>6001</v>
      </c>
      <c r="G368" s="16" t="str">
        <f t="shared" si="22"/>
        <v>6001 (Kab. Donggala)</v>
      </c>
      <c r="H368" s="3"/>
      <c r="I368" s="16" t="s">
        <v>2366</v>
      </c>
      <c r="J368" s="52">
        <v>600226</v>
      </c>
      <c r="K368" s="16" t="str">
        <f t="shared" si="23"/>
        <v>600226 (PD. BPR Amuntai Utara)</v>
      </c>
    </row>
    <row r="369" spans="1:11" ht="12.75" customHeight="1" x14ac:dyDescent="0.35">
      <c r="A369" s="3" t="s">
        <v>2367</v>
      </c>
      <c r="B369" s="2"/>
      <c r="C369" s="3"/>
      <c r="D369" s="3"/>
      <c r="E369" s="16" t="s">
        <v>2368</v>
      </c>
      <c r="F369" s="15">
        <v>6002</v>
      </c>
      <c r="G369" s="16" t="str">
        <f t="shared" si="22"/>
        <v>6002 (Kab. Poso)</v>
      </c>
      <c r="H369" s="3"/>
      <c r="I369" s="16" t="s">
        <v>2369</v>
      </c>
      <c r="J369" s="52">
        <v>600228</v>
      </c>
      <c r="K369" s="16" t="str">
        <f t="shared" si="23"/>
        <v>600228 (PD. BPR Tapin Selatan)</v>
      </c>
    </row>
    <row r="370" spans="1:11" ht="12.75" customHeight="1" x14ac:dyDescent="0.35">
      <c r="A370" s="9" t="s">
        <v>2370</v>
      </c>
      <c r="B370" s="9" t="s">
        <v>2</v>
      </c>
      <c r="C370" s="10" t="s">
        <v>3</v>
      </c>
      <c r="D370" s="3"/>
      <c r="E370" s="16" t="s">
        <v>2371</v>
      </c>
      <c r="F370" s="15">
        <v>6003</v>
      </c>
      <c r="G370" s="16" t="str">
        <f t="shared" si="22"/>
        <v>6003 (Kab. Parimo/Banggai)</v>
      </c>
      <c r="H370" s="3"/>
      <c r="I370" s="16" t="s">
        <v>2372</v>
      </c>
      <c r="J370" s="52">
        <v>600229</v>
      </c>
      <c r="K370" s="16" t="str">
        <f t="shared" si="23"/>
        <v>600229 (PD. BPR Tapin Tengah)</v>
      </c>
    </row>
    <row r="371" spans="1:11" ht="12.75" customHeight="1" x14ac:dyDescent="0.35">
      <c r="A371" s="56" t="s">
        <v>2373</v>
      </c>
      <c r="B371" s="57" t="s">
        <v>10</v>
      </c>
      <c r="C371" s="55" t="str">
        <f t="shared" ref="C371:C376" si="29">CONCATENATE(B371," (",A371,")")</f>
        <v>01 (Pembiayaan Bersama (Sindikasi))</v>
      </c>
      <c r="D371" s="3"/>
      <c r="E371" s="16" t="s">
        <v>2374</v>
      </c>
      <c r="F371" s="15">
        <v>6004</v>
      </c>
      <c r="G371" s="16" t="str">
        <f t="shared" si="22"/>
        <v>6004 (Kab. Toli-Toli)</v>
      </c>
      <c r="H371" s="3"/>
      <c r="I371" s="16" t="s">
        <v>2375</v>
      </c>
      <c r="J371" s="52">
        <v>600231</v>
      </c>
      <c r="K371" s="16" t="str">
        <f t="shared" si="23"/>
        <v>600231 (PD. BPR Binuang)</v>
      </c>
    </row>
    <row r="372" spans="1:11" ht="12.75" customHeight="1" x14ac:dyDescent="0.35">
      <c r="A372" s="56" t="s">
        <v>2376</v>
      </c>
      <c r="B372" s="57" t="s">
        <v>27</v>
      </c>
      <c r="C372" s="55" t="str">
        <f t="shared" si="29"/>
        <v>02 (Disalurkan melalui bank/lembaga keuangan lain secara channeling)</v>
      </c>
      <c r="D372" s="3"/>
      <c r="E372" s="16" t="s">
        <v>2377</v>
      </c>
      <c r="F372" s="15">
        <v>6005</v>
      </c>
      <c r="G372" s="16" t="str">
        <f t="shared" si="22"/>
        <v>6005 (Kab. Banggai Kepulauan)</v>
      </c>
      <c r="H372" s="3"/>
      <c r="I372" s="16" t="s">
        <v>2378</v>
      </c>
      <c r="J372" s="52">
        <v>600232</v>
      </c>
      <c r="K372" s="16" t="str">
        <f t="shared" si="23"/>
        <v>600232 (PD. BPR Candi Laras Utara)</v>
      </c>
    </row>
    <row r="373" spans="1:11" ht="12.75" customHeight="1" x14ac:dyDescent="0.35">
      <c r="A373" s="56" t="s">
        <v>2379</v>
      </c>
      <c r="B373" s="57" t="s">
        <v>41</v>
      </c>
      <c r="C373" s="55" t="str">
        <f t="shared" si="29"/>
        <v>03 (Langsung kepada debitur BPR yang bersangkutan)</v>
      </c>
      <c r="D373" s="3"/>
      <c r="E373" s="16" t="s">
        <v>2380</v>
      </c>
      <c r="F373" s="15">
        <v>6006</v>
      </c>
      <c r="G373" s="16" t="str">
        <f t="shared" si="22"/>
        <v>6006 (Kab. Morowali)</v>
      </c>
      <c r="H373" s="3"/>
      <c r="I373" s="16" t="s">
        <v>2381</v>
      </c>
      <c r="J373" s="52">
        <v>600234</v>
      </c>
      <c r="K373" s="16" t="str">
        <f t="shared" si="23"/>
        <v>600234 (PD. BPR Simpang Empat)</v>
      </c>
    </row>
    <row r="374" spans="1:11" ht="12.75" customHeight="1" x14ac:dyDescent="0.35">
      <c r="A374" s="56" t="s">
        <v>2382</v>
      </c>
      <c r="B374" s="57" t="s">
        <v>52</v>
      </c>
      <c r="C374" s="55" t="str">
        <f t="shared" si="29"/>
        <v>04 (Kerjasama Dengan Lembaga Keuangan Bukan Bank untuk Disalurkan Kembali kepada UMKM)</v>
      </c>
      <c r="D374" s="3"/>
      <c r="E374" s="16" t="s">
        <v>2383</v>
      </c>
      <c r="F374" s="15">
        <v>6007</v>
      </c>
      <c r="G374" s="16" t="str">
        <f t="shared" si="22"/>
        <v>6007 (Kab. Buol)</v>
      </c>
      <c r="H374" s="3"/>
      <c r="I374" s="16" t="s">
        <v>2384</v>
      </c>
      <c r="J374" s="52">
        <v>600235</v>
      </c>
      <c r="K374" s="16" t="str">
        <f t="shared" si="23"/>
        <v>600235 (PD. BPR Sungai Tabuk)</v>
      </c>
    </row>
    <row r="375" spans="1:11" ht="12.75" customHeight="1" x14ac:dyDescent="0.35">
      <c r="A375" s="56" t="s">
        <v>2385</v>
      </c>
      <c r="B375" s="57" t="s">
        <v>109</v>
      </c>
      <c r="C375" s="55" t="str">
        <f t="shared" si="29"/>
        <v>05 (Disalurkan Melalui Lembaga Keuangan Lain)</v>
      </c>
      <c r="D375" s="3"/>
      <c r="E375" s="16" t="s">
        <v>2386</v>
      </c>
      <c r="F375" s="15">
        <v>6008</v>
      </c>
      <c r="G375" s="16" t="str">
        <f t="shared" si="22"/>
        <v>6008 (Kab. Tojo Una-Una)</v>
      </c>
      <c r="H375" s="3"/>
      <c r="I375" s="16" t="s">
        <v>2387</v>
      </c>
      <c r="J375" s="52">
        <v>600239</v>
      </c>
      <c r="K375" s="16" t="str">
        <f t="shared" si="23"/>
        <v>600239 (PT. BPR Rizky Barokah)</v>
      </c>
    </row>
    <row r="376" spans="1:11" ht="12.75" customHeight="1" x14ac:dyDescent="0.35">
      <c r="A376" s="56" t="s">
        <v>2388</v>
      </c>
      <c r="B376" s="54">
        <v>99</v>
      </c>
      <c r="C376" s="55" t="str">
        <f t="shared" si="29"/>
        <v>99 (Jenis Kredit Lainnya )</v>
      </c>
      <c r="D376" s="3"/>
      <c r="E376" s="16" t="s">
        <v>2389</v>
      </c>
      <c r="F376" s="15">
        <v>6009</v>
      </c>
      <c r="G376" s="16" t="str">
        <f t="shared" si="22"/>
        <v>6009 (Kab. Parigi Moutong)</v>
      </c>
      <c r="H376" s="3"/>
      <c r="I376" s="16" t="s">
        <v>2390</v>
      </c>
      <c r="J376" s="52">
        <v>600241</v>
      </c>
      <c r="K376" s="16" t="str">
        <f t="shared" si="23"/>
        <v>600241 (PT. BPR Artha Mekar Sokaraja)</v>
      </c>
    </row>
    <row r="377" spans="1:11" ht="12.75" customHeight="1" x14ac:dyDescent="0.35">
      <c r="A377" s="3"/>
      <c r="B377" s="2"/>
      <c r="C377" s="3"/>
      <c r="D377" s="3"/>
      <c r="E377" s="16" t="s">
        <v>2391</v>
      </c>
      <c r="F377" s="15">
        <v>6010</v>
      </c>
      <c r="G377" s="16" t="str">
        <f t="shared" si="22"/>
        <v>6010 (Kab. Sigi)</v>
      </c>
      <c r="H377" s="3"/>
      <c r="I377" s="16" t="s">
        <v>2392</v>
      </c>
      <c r="J377" s="52">
        <v>600244</v>
      </c>
      <c r="K377" s="16" t="str">
        <f t="shared" si="23"/>
        <v>600244 (PT. BPR Surya Yudha)</v>
      </c>
    </row>
    <row r="378" spans="1:11" ht="12.75" customHeight="1" x14ac:dyDescent="0.35">
      <c r="A378" s="9" t="s">
        <v>2393</v>
      </c>
      <c r="B378" s="9" t="s">
        <v>2</v>
      </c>
      <c r="C378" s="10" t="s">
        <v>3</v>
      </c>
      <c r="D378" s="3"/>
      <c r="E378" s="16" t="s">
        <v>2394</v>
      </c>
      <c r="F378" s="15">
        <v>6091</v>
      </c>
      <c r="G378" s="16" t="str">
        <f t="shared" si="22"/>
        <v>6091 (Kota Palu)</v>
      </c>
      <c r="H378" s="3"/>
      <c r="I378" s="16" t="s">
        <v>2395</v>
      </c>
      <c r="J378" s="52">
        <v>600245</v>
      </c>
      <c r="K378" s="16" t="str">
        <f t="shared" si="23"/>
        <v>600245 (PT. BPR Pulau Punjung)</v>
      </c>
    </row>
    <row r="379" spans="1:11" ht="12.75" customHeight="1" x14ac:dyDescent="0.35">
      <c r="A379" s="16" t="s">
        <v>2396</v>
      </c>
      <c r="B379" s="15">
        <v>10</v>
      </c>
      <c r="C379" s="31" t="str">
        <f t="shared" ref="C379:C382" si="30">CONCATENATE(B379," (",A379,")")</f>
        <v>10 (Tidak direstrukturisasi)</v>
      </c>
      <c r="D379" s="3"/>
      <c r="E379" s="16" t="s">
        <v>381</v>
      </c>
      <c r="F379" s="15">
        <v>6088</v>
      </c>
      <c r="G379" s="16" t="str">
        <f t="shared" si="22"/>
        <v>6088 (Kab./Kota Lainnya)</v>
      </c>
      <c r="H379" s="3"/>
      <c r="I379" s="16" t="s">
        <v>2397</v>
      </c>
      <c r="J379" s="52">
        <v>600247</v>
      </c>
      <c r="K379" s="16" t="str">
        <f t="shared" si="23"/>
        <v>600247 (PT BPR Mutiara Nagari )</v>
      </c>
    </row>
    <row r="380" spans="1:11" ht="12.75" customHeight="1" x14ac:dyDescent="0.35">
      <c r="A380" s="16" t="s">
        <v>2398</v>
      </c>
      <c r="B380" s="15">
        <v>20</v>
      </c>
      <c r="C380" s="31" t="str">
        <f t="shared" si="30"/>
        <v>20 (Restrukturisasi 1)</v>
      </c>
      <c r="D380" s="3"/>
      <c r="E380" s="14" t="s">
        <v>2399</v>
      </c>
      <c r="F380" s="15"/>
      <c r="G380" s="16" t="str">
        <f t="shared" si="22"/>
        <v>---- (Provinsi Sulawesi Selatan)</v>
      </c>
      <c r="H380" s="3"/>
      <c r="I380" s="16" t="s">
        <v>2400</v>
      </c>
      <c r="J380" s="52">
        <v>600249</v>
      </c>
      <c r="K380" s="16" t="str">
        <f t="shared" si="23"/>
        <v>600249 (PT. BPR Gema Pesisir)</v>
      </c>
    </row>
    <row r="381" spans="1:11" ht="12.75" customHeight="1" x14ac:dyDescent="0.35">
      <c r="A381" s="16" t="s">
        <v>2401</v>
      </c>
      <c r="B381" s="15">
        <v>21</v>
      </c>
      <c r="C381" s="31" t="str">
        <f t="shared" si="30"/>
        <v>21 (Restrukturisasi 2)</v>
      </c>
      <c r="D381" s="3"/>
      <c r="E381" s="16" t="s">
        <v>2402</v>
      </c>
      <c r="F381" s="15">
        <v>6101</v>
      </c>
      <c r="G381" s="16" t="str">
        <f t="shared" si="22"/>
        <v>6101 (Kab. Pinrang)</v>
      </c>
      <c r="H381" s="3"/>
      <c r="I381" s="16" t="s">
        <v>2403</v>
      </c>
      <c r="J381" s="52">
        <v>600250</v>
      </c>
      <c r="K381" s="16" t="str">
        <f t="shared" si="23"/>
        <v>600250 (PT. BPR Gunung Talang)</v>
      </c>
    </row>
    <row r="382" spans="1:11" ht="12.75" customHeight="1" x14ac:dyDescent="0.35">
      <c r="A382" s="16" t="s">
        <v>2404</v>
      </c>
      <c r="B382" s="15">
        <v>22</v>
      </c>
      <c r="C382" s="31" t="str">
        <f t="shared" si="30"/>
        <v>22 (Restrukturisasi 3)</v>
      </c>
      <c r="D382" s="3"/>
      <c r="E382" s="16" t="s">
        <v>2405</v>
      </c>
      <c r="F382" s="15">
        <v>6102</v>
      </c>
      <c r="G382" s="16" t="str">
        <f t="shared" si="22"/>
        <v>6102 (Kab. Gowa)</v>
      </c>
      <c r="H382" s="3"/>
      <c r="I382" s="16" t="s">
        <v>2406</v>
      </c>
      <c r="J382" s="52">
        <v>600252</v>
      </c>
      <c r="K382" s="16" t="str">
        <f t="shared" si="23"/>
        <v>600252 (PT. BPR Lengayang)</v>
      </c>
    </row>
    <row r="383" spans="1:11" ht="12.75" customHeight="1" x14ac:dyDescent="0.35">
      <c r="A383" s="3"/>
      <c r="B383" s="2"/>
      <c r="C383" s="3"/>
      <c r="D383" s="3"/>
      <c r="E383" s="16" t="s">
        <v>2407</v>
      </c>
      <c r="F383" s="15">
        <v>6103</v>
      </c>
      <c r="G383" s="16" t="str">
        <f t="shared" si="22"/>
        <v>6103 (Kab. Wajo)</v>
      </c>
      <c r="H383" s="3"/>
      <c r="I383" s="16" t="s">
        <v>2408</v>
      </c>
      <c r="J383" s="52">
        <v>600253</v>
      </c>
      <c r="K383" s="16" t="str">
        <f t="shared" si="23"/>
        <v>600253 (PT. BPR Pariangan)</v>
      </c>
    </row>
    <row r="384" spans="1:11" ht="12.75" customHeight="1" x14ac:dyDescent="0.35">
      <c r="A384" s="58" t="s">
        <v>2409</v>
      </c>
      <c r="B384" s="2"/>
      <c r="C384" s="3"/>
      <c r="D384" s="3"/>
      <c r="E384" s="16" t="s">
        <v>2410</v>
      </c>
      <c r="F384" s="15">
        <v>6105</v>
      </c>
      <c r="G384" s="16" t="str">
        <f t="shared" si="22"/>
        <v>6105 (Kab. Bone)</v>
      </c>
      <c r="H384" s="3"/>
      <c r="I384" s="16" t="s">
        <v>2411</v>
      </c>
      <c r="J384" s="52">
        <v>600255</v>
      </c>
      <c r="K384" s="16" t="str">
        <f t="shared" si="23"/>
        <v>600255 (PT. BPR Tilatang Kamang)</v>
      </c>
    </row>
    <row r="385" spans="1:11" ht="12.75" customHeight="1" x14ac:dyDescent="0.35">
      <c r="A385" s="9" t="s">
        <v>2412</v>
      </c>
      <c r="B385" s="9" t="s">
        <v>2</v>
      </c>
      <c r="C385" s="10" t="s">
        <v>3</v>
      </c>
      <c r="D385" s="3"/>
      <c r="E385" s="16" t="s">
        <v>2413</v>
      </c>
      <c r="F385" s="15">
        <v>6106</v>
      </c>
      <c r="G385" s="16" t="str">
        <f t="shared" si="22"/>
        <v>6106 (Kab. Tana Toraja)</v>
      </c>
      <c r="H385" s="3"/>
      <c r="I385" s="16" t="s">
        <v>2414</v>
      </c>
      <c r="J385" s="52">
        <v>600256</v>
      </c>
      <c r="K385" s="16" t="str">
        <f t="shared" si="23"/>
        <v>600256 (PT. BPR Suliki Gunung Mas)</v>
      </c>
    </row>
    <row r="386" spans="1:11" ht="12.75" customHeight="1" x14ac:dyDescent="0.35">
      <c r="A386" s="16" t="s">
        <v>2415</v>
      </c>
      <c r="B386" s="15">
        <v>10</v>
      </c>
      <c r="C386" s="31" t="str">
        <f t="shared" ref="C386:C391" si="31">CONCATENATE(B386," (",A386,")")</f>
        <v>10 (Modal kerja)</v>
      </c>
      <c r="D386" s="3"/>
      <c r="E386" s="16" t="s">
        <v>2416</v>
      </c>
      <c r="F386" s="15">
        <v>6107</v>
      </c>
      <c r="G386" s="16" t="str">
        <f t="shared" si="22"/>
        <v>6107 (Kab. Maros)</v>
      </c>
      <c r="H386" s="3"/>
      <c r="I386" s="16" t="s">
        <v>2417</v>
      </c>
      <c r="J386" s="52">
        <v>600258</v>
      </c>
      <c r="K386" s="16" t="str">
        <f t="shared" si="23"/>
        <v>600258 (PT. BPR Harau)</v>
      </c>
    </row>
    <row r="387" spans="1:11" ht="12.75" customHeight="1" x14ac:dyDescent="0.35">
      <c r="A387" s="16" t="s">
        <v>2418</v>
      </c>
      <c r="B387" s="15">
        <v>20</v>
      </c>
      <c r="C387" s="31" t="str">
        <f t="shared" si="31"/>
        <v>20 (Investasi)</v>
      </c>
      <c r="D387" s="3"/>
      <c r="E387" s="16" t="s">
        <v>2419</v>
      </c>
      <c r="F387" s="15">
        <v>6109</v>
      </c>
      <c r="G387" s="16" t="str">
        <f t="shared" si="22"/>
        <v>6109 (Kab. Luwu)</v>
      </c>
      <c r="H387" s="3"/>
      <c r="I387" s="16" t="s">
        <v>2420</v>
      </c>
      <c r="J387" s="52">
        <v>600260</v>
      </c>
      <c r="K387" s="16" t="str">
        <f t="shared" si="23"/>
        <v>600260 (PT BPR Cincin Permata Andalas)</v>
      </c>
    </row>
    <row r="388" spans="1:11" ht="12.75" customHeight="1" x14ac:dyDescent="0.35">
      <c r="A388" s="59" t="s">
        <v>2421</v>
      </c>
      <c r="B388" s="15">
        <v>31</v>
      </c>
      <c r="C388" s="31" t="str">
        <f t="shared" si="31"/>
        <v>31 (KPR yang agunannya diikat dengan hak tanggungan I )</v>
      </c>
      <c r="D388" s="3"/>
      <c r="E388" s="16" t="s">
        <v>2422</v>
      </c>
      <c r="F388" s="15">
        <v>6110</v>
      </c>
      <c r="G388" s="16" t="str">
        <f t="shared" si="22"/>
        <v>6110 (Kab. Sinjai)</v>
      </c>
      <c r="H388" s="3"/>
      <c r="I388" s="16" t="s">
        <v>2423</v>
      </c>
      <c r="J388" s="52">
        <v>600261</v>
      </c>
      <c r="K388" s="16" t="str">
        <f t="shared" si="23"/>
        <v>600261 (PT. BPR Tridanasakti)</v>
      </c>
    </row>
    <row r="389" spans="1:11" ht="12.75" customHeight="1" x14ac:dyDescent="0.35">
      <c r="A389" s="59" t="s">
        <v>2424</v>
      </c>
      <c r="B389" s="15">
        <v>32</v>
      </c>
      <c r="C389" s="31" t="str">
        <f t="shared" si="31"/>
        <v>32 (KPR selain yang dimaksud dalam huruf a. di atas)</v>
      </c>
      <c r="D389" s="3"/>
      <c r="E389" s="16" t="s">
        <v>2425</v>
      </c>
      <c r="F389" s="15">
        <v>6111</v>
      </c>
      <c r="G389" s="16" t="str">
        <f t="shared" si="22"/>
        <v>6111 (Kab. Bulukumba)</v>
      </c>
      <c r="H389" s="3"/>
      <c r="I389" s="16" t="s">
        <v>2426</v>
      </c>
      <c r="J389" s="52">
        <v>600263</v>
      </c>
      <c r="K389" s="16" t="str">
        <f t="shared" si="23"/>
        <v>600263 (PT. BPR Suryakusuma Kranggan)</v>
      </c>
    </row>
    <row r="390" spans="1:11" ht="12.75" customHeight="1" x14ac:dyDescent="0.35">
      <c r="A390" s="59" t="s">
        <v>2427</v>
      </c>
      <c r="B390" s="15">
        <v>35</v>
      </c>
      <c r="C390" s="31" t="str">
        <f t="shared" si="31"/>
        <v>35 (Kredit pemilikan kendaraan bermotor)</v>
      </c>
      <c r="D390" s="3"/>
      <c r="E390" s="16" t="s">
        <v>2428</v>
      </c>
      <c r="F390" s="15">
        <v>6112</v>
      </c>
      <c r="G390" s="16" t="str">
        <f t="shared" si="22"/>
        <v>6112 (Kab. Bantaeng)</v>
      </c>
      <c r="H390" s="3"/>
      <c r="I390" s="16" t="s">
        <v>2429</v>
      </c>
      <c r="J390" s="52">
        <v>600265</v>
      </c>
      <c r="K390" s="16" t="str">
        <f t="shared" si="23"/>
        <v>600265 (PT. BPR Multidhana Bersama)</v>
      </c>
    </row>
    <row r="391" spans="1:11" ht="12.75" customHeight="1" x14ac:dyDescent="0.35">
      <c r="A391" s="59" t="s">
        <v>2430</v>
      </c>
      <c r="B391" s="15">
        <v>39</v>
      </c>
      <c r="C391" s="31" t="str">
        <f t="shared" si="31"/>
        <v>39 (Kredit Konsumsi lainnya)</v>
      </c>
      <c r="D391" s="3"/>
      <c r="E391" s="16" t="s">
        <v>2431</v>
      </c>
      <c r="F391" s="15">
        <v>6113</v>
      </c>
      <c r="G391" s="16" t="str">
        <f t="shared" si="22"/>
        <v>6113 (Kab. Jeneponto)</v>
      </c>
      <c r="H391" s="3"/>
      <c r="I391" s="16" t="s">
        <v>2432</v>
      </c>
      <c r="J391" s="52">
        <v>600266</v>
      </c>
      <c r="K391" s="16" t="str">
        <f t="shared" si="23"/>
        <v>600266 (PT. BPR Hipmi Jaya)</v>
      </c>
    </row>
    <row r="392" spans="1:11" ht="12.75" customHeight="1" x14ac:dyDescent="0.35">
      <c r="A392" s="3"/>
      <c r="B392" s="2"/>
      <c r="C392" s="3"/>
      <c r="D392" s="3"/>
      <c r="E392" s="16" t="s">
        <v>2433</v>
      </c>
      <c r="F392" s="15">
        <v>6114</v>
      </c>
      <c r="G392" s="16" t="str">
        <f t="shared" si="22"/>
        <v>6114 (Kab. Selayar)</v>
      </c>
      <c r="H392" s="3"/>
      <c r="I392" s="16" t="s">
        <v>2434</v>
      </c>
      <c r="J392" s="52">
        <v>600270</v>
      </c>
      <c r="K392" s="16" t="str">
        <f t="shared" si="23"/>
        <v>600270 (PT. BPR Malifut Danatama)</v>
      </c>
    </row>
    <row r="393" spans="1:11" ht="12.75" customHeight="1" x14ac:dyDescent="0.35">
      <c r="A393" s="3" t="s">
        <v>2367</v>
      </c>
      <c r="B393" s="2"/>
      <c r="C393" s="3"/>
      <c r="D393" s="3"/>
      <c r="E393" s="16" t="s">
        <v>2435</v>
      </c>
      <c r="F393" s="15">
        <v>6115</v>
      </c>
      <c r="G393" s="16" t="str">
        <f t="shared" si="22"/>
        <v>6115 (Kab. Takalar)</v>
      </c>
      <c r="H393" s="3"/>
      <c r="I393" s="16" t="s">
        <v>2436</v>
      </c>
      <c r="J393" s="52">
        <v>600271</v>
      </c>
      <c r="K393" s="16" t="str">
        <f t="shared" si="23"/>
        <v>600271 (PD. BPR Sukabumi)</v>
      </c>
    </row>
    <row r="394" spans="1:11" ht="12.75" customHeight="1" x14ac:dyDescent="0.35">
      <c r="A394" s="9" t="s">
        <v>2437</v>
      </c>
      <c r="B394" s="9" t="s">
        <v>2</v>
      </c>
      <c r="C394" s="10" t="s">
        <v>3</v>
      </c>
      <c r="D394" s="3"/>
      <c r="E394" s="16" t="s">
        <v>2438</v>
      </c>
      <c r="F394" s="15">
        <v>6116</v>
      </c>
      <c r="G394" s="16" t="str">
        <f t="shared" si="22"/>
        <v>6116 (Kab. Barru)</v>
      </c>
      <c r="H394" s="3"/>
      <c r="I394" s="16" t="s">
        <v>2439</v>
      </c>
      <c r="J394" s="52">
        <v>600272</v>
      </c>
      <c r="K394" s="16" t="str">
        <f t="shared" si="23"/>
        <v>600272 (PT BPR Ukabima BMMS)</v>
      </c>
    </row>
    <row r="395" spans="1:11" ht="12.75" customHeight="1" x14ac:dyDescent="0.35">
      <c r="A395" s="16" t="s">
        <v>2440</v>
      </c>
      <c r="B395" s="15">
        <v>11</v>
      </c>
      <c r="C395" s="31" t="str">
        <f t="shared" ref="C395:C397" si="32">CONCATENATE(B395," (",A395,")")</f>
        <v>11 (Terkait dalam rangka kesejahteraan)</v>
      </c>
      <c r="D395" s="3"/>
      <c r="E395" s="16" t="s">
        <v>2441</v>
      </c>
      <c r="F395" s="15">
        <v>6117</v>
      </c>
      <c r="G395" s="16" t="str">
        <f t="shared" si="22"/>
        <v>6117 (Kab. Sidenreng Rappang)</v>
      </c>
      <c r="H395" s="3"/>
      <c r="I395" s="16" t="s">
        <v>2442</v>
      </c>
      <c r="J395" s="52">
        <v>600273</v>
      </c>
      <c r="K395" s="16" t="str">
        <f t="shared" si="23"/>
        <v>600273 (PT. BPR Labuhan Dana Sentosa)</v>
      </c>
    </row>
    <row r="396" spans="1:11" ht="12.75" customHeight="1" x14ac:dyDescent="0.35">
      <c r="A396" s="16" t="s">
        <v>2443</v>
      </c>
      <c r="B396" s="15">
        <v>12</v>
      </c>
      <c r="C396" s="31" t="str">
        <f t="shared" si="32"/>
        <v>12 (Terkait Lainnya)</v>
      </c>
      <c r="D396" s="3"/>
      <c r="E396" s="16" t="s">
        <v>2444</v>
      </c>
      <c r="F396" s="15">
        <v>6118</v>
      </c>
      <c r="G396" s="16" t="str">
        <f t="shared" si="22"/>
        <v>6118 (Kab. Pangkajene Kepulauan)</v>
      </c>
      <c r="H396" s="3"/>
      <c r="I396" s="16" t="s">
        <v>2445</v>
      </c>
      <c r="J396" s="52">
        <v>600274</v>
      </c>
      <c r="K396" s="16" t="str">
        <f t="shared" si="23"/>
        <v>600274 (PT. BPR Solider)</v>
      </c>
    </row>
    <row r="397" spans="1:11" ht="12.75" customHeight="1" x14ac:dyDescent="0.35">
      <c r="A397" s="16" t="s">
        <v>1109</v>
      </c>
      <c r="B397" s="15">
        <v>20</v>
      </c>
      <c r="C397" s="31" t="str">
        <f t="shared" si="32"/>
        <v>20 (Tidak Terkait)</v>
      </c>
      <c r="D397" s="3"/>
      <c r="E397" s="16" t="s">
        <v>2446</v>
      </c>
      <c r="F397" s="15">
        <v>6119</v>
      </c>
      <c r="G397" s="16" t="str">
        <f t="shared" si="22"/>
        <v>6119 (Kab. Soppeng (d/h Watansoppeng))</v>
      </c>
      <c r="H397" s="3"/>
      <c r="I397" s="16" t="s">
        <v>2447</v>
      </c>
      <c r="J397" s="52">
        <v>600278</v>
      </c>
      <c r="K397" s="16" t="str">
        <f t="shared" si="23"/>
        <v>600278 (PT. BPR Sembada)</v>
      </c>
    </row>
    <row r="398" spans="1:11" ht="12.75" customHeight="1" x14ac:dyDescent="0.35">
      <c r="A398" s="3"/>
      <c r="B398" s="2"/>
      <c r="C398" s="3"/>
      <c r="D398" s="3"/>
      <c r="E398" s="16" t="s">
        <v>2448</v>
      </c>
      <c r="F398" s="15">
        <v>6121</v>
      </c>
      <c r="G398" s="16" t="str">
        <f t="shared" si="22"/>
        <v>6121 (Kab. Enrekang)</v>
      </c>
      <c r="H398" s="3"/>
      <c r="I398" s="16" t="s">
        <v>2449</v>
      </c>
      <c r="J398" s="52">
        <v>600280</v>
      </c>
      <c r="K398" s="16" t="str">
        <f t="shared" si="23"/>
        <v>600280 (PD. BPR LKK Mustaqim Sukamakmur)</v>
      </c>
    </row>
    <row r="399" spans="1:11" ht="12.75" customHeight="1" x14ac:dyDescent="0.35">
      <c r="A399" s="3" t="s">
        <v>2367</v>
      </c>
      <c r="B399" s="2"/>
      <c r="C399" s="3"/>
      <c r="D399" s="3"/>
      <c r="E399" s="16" t="s">
        <v>2450</v>
      </c>
      <c r="F399" s="15">
        <v>6122</v>
      </c>
      <c r="G399" s="16" t="str">
        <f t="shared" si="22"/>
        <v>6122 (Kab. Luwu Timur (d/h Luwu Selatan))</v>
      </c>
      <c r="H399" s="3"/>
      <c r="I399" s="16" t="s">
        <v>2451</v>
      </c>
      <c r="J399" s="52">
        <v>600285</v>
      </c>
      <c r="K399" s="16" t="str">
        <f t="shared" si="23"/>
        <v>600285 (PD. BPR Raharja Wanayasa)</v>
      </c>
    </row>
    <row r="400" spans="1:11" ht="12.75" customHeight="1" x14ac:dyDescent="0.35">
      <c r="A400" s="9" t="s">
        <v>2452</v>
      </c>
      <c r="B400" s="9" t="s">
        <v>2</v>
      </c>
      <c r="C400" s="10" t="s">
        <v>3</v>
      </c>
      <c r="D400" s="3"/>
      <c r="E400" s="16" t="s">
        <v>2453</v>
      </c>
      <c r="F400" s="15">
        <v>6124</v>
      </c>
      <c r="G400" s="16" t="str">
        <f t="shared" si="22"/>
        <v>6124 (Kab. Luwu Utara)</v>
      </c>
      <c r="H400" s="3"/>
      <c r="I400" s="16" t="s">
        <v>2454</v>
      </c>
      <c r="J400" s="52">
        <v>600290</v>
      </c>
      <c r="K400" s="16" t="str">
        <f t="shared" si="23"/>
        <v>600290 (PD. BPR Martapura)</v>
      </c>
    </row>
    <row r="401" spans="1:11" ht="12.75" customHeight="1" x14ac:dyDescent="0.35">
      <c r="A401" s="7" t="s">
        <v>2455</v>
      </c>
      <c r="B401" s="15">
        <v>10</v>
      </c>
      <c r="C401" s="31" t="str">
        <f t="shared" ref="C401:C405" si="33">CONCATENATE(B401," (",A401,")")</f>
        <v>10 (Gaji/Honor)</v>
      </c>
      <c r="D401" s="3"/>
      <c r="E401" s="16" t="s">
        <v>2456</v>
      </c>
      <c r="F401" s="15">
        <v>6125</v>
      </c>
      <c r="G401" s="16" t="str">
        <f t="shared" si="22"/>
        <v>6125 (Kab. Toraja Utara)</v>
      </c>
      <c r="H401" s="3"/>
      <c r="I401" s="16" t="s">
        <v>2457</v>
      </c>
      <c r="J401" s="52">
        <v>600292</v>
      </c>
      <c r="K401" s="16" t="str">
        <f t="shared" si="23"/>
        <v>600292 (PD. BPR Astambul)</v>
      </c>
    </row>
    <row r="402" spans="1:11" ht="12.75" customHeight="1" x14ac:dyDescent="0.35">
      <c r="A402" s="7" t="s">
        <v>2458</v>
      </c>
      <c r="B402" s="15">
        <v>21</v>
      </c>
      <c r="C402" s="31" t="str">
        <f t="shared" si="33"/>
        <v>21 (Usaha - Subsidi)</v>
      </c>
      <c r="D402" s="3"/>
      <c r="E402" s="16" t="s">
        <v>2459</v>
      </c>
      <c r="F402" s="15">
        <v>6191</v>
      </c>
      <c r="G402" s="16" t="str">
        <f t="shared" si="22"/>
        <v>6191 (Kota Makassar)</v>
      </c>
      <c r="H402" s="3"/>
      <c r="I402" s="16" t="s">
        <v>2460</v>
      </c>
      <c r="J402" s="52">
        <v>600294</v>
      </c>
      <c r="K402" s="16" t="str">
        <f t="shared" si="23"/>
        <v>600294 (PD. BPR Labuan Amas Selatan)</v>
      </c>
    </row>
    <row r="403" spans="1:11" ht="12.75" customHeight="1" x14ac:dyDescent="0.35">
      <c r="A403" s="7" t="s">
        <v>2461</v>
      </c>
      <c r="B403" s="15">
        <v>22</v>
      </c>
      <c r="C403" s="31" t="str">
        <f t="shared" si="33"/>
        <v>22 (Usaha - Non subsidi)</v>
      </c>
      <c r="D403" s="3"/>
      <c r="E403" s="16" t="s">
        <v>2462</v>
      </c>
      <c r="F403" s="15">
        <v>6192</v>
      </c>
      <c r="G403" s="16" t="str">
        <f t="shared" si="22"/>
        <v>6192 (Kota Pare-Pare)</v>
      </c>
      <c r="H403" s="3"/>
      <c r="I403" s="16" t="s">
        <v>2463</v>
      </c>
      <c r="J403" s="52">
        <v>600296</v>
      </c>
      <c r="K403" s="16" t="str">
        <f t="shared" si="23"/>
        <v>600296 (PD. BPR Tapin Utara)</v>
      </c>
    </row>
    <row r="404" spans="1:11" ht="12.75" customHeight="1" x14ac:dyDescent="0.35">
      <c r="A404" s="7" t="s">
        <v>2464</v>
      </c>
      <c r="B404" s="15">
        <v>31</v>
      </c>
      <c r="C404" s="31" t="str">
        <f t="shared" si="33"/>
        <v>31 (Lainnya - Subsidi)</v>
      </c>
      <c r="D404" s="3"/>
      <c r="E404" s="16" t="s">
        <v>2465</v>
      </c>
      <c r="F404" s="15">
        <v>6193</v>
      </c>
      <c r="G404" s="16" t="str">
        <f t="shared" si="22"/>
        <v>6193 (Kota Palopo)</v>
      </c>
      <c r="H404" s="3"/>
      <c r="I404" s="16" t="s">
        <v>2466</v>
      </c>
      <c r="J404" s="52">
        <v>600298</v>
      </c>
      <c r="K404" s="16" t="str">
        <f t="shared" si="23"/>
        <v>600298 (PD. BPR Kandangan)</v>
      </c>
    </row>
    <row r="405" spans="1:11" ht="12.75" customHeight="1" x14ac:dyDescent="0.35">
      <c r="A405" s="7" t="s">
        <v>2467</v>
      </c>
      <c r="B405" s="15">
        <v>32</v>
      </c>
      <c r="C405" s="31" t="str">
        <f t="shared" si="33"/>
        <v>32 (Lainnya - Non subsidi)</v>
      </c>
      <c r="D405" s="3"/>
      <c r="E405" s="16" t="s">
        <v>381</v>
      </c>
      <c r="F405" s="15">
        <v>6188</v>
      </c>
      <c r="G405" s="16" t="str">
        <f t="shared" si="22"/>
        <v>6188 (Kab./Kota Lainnya)</v>
      </c>
      <c r="H405" s="3"/>
      <c r="I405" s="16" t="s">
        <v>2468</v>
      </c>
      <c r="J405" s="52">
        <v>600301</v>
      </c>
      <c r="K405" s="16" t="str">
        <f t="shared" si="23"/>
        <v>600301 (PT. BPR Nusamba Singaparna)</v>
      </c>
    </row>
    <row r="406" spans="1:11" ht="12.75" customHeight="1" x14ac:dyDescent="0.35">
      <c r="A406" s="3"/>
      <c r="B406" s="2"/>
      <c r="C406" s="3"/>
      <c r="D406" s="3"/>
      <c r="E406" s="14" t="s">
        <v>2469</v>
      </c>
      <c r="F406" s="15"/>
      <c r="G406" s="16" t="str">
        <f t="shared" si="22"/>
        <v>---- (Provinsi Sulawesi Utara)</v>
      </c>
      <c r="H406" s="3"/>
      <c r="I406" s="16" t="s">
        <v>2470</v>
      </c>
      <c r="J406" s="52">
        <v>600302</v>
      </c>
      <c r="K406" s="16" t="str">
        <f t="shared" si="23"/>
        <v>600302 (PD. BPR Sungai Pandan)</v>
      </c>
    </row>
    <row r="407" spans="1:11" ht="12.75" customHeight="1" x14ac:dyDescent="0.35">
      <c r="A407" s="3" t="s">
        <v>2367</v>
      </c>
      <c r="B407" s="2"/>
      <c r="C407" s="3"/>
      <c r="D407" s="3"/>
      <c r="E407" s="16" t="s">
        <v>2471</v>
      </c>
      <c r="F407" s="15">
        <v>6202</v>
      </c>
      <c r="G407" s="16" t="str">
        <f t="shared" si="22"/>
        <v>6202 (Kab. Minahasa)</v>
      </c>
      <c r="H407" s="3"/>
      <c r="I407" s="16" t="s">
        <v>2472</v>
      </c>
      <c r="J407" s="52">
        <v>600303</v>
      </c>
      <c r="K407" s="16" t="str">
        <f t="shared" si="23"/>
        <v>600303 (PT. BPR Nusamma Cisalak)</v>
      </c>
    </row>
    <row r="408" spans="1:11" ht="12.75" customHeight="1" x14ac:dyDescent="0.35">
      <c r="A408" s="9" t="s">
        <v>2473</v>
      </c>
      <c r="B408" s="9" t="s">
        <v>2</v>
      </c>
      <c r="C408" s="10" t="s">
        <v>3</v>
      </c>
      <c r="D408" s="3"/>
      <c r="E408" s="16" t="s">
        <v>2474</v>
      </c>
      <c r="F408" s="15">
        <v>6203</v>
      </c>
      <c r="G408" s="16" t="str">
        <f t="shared" si="22"/>
        <v>6203 (Kab. Bolaang Mongondow)</v>
      </c>
      <c r="H408" s="3"/>
      <c r="I408" s="16" t="s">
        <v>2475</v>
      </c>
      <c r="J408" s="52">
        <v>600304</v>
      </c>
      <c r="K408" s="16" t="str">
        <f t="shared" si="23"/>
        <v>600304 (PD. BPR Haruai)</v>
      </c>
    </row>
    <row r="409" spans="1:11" ht="12.75" customHeight="1" x14ac:dyDescent="0.35">
      <c r="A409" s="16" t="s">
        <v>2476</v>
      </c>
      <c r="B409" s="15">
        <v>1</v>
      </c>
      <c r="C409" s="31" t="str">
        <f t="shared" ref="C409:C416" si="34">CONCATENATE(B409," (",A409,")")</f>
        <v>1 (Harian)</v>
      </c>
      <c r="D409" s="3"/>
      <c r="E409" s="16" t="s">
        <v>2477</v>
      </c>
      <c r="F409" s="15">
        <v>6204</v>
      </c>
      <c r="G409" s="16" t="str">
        <f t="shared" si="22"/>
        <v>6204 (Kab. Kepulauan Sangihe)</v>
      </c>
      <c r="H409" s="3"/>
      <c r="I409" s="16" t="s">
        <v>2478</v>
      </c>
      <c r="J409" s="52">
        <v>600305</v>
      </c>
      <c r="K409" s="16" t="str">
        <f t="shared" si="23"/>
        <v>600305 (PT. BPR Nauli Danaraya)</v>
      </c>
    </row>
    <row r="410" spans="1:11" ht="12.75" customHeight="1" x14ac:dyDescent="0.35">
      <c r="A410" s="16" t="s">
        <v>2479</v>
      </c>
      <c r="B410" s="15">
        <v>2</v>
      </c>
      <c r="C410" s="31" t="str">
        <f t="shared" si="34"/>
        <v>2 (Mingguan)</v>
      </c>
      <c r="D410" s="3"/>
      <c r="E410" s="16" t="s">
        <v>2480</v>
      </c>
      <c r="F410" s="15">
        <v>6205</v>
      </c>
      <c r="G410" s="16" t="str">
        <f t="shared" si="22"/>
        <v>6205 (Kab. kepulauan Talaud)</v>
      </c>
      <c r="H410" s="3"/>
      <c r="I410" s="16" t="s">
        <v>2481</v>
      </c>
      <c r="J410" s="52">
        <v>600306</v>
      </c>
      <c r="K410" s="16" t="str">
        <f t="shared" si="23"/>
        <v>600306 (PD. BPR Kelua)</v>
      </c>
    </row>
    <row r="411" spans="1:11" ht="12.75" customHeight="1" x14ac:dyDescent="0.35">
      <c r="A411" s="59" t="s">
        <v>2482</v>
      </c>
      <c r="B411" s="15">
        <v>3</v>
      </c>
      <c r="C411" s="31" t="str">
        <f t="shared" si="34"/>
        <v>3 (Bulanan)</v>
      </c>
      <c r="D411" s="3"/>
      <c r="E411" s="16" t="s">
        <v>2483</v>
      </c>
      <c r="F411" s="15">
        <v>6206</v>
      </c>
      <c r="G411" s="16" t="str">
        <f t="shared" si="22"/>
        <v>6206 (Kab. Minahasa Selatan)</v>
      </c>
      <c r="H411" s="3"/>
      <c r="I411" s="16" t="s">
        <v>2484</v>
      </c>
      <c r="J411" s="52">
        <v>600307</v>
      </c>
      <c r="K411" s="16" t="str">
        <f t="shared" si="23"/>
        <v>600307 (PT. BPR Panjawan Mitrausaha)</v>
      </c>
    </row>
    <row r="412" spans="1:11" ht="12.75" customHeight="1" x14ac:dyDescent="0.35">
      <c r="A412" s="59" t="s">
        <v>2485</v>
      </c>
      <c r="B412" s="15">
        <v>4</v>
      </c>
      <c r="C412" s="31" t="str">
        <f t="shared" si="34"/>
        <v>4 (Triwulanan)</v>
      </c>
      <c r="D412" s="3"/>
      <c r="E412" s="16" t="s">
        <v>2486</v>
      </c>
      <c r="F412" s="15">
        <v>6207</v>
      </c>
      <c r="G412" s="16" t="str">
        <f t="shared" si="22"/>
        <v>6207 (Kab. Minahasa Utara)</v>
      </c>
      <c r="H412" s="3"/>
      <c r="I412" s="16" t="s">
        <v>2487</v>
      </c>
      <c r="J412" s="52">
        <v>600308</v>
      </c>
      <c r="K412" s="16" t="str">
        <f t="shared" si="23"/>
        <v>600308 (PD. BPR Muara Uya)</v>
      </c>
    </row>
    <row r="413" spans="1:11" ht="12.75" customHeight="1" x14ac:dyDescent="0.35">
      <c r="A413" s="59" t="s">
        <v>2488</v>
      </c>
      <c r="B413" s="15">
        <v>5</v>
      </c>
      <c r="C413" s="31" t="str">
        <f t="shared" si="34"/>
        <v>5 (Semesteran)</v>
      </c>
      <c r="D413" s="3"/>
      <c r="E413" s="16" t="s">
        <v>2489</v>
      </c>
      <c r="F413" s="15">
        <v>6209</v>
      </c>
      <c r="G413" s="16" t="str">
        <f t="shared" si="22"/>
        <v>6209 (Kab. Minahasa Tenggara)</v>
      </c>
      <c r="H413" s="3"/>
      <c r="I413" s="16" t="s">
        <v>2490</v>
      </c>
      <c r="J413" s="52">
        <v>600309</v>
      </c>
      <c r="K413" s="16" t="str">
        <f t="shared" si="23"/>
        <v>600309 (PT. BPR Bumitani Mandiri)</v>
      </c>
    </row>
    <row r="414" spans="1:11" ht="12.75" customHeight="1" x14ac:dyDescent="0.35">
      <c r="A414" s="16" t="s">
        <v>2491</v>
      </c>
      <c r="B414" s="15">
        <v>6</v>
      </c>
      <c r="C414" s="31" t="str">
        <f t="shared" si="34"/>
        <v>6 (Tahunan)</v>
      </c>
      <c r="D414" s="3"/>
      <c r="E414" s="16" t="s">
        <v>2492</v>
      </c>
      <c r="F414" s="15">
        <v>6210</v>
      </c>
      <c r="G414" s="16" t="str">
        <f t="shared" si="22"/>
        <v>6210 (Kab. Bolaang Mongondow Utara)</v>
      </c>
      <c r="H414" s="3"/>
      <c r="I414" s="16" t="s">
        <v>2493</v>
      </c>
      <c r="J414" s="52">
        <v>600310</v>
      </c>
      <c r="K414" s="16" t="str">
        <f t="shared" si="23"/>
        <v>600310 (PD BPR Bank Jombang)</v>
      </c>
    </row>
    <row r="415" spans="1:11" ht="12.75" customHeight="1" x14ac:dyDescent="0.35">
      <c r="A415" s="16" t="s">
        <v>2494</v>
      </c>
      <c r="B415" s="15">
        <v>7</v>
      </c>
      <c r="C415" s="31" t="str">
        <f t="shared" si="34"/>
        <v>7 (Sekaligus)</v>
      </c>
      <c r="D415" s="3"/>
      <c r="E415" s="16" t="s">
        <v>2495</v>
      </c>
      <c r="F415" s="15">
        <v>6211</v>
      </c>
      <c r="G415" s="16" t="str">
        <f t="shared" si="22"/>
        <v>6211 (Kab. Kepulauan Sitaro)</v>
      </c>
      <c r="H415" s="3"/>
      <c r="I415" s="16" t="s">
        <v>2496</v>
      </c>
      <c r="J415" s="52">
        <v>600311</v>
      </c>
      <c r="K415" s="16" t="str">
        <f t="shared" si="23"/>
        <v>600311 (PT. BPR Karyajatnika Sadaya)</v>
      </c>
    </row>
    <row r="416" spans="1:11" ht="12.75" customHeight="1" x14ac:dyDescent="0.35">
      <c r="A416" s="16" t="s">
        <v>2497</v>
      </c>
      <c r="B416" s="15">
        <v>8</v>
      </c>
      <c r="C416" s="31" t="str">
        <f t="shared" si="34"/>
        <v>8 (Setiap saat)</v>
      </c>
      <c r="D416" s="3"/>
      <c r="E416" s="16" t="s">
        <v>2498</v>
      </c>
      <c r="F416" s="15">
        <v>6212</v>
      </c>
      <c r="G416" s="16" t="str">
        <f t="shared" si="22"/>
        <v>6212 (Kab. Bolang Manngondow Selatan)</v>
      </c>
      <c r="H416" s="3"/>
      <c r="I416" s="16" t="s">
        <v>2499</v>
      </c>
      <c r="J416" s="52">
        <v>600312</v>
      </c>
      <c r="K416" s="16" t="str">
        <f t="shared" si="23"/>
        <v>600312 (PD. BPR Bank Jepara Artha)</v>
      </c>
    </row>
    <row r="417" spans="1:11" ht="12.75" customHeight="1" x14ac:dyDescent="0.35">
      <c r="A417" s="3"/>
      <c r="B417" s="2"/>
      <c r="C417" s="3"/>
      <c r="D417" s="3"/>
      <c r="E417" s="16" t="s">
        <v>2500</v>
      </c>
      <c r="F417" s="15">
        <v>6213</v>
      </c>
      <c r="G417" s="16" t="str">
        <f t="shared" si="22"/>
        <v>6213 (Kab. Bolang Manngondow Timur)</v>
      </c>
      <c r="H417" s="3"/>
      <c r="I417" s="16" t="s">
        <v>2501</v>
      </c>
      <c r="J417" s="52">
        <v>600313</v>
      </c>
      <c r="K417" s="16" t="str">
        <f t="shared" si="23"/>
        <v>600313 (PT. BPR Raga Sakti)</v>
      </c>
    </row>
    <row r="418" spans="1:11" ht="12.75" customHeight="1" x14ac:dyDescent="0.35">
      <c r="A418" s="58" t="s">
        <v>2502</v>
      </c>
      <c r="B418" s="2"/>
      <c r="C418" s="3"/>
      <c r="D418" s="3"/>
      <c r="E418" s="16" t="s">
        <v>2503</v>
      </c>
      <c r="F418" s="15">
        <v>6291</v>
      </c>
      <c r="G418" s="16" t="str">
        <f t="shared" si="22"/>
        <v>6291 (Kota Manado)</v>
      </c>
      <c r="H418" s="3"/>
      <c r="I418" s="16" t="s">
        <v>2504</v>
      </c>
      <c r="J418" s="52">
        <v>600315</v>
      </c>
      <c r="K418" s="16" t="str">
        <f t="shared" si="23"/>
        <v>600315 (PT. BPR Rajadana Menganti)</v>
      </c>
    </row>
    <row r="419" spans="1:11" ht="12.75" customHeight="1" x14ac:dyDescent="0.35">
      <c r="A419" s="8" t="s">
        <v>2505</v>
      </c>
      <c r="B419" s="9" t="s">
        <v>2</v>
      </c>
      <c r="C419" s="10" t="s">
        <v>3</v>
      </c>
      <c r="D419" s="3"/>
      <c r="E419" s="16" t="s">
        <v>2506</v>
      </c>
      <c r="F419" s="15">
        <v>6292</v>
      </c>
      <c r="G419" s="16" t="str">
        <f t="shared" si="22"/>
        <v>6292 (Kota Kotamobagu)</v>
      </c>
      <c r="H419" s="3"/>
      <c r="I419" s="16" t="s">
        <v>2507</v>
      </c>
      <c r="J419" s="52">
        <v>600316</v>
      </c>
      <c r="K419" s="16" t="str">
        <f t="shared" si="23"/>
        <v>600316 (PT. BPR Darbeni Rizki)</v>
      </c>
    </row>
    <row r="420" spans="1:11" ht="12.75" customHeight="1" x14ac:dyDescent="0.35">
      <c r="A420" s="16" t="s">
        <v>2312</v>
      </c>
      <c r="B420" s="15">
        <v>1</v>
      </c>
      <c r="C420" s="31" t="str">
        <f t="shared" ref="C420:C424" si="35">CONCATENATE(B420," (",A420,")")</f>
        <v>1 (Lancar)</v>
      </c>
      <c r="D420" s="3"/>
      <c r="E420" s="16" t="s">
        <v>2508</v>
      </c>
      <c r="F420" s="15">
        <v>6293</v>
      </c>
      <c r="G420" s="16" t="str">
        <f t="shared" si="22"/>
        <v>6293 (Kota Bitung)</v>
      </c>
      <c r="H420" s="3"/>
      <c r="I420" s="16" t="s">
        <v>2509</v>
      </c>
      <c r="J420" s="52">
        <v>600318</v>
      </c>
      <c r="K420" s="16" t="str">
        <f t="shared" si="23"/>
        <v>600318 (PD BPR Bank Karanganyar)</v>
      </c>
    </row>
    <row r="421" spans="1:11" ht="12.75" customHeight="1" x14ac:dyDescent="0.35">
      <c r="A421" s="16" t="s">
        <v>2510</v>
      </c>
      <c r="B421" s="15">
        <v>2</v>
      </c>
      <c r="C421" s="31" t="str">
        <f t="shared" si="35"/>
        <v>2 (Dalam Perhatian Khusus)</v>
      </c>
      <c r="D421" s="3"/>
      <c r="E421" s="16" t="s">
        <v>2511</v>
      </c>
      <c r="F421" s="15">
        <v>6294</v>
      </c>
      <c r="G421" s="16" t="str">
        <f t="shared" si="22"/>
        <v>6294 (Kota. Tomohon)</v>
      </c>
      <c r="H421" s="3"/>
      <c r="I421" s="16" t="s">
        <v>2512</v>
      </c>
      <c r="J421" s="52">
        <v>600319</v>
      </c>
      <c r="K421" s="16" t="str">
        <f t="shared" si="23"/>
        <v>600319 (PD. BPR LPK Cimerak)</v>
      </c>
    </row>
    <row r="422" spans="1:11" ht="12.75" customHeight="1" x14ac:dyDescent="0.35">
      <c r="A422" s="16" t="s">
        <v>2315</v>
      </c>
      <c r="B422" s="15">
        <v>3</v>
      </c>
      <c r="C422" s="31" t="str">
        <f t="shared" si="35"/>
        <v>3 (Kurang Lancar)</v>
      </c>
      <c r="D422" s="3"/>
      <c r="E422" s="16" t="s">
        <v>381</v>
      </c>
      <c r="F422" s="15">
        <v>6288</v>
      </c>
      <c r="G422" s="16" t="str">
        <f t="shared" si="22"/>
        <v>6288 (Kab./Kota Lainnya)</v>
      </c>
      <c r="H422" s="3"/>
      <c r="I422" s="16" t="s">
        <v>2513</v>
      </c>
      <c r="J422" s="52">
        <v>600320</v>
      </c>
      <c r="K422" s="16" t="str">
        <f t="shared" si="23"/>
        <v>600320 (PD. BPR Rokan Hilir)</v>
      </c>
    </row>
    <row r="423" spans="1:11" ht="12.75" customHeight="1" x14ac:dyDescent="0.35">
      <c r="A423" s="16" t="s">
        <v>2514</v>
      </c>
      <c r="B423" s="15">
        <v>4</v>
      </c>
      <c r="C423" s="31" t="str">
        <f t="shared" si="35"/>
        <v>4 (Diragukan)</v>
      </c>
      <c r="D423" s="3"/>
      <c r="E423" s="14" t="s">
        <v>2515</v>
      </c>
      <c r="F423" s="15"/>
      <c r="G423" s="16" t="str">
        <f t="shared" si="22"/>
        <v>---- (Provinsi Gorontalo)</v>
      </c>
      <c r="H423" s="3"/>
      <c r="I423" s="16" t="s">
        <v>2516</v>
      </c>
      <c r="J423" s="52">
        <v>600324</v>
      </c>
      <c r="K423" s="16" t="str">
        <f t="shared" si="23"/>
        <v>600324 (PT BPR Karya Utama Jabar)</v>
      </c>
    </row>
    <row r="424" spans="1:11" ht="12.75" customHeight="1" x14ac:dyDescent="0.35">
      <c r="A424" s="16" t="s">
        <v>2317</v>
      </c>
      <c r="B424" s="15">
        <v>5</v>
      </c>
      <c r="C424" s="31" t="str">
        <f t="shared" si="35"/>
        <v>5 (Macet)</v>
      </c>
      <c r="D424" s="3"/>
      <c r="E424" s="16" t="s">
        <v>2517</v>
      </c>
      <c r="F424" s="15">
        <v>6301</v>
      </c>
      <c r="G424" s="16" t="str">
        <f t="shared" si="22"/>
        <v>6301 (Kab. Gorontalo)</v>
      </c>
      <c r="H424" s="3"/>
      <c r="I424" s="16" t="s">
        <v>2518</v>
      </c>
      <c r="J424" s="52">
        <v>600332</v>
      </c>
      <c r="K424" s="16" t="str">
        <f t="shared" si="23"/>
        <v>600332 (PD. BPR BKPD Cijulang)</v>
      </c>
    </row>
    <row r="425" spans="1:11" ht="12.75" customHeight="1" x14ac:dyDescent="0.35">
      <c r="A425" s="3"/>
      <c r="B425" s="2"/>
      <c r="C425" s="3"/>
      <c r="D425" s="3"/>
      <c r="E425" s="16" t="s">
        <v>2519</v>
      </c>
      <c r="F425" s="15">
        <v>6302</v>
      </c>
      <c r="G425" s="16" t="str">
        <f t="shared" si="22"/>
        <v>6302 (Kab. Bualemo)</v>
      </c>
      <c r="H425" s="3"/>
      <c r="I425" s="16" t="s">
        <v>2520</v>
      </c>
      <c r="J425" s="52">
        <v>600342</v>
      </c>
      <c r="K425" s="16" t="str">
        <f t="shared" si="23"/>
        <v>600342 (PD. BPR LPK Bekasi)</v>
      </c>
    </row>
    <row r="426" spans="1:11" ht="12.75" customHeight="1" x14ac:dyDescent="0.35">
      <c r="A426" s="3" t="s">
        <v>2367</v>
      </c>
      <c r="B426" s="2"/>
      <c r="C426" s="3"/>
      <c r="D426" s="3"/>
      <c r="E426" s="16" t="s">
        <v>2521</v>
      </c>
      <c r="F426" s="15">
        <v>6303</v>
      </c>
      <c r="G426" s="16" t="str">
        <f t="shared" si="22"/>
        <v>6303 (Kab. Bonebolango)</v>
      </c>
      <c r="H426" s="3"/>
      <c r="I426" s="16" t="s">
        <v>2522</v>
      </c>
      <c r="J426" s="52">
        <v>600343</v>
      </c>
      <c r="K426" s="16" t="str">
        <f t="shared" si="23"/>
        <v>600343 (PD. BPR Serang)</v>
      </c>
    </row>
    <row r="427" spans="1:11" ht="12.75" customHeight="1" x14ac:dyDescent="0.35">
      <c r="A427" s="8" t="s">
        <v>2523</v>
      </c>
      <c r="B427" s="9" t="s">
        <v>2</v>
      </c>
      <c r="C427" s="10" t="s">
        <v>3</v>
      </c>
      <c r="D427" s="3"/>
      <c r="E427" s="16" t="s">
        <v>2524</v>
      </c>
      <c r="F427" s="15">
        <v>6304</v>
      </c>
      <c r="G427" s="16" t="str">
        <f t="shared" si="22"/>
        <v>6304 (Kab. Pohuwato)</v>
      </c>
      <c r="H427" s="3"/>
      <c r="I427" s="16" t="s">
        <v>2525</v>
      </c>
      <c r="J427" s="52">
        <v>600351</v>
      </c>
      <c r="K427" s="16" t="str">
        <f t="shared" si="23"/>
        <v>600351 (PD. BPR Gemilang)</v>
      </c>
    </row>
    <row r="428" spans="1:11" ht="12.75" customHeight="1" x14ac:dyDescent="0.35">
      <c r="A428" s="45" t="s">
        <v>2526</v>
      </c>
      <c r="B428" s="15">
        <v>1</v>
      </c>
      <c r="C428" s="31" t="str">
        <f t="shared" ref="C428:C431" si="36">CONCATENATE(B428," (",A428,")")</f>
        <v>1 (Mikro)</v>
      </c>
      <c r="D428" s="3"/>
      <c r="E428" s="16" t="s">
        <v>2527</v>
      </c>
      <c r="F428" s="15">
        <v>6391</v>
      </c>
      <c r="G428" s="16" t="str">
        <f t="shared" si="22"/>
        <v>6391 (Kota Gorontalo)</v>
      </c>
      <c r="H428" s="3"/>
      <c r="I428" s="16" t="s">
        <v>2528</v>
      </c>
      <c r="J428" s="52">
        <v>600356</v>
      </c>
      <c r="K428" s="16" t="str">
        <f t="shared" si="23"/>
        <v>600356 (PD. BPR BKPD Lakbok)</v>
      </c>
    </row>
    <row r="429" spans="1:11" ht="12.75" customHeight="1" x14ac:dyDescent="0.35">
      <c r="A429" s="45" t="s">
        <v>2529</v>
      </c>
      <c r="B429" s="15">
        <v>2</v>
      </c>
      <c r="C429" s="31" t="str">
        <f t="shared" si="36"/>
        <v>2 (Kecil)</v>
      </c>
      <c r="D429" s="3"/>
      <c r="E429" s="16" t="s">
        <v>2530</v>
      </c>
      <c r="F429" s="15">
        <v>6305</v>
      </c>
      <c r="G429" s="16" t="str">
        <f t="shared" si="22"/>
        <v>6305 (Kab. Gorontalo Utara)</v>
      </c>
      <c r="H429" s="3"/>
      <c r="I429" s="16" t="s">
        <v>2531</v>
      </c>
      <c r="J429" s="52">
        <v>600369</v>
      </c>
      <c r="K429" s="16" t="str">
        <f t="shared" si="23"/>
        <v>600369 (PD. BPR BKPD Pangandaran)</v>
      </c>
    </row>
    <row r="430" spans="1:11" ht="12.75" customHeight="1" x14ac:dyDescent="0.35">
      <c r="A430" s="45" t="s">
        <v>2532</v>
      </c>
      <c r="B430" s="15">
        <v>3</v>
      </c>
      <c r="C430" s="31" t="str">
        <f t="shared" si="36"/>
        <v>3 (Menengah)</v>
      </c>
      <c r="D430" s="3"/>
      <c r="E430" s="16" t="s">
        <v>381</v>
      </c>
      <c r="F430" s="15">
        <v>6388</v>
      </c>
      <c r="G430" s="16" t="str">
        <f t="shared" si="22"/>
        <v>6388 (Kab./Kota Lainnya)</v>
      </c>
      <c r="H430" s="3"/>
      <c r="I430" s="16" t="s">
        <v>2533</v>
      </c>
      <c r="J430" s="52">
        <v>600374</v>
      </c>
      <c r="K430" s="16" t="str">
        <f t="shared" si="23"/>
        <v>600374 (PD.BPR NTB MATARAM)</v>
      </c>
    </row>
    <row r="431" spans="1:11" ht="12.75" customHeight="1" x14ac:dyDescent="0.35">
      <c r="A431" s="45" t="s">
        <v>2534</v>
      </c>
      <c r="B431" s="15">
        <v>4</v>
      </c>
      <c r="C431" s="31" t="str">
        <f t="shared" si="36"/>
        <v>4 (Selain Mikro, Kecil dan Menengah)</v>
      </c>
      <c r="D431" s="3"/>
      <c r="E431" s="14" t="s">
        <v>2535</v>
      </c>
      <c r="F431" s="15"/>
      <c r="G431" s="16" t="str">
        <f t="shared" si="22"/>
        <v>---- (Provinsi Sulawesi Barat)</v>
      </c>
      <c r="H431" s="3"/>
      <c r="I431" s="16" t="s">
        <v>2536</v>
      </c>
      <c r="J431" s="52">
        <v>600392</v>
      </c>
      <c r="K431" s="16" t="str">
        <f t="shared" si="23"/>
        <v>600392 (PD. BPR BP Kota Cirebon)</v>
      </c>
    </row>
    <row r="432" spans="1:11" ht="12.75" customHeight="1" x14ac:dyDescent="0.35">
      <c r="A432" s="3"/>
      <c r="B432" s="2"/>
      <c r="C432" s="3"/>
      <c r="D432" s="3"/>
      <c r="E432" s="16" t="s">
        <v>2537</v>
      </c>
      <c r="F432" s="15">
        <v>6401</v>
      </c>
      <c r="G432" s="16" t="str">
        <f t="shared" si="22"/>
        <v>6401 (Kab. Polewali Mandar)</v>
      </c>
      <c r="H432" s="3"/>
      <c r="I432" s="16" t="s">
        <v>2538</v>
      </c>
      <c r="J432" s="52">
        <v>600395</v>
      </c>
      <c r="K432" s="16" t="str">
        <f t="shared" si="23"/>
        <v>600395 (PT. BPR Hisobhan)</v>
      </c>
    </row>
    <row r="433" spans="1:11" ht="12.75" customHeight="1" x14ac:dyDescent="0.35">
      <c r="A433" s="3" t="s">
        <v>2539</v>
      </c>
      <c r="B433" s="2"/>
      <c r="C433" s="3"/>
      <c r="D433" s="3"/>
      <c r="E433" s="16" t="s">
        <v>2540</v>
      </c>
      <c r="F433" s="15">
        <v>6402</v>
      </c>
      <c r="G433" s="16" t="str">
        <f t="shared" si="22"/>
        <v>6402 (Kab. Majene)</v>
      </c>
      <c r="H433" s="3"/>
      <c r="I433" s="16" t="s">
        <v>2541</v>
      </c>
      <c r="J433" s="52">
        <v>600398</v>
      </c>
      <c r="K433" s="16" t="str">
        <f t="shared" si="23"/>
        <v>600398 (PT BPR Mitra Harmoni Indramayu)</v>
      </c>
    </row>
    <row r="434" spans="1:11" ht="12.75" customHeight="1" x14ac:dyDescent="0.35">
      <c r="A434" s="8" t="s">
        <v>2542</v>
      </c>
      <c r="B434" s="9" t="s">
        <v>2</v>
      </c>
      <c r="C434" s="10" t="s">
        <v>3</v>
      </c>
      <c r="D434" s="3"/>
      <c r="E434" s="16" t="s">
        <v>2543</v>
      </c>
      <c r="F434" s="15">
        <v>6403</v>
      </c>
      <c r="G434" s="16" t="str">
        <f t="shared" si="22"/>
        <v>6403 (Kab. Mamasa)</v>
      </c>
      <c r="H434" s="3"/>
      <c r="I434" s="16" t="s">
        <v>2544</v>
      </c>
      <c r="J434" s="52">
        <v>600400</v>
      </c>
      <c r="K434" s="16" t="str">
        <f t="shared" si="23"/>
        <v>600400 (PT. BPR Pura Artha Kencana Jatipuro)</v>
      </c>
    </row>
    <row r="435" spans="1:11" ht="12.75" customHeight="1" x14ac:dyDescent="0.35">
      <c r="A435" s="16" t="s">
        <v>2545</v>
      </c>
      <c r="B435" s="15">
        <v>1</v>
      </c>
      <c r="C435" s="31" t="str">
        <f t="shared" ref="C435:C436" si="37">CONCATENATE(B435," (",A435,")")</f>
        <v>1 (Penilai Independen)</v>
      </c>
      <c r="D435" s="3"/>
      <c r="E435" s="16" t="s">
        <v>2546</v>
      </c>
      <c r="F435" s="15">
        <v>6404</v>
      </c>
      <c r="G435" s="16" t="str">
        <f t="shared" si="22"/>
        <v>6404 (Kab. Mamuju Utara)</v>
      </c>
      <c r="H435" s="3"/>
      <c r="I435" s="16" t="s">
        <v>2547</v>
      </c>
      <c r="J435" s="52">
        <v>600402</v>
      </c>
      <c r="K435" s="16" t="str">
        <f t="shared" si="23"/>
        <v>600402 (PT BPR Muria Harta Nusantara)</v>
      </c>
    </row>
    <row r="436" spans="1:11" ht="12.75" customHeight="1" x14ac:dyDescent="0.35">
      <c r="A436" s="16" t="s">
        <v>2548</v>
      </c>
      <c r="B436" s="15">
        <v>2</v>
      </c>
      <c r="C436" s="31" t="str">
        <f t="shared" si="37"/>
        <v>2 (Internal BPR)</v>
      </c>
      <c r="D436" s="3"/>
      <c r="E436" s="16" t="s">
        <v>2549</v>
      </c>
      <c r="F436" s="15">
        <v>6491</v>
      </c>
      <c r="G436" s="16" t="str">
        <f t="shared" si="22"/>
        <v>6491 (Kota Mamuju)</v>
      </c>
      <c r="H436" s="3"/>
      <c r="I436" s="16" t="s">
        <v>2550</v>
      </c>
      <c r="J436" s="52">
        <v>600406</v>
      </c>
      <c r="K436" s="16" t="str">
        <f t="shared" si="23"/>
        <v>600406 (PT BPR Hayura Artalola)</v>
      </c>
    </row>
    <row r="437" spans="1:11" ht="12.75" customHeight="1" x14ac:dyDescent="0.35">
      <c r="A437" s="3"/>
      <c r="B437" s="2"/>
      <c r="C437" s="3"/>
      <c r="D437" s="3"/>
      <c r="E437" s="16" t="s">
        <v>381</v>
      </c>
      <c r="F437" s="15">
        <v>6488</v>
      </c>
      <c r="G437" s="16" t="str">
        <f t="shared" si="22"/>
        <v>6488 (Kab./Kota Lainnya)</v>
      </c>
      <c r="H437" s="3"/>
      <c r="I437" s="16" t="s">
        <v>2551</v>
      </c>
      <c r="J437" s="52">
        <v>600407</v>
      </c>
      <c r="K437" s="16" t="str">
        <f t="shared" si="23"/>
        <v>600407 (PD. BPR LPK Panyingkiran)</v>
      </c>
    </row>
    <row r="438" spans="1:11" ht="12.75" customHeight="1" x14ac:dyDescent="0.35">
      <c r="A438" s="3" t="s">
        <v>2552</v>
      </c>
      <c r="B438" s="2"/>
      <c r="C438" s="3"/>
      <c r="D438" s="3"/>
      <c r="E438" s="14" t="s">
        <v>2553</v>
      </c>
      <c r="F438" s="15"/>
      <c r="G438" s="16" t="str">
        <f t="shared" si="22"/>
        <v>---- (Provinsi Sulawesi Tenggara)</v>
      </c>
      <c r="H438" s="3"/>
      <c r="I438" s="16" t="s">
        <v>2554</v>
      </c>
      <c r="J438" s="52">
        <v>600408</v>
      </c>
      <c r="K438" s="16" t="str">
        <f t="shared" si="23"/>
        <v>600408 (PT. BPR Mahkota Artha Sejahtera)</v>
      </c>
    </row>
    <row r="439" spans="1:11" ht="12.75" customHeight="1" x14ac:dyDescent="0.35">
      <c r="A439" s="12" t="s">
        <v>2555</v>
      </c>
      <c r="B439" s="12" t="s">
        <v>2</v>
      </c>
      <c r="C439" s="12" t="s">
        <v>3</v>
      </c>
      <c r="D439" s="3"/>
      <c r="E439" s="16" t="s">
        <v>2556</v>
      </c>
      <c r="F439" s="15">
        <v>6901</v>
      </c>
      <c r="G439" s="16" t="str">
        <f t="shared" si="22"/>
        <v>6901 (Kab. Buton)</v>
      </c>
      <c r="H439" s="3"/>
      <c r="I439" s="16" t="s">
        <v>2557</v>
      </c>
      <c r="J439" s="52">
        <v>600409</v>
      </c>
      <c r="K439" s="16" t="str">
        <f t="shared" si="23"/>
        <v>600409 (PT BPR Cipatujah Jawa Barat)</v>
      </c>
    </row>
    <row r="440" spans="1:11" ht="12.75" customHeight="1" x14ac:dyDescent="0.35">
      <c r="A440" s="31" t="s">
        <v>2558</v>
      </c>
      <c r="B440" s="60" t="s">
        <v>1165</v>
      </c>
      <c r="C440" s="31" t="str">
        <f t="shared" ref="C440:C446" si="38">CONCATENATE(B440," (",A440,")")</f>
        <v>101 (Aset Tetap dan Inventaris : Tanah)</v>
      </c>
      <c r="D440" s="3"/>
      <c r="E440" s="16" t="s">
        <v>2559</v>
      </c>
      <c r="F440" s="15">
        <v>6903</v>
      </c>
      <c r="G440" s="16" t="str">
        <f t="shared" si="22"/>
        <v>6903 (Kab. Muna)</v>
      </c>
      <c r="H440" s="3"/>
      <c r="I440" s="16" t="s">
        <v>2560</v>
      </c>
      <c r="J440" s="52">
        <v>600411</v>
      </c>
      <c r="K440" s="16" t="str">
        <f t="shared" si="23"/>
        <v>600411 (PT. BPR Sebaru Sejahtera Lestari)</v>
      </c>
    </row>
    <row r="441" spans="1:11" ht="12.75" customHeight="1" x14ac:dyDescent="0.35">
      <c r="A441" s="31" t="s">
        <v>2561</v>
      </c>
      <c r="B441" s="60" t="s">
        <v>1171</v>
      </c>
      <c r="C441" s="31" t="str">
        <f t="shared" si="38"/>
        <v>102 (Aset Tetap dan Inventaris : Bangunan)</v>
      </c>
      <c r="D441" s="3"/>
      <c r="E441" s="16" t="s">
        <v>2562</v>
      </c>
      <c r="F441" s="15">
        <v>6904</v>
      </c>
      <c r="G441" s="16" t="str">
        <f t="shared" si="22"/>
        <v>6904 (Kab. Kolaka)</v>
      </c>
      <c r="H441" s="3"/>
      <c r="I441" s="16" t="s">
        <v>2563</v>
      </c>
      <c r="J441" s="52">
        <v>600412</v>
      </c>
      <c r="K441" s="16" t="str">
        <f t="shared" si="23"/>
        <v>600412 (PT. BPR Eka Prasetya)</v>
      </c>
    </row>
    <row r="442" spans="1:11" ht="12.75" customHeight="1" x14ac:dyDescent="0.35">
      <c r="A442" s="31" t="s">
        <v>2564</v>
      </c>
      <c r="B442" s="60" t="s">
        <v>1177</v>
      </c>
      <c r="C442" s="31" t="str">
        <f t="shared" si="38"/>
        <v>103 (Aset Tetap dan Inventaris : Peralatan dan Perlengkapan)</v>
      </c>
      <c r="D442" s="3"/>
      <c r="E442" s="16" t="s">
        <v>2565</v>
      </c>
      <c r="F442" s="15">
        <v>6905</v>
      </c>
      <c r="G442" s="16" t="str">
        <f t="shared" si="22"/>
        <v>6905 (Kab. Wakatobi)</v>
      </c>
      <c r="H442" s="3"/>
      <c r="I442" s="16" t="s">
        <v>2566</v>
      </c>
      <c r="J442" s="52">
        <v>600414</v>
      </c>
      <c r="K442" s="16" t="str">
        <f t="shared" si="23"/>
        <v>600414 (PT. BPR Kuta Bumi Sidomukti)</v>
      </c>
    </row>
    <row r="443" spans="1:11" ht="12.75" customHeight="1" x14ac:dyDescent="0.35">
      <c r="A443" s="31" t="s">
        <v>2567</v>
      </c>
      <c r="B443" s="60" t="s">
        <v>2568</v>
      </c>
      <c r="C443" s="31" t="str">
        <f t="shared" si="38"/>
        <v>104 (Aset Tetap dan Inventaris : Kendaraan)</v>
      </c>
      <c r="D443" s="3"/>
      <c r="E443" s="16" t="s">
        <v>2569</v>
      </c>
      <c r="F443" s="15">
        <v>6906</v>
      </c>
      <c r="G443" s="16" t="str">
        <f t="shared" si="22"/>
        <v>6906 (Kab. Konawe)</v>
      </c>
      <c r="H443" s="3"/>
      <c r="I443" s="16" t="s">
        <v>2570</v>
      </c>
      <c r="J443" s="52">
        <v>600416</v>
      </c>
      <c r="K443" s="16" t="str">
        <f t="shared" si="23"/>
        <v>600416 (PD. BPR Arjawinangun)</v>
      </c>
    </row>
    <row r="444" spans="1:11" ht="12.75" customHeight="1" x14ac:dyDescent="0.35">
      <c r="A444" s="31" t="s">
        <v>2571</v>
      </c>
      <c r="B444" s="60" t="s">
        <v>2572</v>
      </c>
      <c r="C444" s="31" t="str">
        <f t="shared" si="38"/>
        <v>199 (Aset Tetap dan Inventaris : Lainnya)</v>
      </c>
      <c r="D444" s="3"/>
      <c r="E444" s="16" t="s">
        <v>2573</v>
      </c>
      <c r="F444" s="15">
        <v>6907</v>
      </c>
      <c r="G444" s="16" t="str">
        <f t="shared" si="22"/>
        <v>6907 (Kab. Konawe Selatan)</v>
      </c>
      <c r="H444" s="3"/>
      <c r="I444" s="16" t="s">
        <v>2574</v>
      </c>
      <c r="J444" s="52">
        <v>600418</v>
      </c>
      <c r="K444" s="16" t="str">
        <f t="shared" si="23"/>
        <v>600418 (PD. BPR Astanajapura)</v>
      </c>
    </row>
    <row r="445" spans="1:11" ht="12.75" customHeight="1" x14ac:dyDescent="0.35">
      <c r="A445" s="31" t="s">
        <v>2575</v>
      </c>
      <c r="B445" s="60" t="s">
        <v>2576</v>
      </c>
      <c r="C445" s="31" t="str">
        <f t="shared" si="38"/>
        <v>201 (Aset Tidak Berwujud : Program aplikasi (software))</v>
      </c>
      <c r="D445" s="3"/>
      <c r="E445" s="16" t="s">
        <v>2577</v>
      </c>
      <c r="F445" s="15">
        <v>6908</v>
      </c>
      <c r="G445" s="16" t="str">
        <f t="shared" si="22"/>
        <v>6908 (Kab. Bombana)</v>
      </c>
      <c r="H445" s="3"/>
      <c r="I445" s="16" t="s">
        <v>2578</v>
      </c>
      <c r="J445" s="52">
        <v>600419</v>
      </c>
      <c r="K445" s="16" t="str">
        <f t="shared" si="23"/>
        <v>600419 (PD. BPR LPK Cantigi Kulon)</v>
      </c>
    </row>
    <row r="446" spans="1:11" ht="12.75" customHeight="1" x14ac:dyDescent="0.35">
      <c r="A446" s="31" t="s">
        <v>2579</v>
      </c>
      <c r="B446" s="60" t="s">
        <v>2580</v>
      </c>
      <c r="C446" s="31" t="str">
        <f t="shared" si="38"/>
        <v>299 (Aset Tidak Berwujud : Lainnya)</v>
      </c>
      <c r="D446" s="3"/>
      <c r="E446" s="16" t="s">
        <v>2581</v>
      </c>
      <c r="F446" s="15">
        <v>6909</v>
      </c>
      <c r="G446" s="16" t="str">
        <f t="shared" si="22"/>
        <v>6909 (Kab. Kolaka Utara)</v>
      </c>
      <c r="H446" s="3"/>
      <c r="I446" s="16" t="s">
        <v>2582</v>
      </c>
      <c r="J446" s="52">
        <v>600420</v>
      </c>
      <c r="K446" s="16" t="str">
        <f t="shared" si="23"/>
        <v>600420 (PD. BPR Babakan)</v>
      </c>
    </row>
    <row r="447" spans="1:11" ht="12.75" customHeight="1" x14ac:dyDescent="0.35">
      <c r="A447" s="41" t="s">
        <v>2583</v>
      </c>
      <c r="B447" s="28">
        <v>202</v>
      </c>
      <c r="C447" s="41" t="s">
        <v>2584</v>
      </c>
      <c r="D447" s="3"/>
      <c r="E447" s="16" t="s">
        <v>2585</v>
      </c>
      <c r="F447" s="15">
        <v>6910</v>
      </c>
      <c r="G447" s="16" t="str">
        <f t="shared" si="22"/>
        <v>6910 (Kab. Buton Utara)</v>
      </c>
      <c r="H447" s="3"/>
      <c r="I447" s="16" t="s">
        <v>2586</v>
      </c>
      <c r="J447" s="52">
        <v>600421</v>
      </c>
      <c r="K447" s="16" t="str">
        <f t="shared" si="23"/>
        <v>600421 (PD. BPR LPK Arahan Kidul)</v>
      </c>
    </row>
    <row r="448" spans="1:11" ht="12.75" customHeight="1" x14ac:dyDescent="0.35">
      <c r="A448" s="3" t="s">
        <v>2552</v>
      </c>
      <c r="B448" s="2"/>
      <c r="C448" s="3"/>
      <c r="D448" s="3"/>
      <c r="E448" s="16" t="s">
        <v>2587</v>
      </c>
      <c r="F448" s="15">
        <v>6911</v>
      </c>
      <c r="G448" s="16" t="str">
        <f t="shared" si="22"/>
        <v>6911 (Kab. Konawe Utara)</v>
      </c>
      <c r="H448" s="3"/>
      <c r="I448" s="16" t="s">
        <v>2588</v>
      </c>
      <c r="J448" s="52">
        <v>600423</v>
      </c>
      <c r="K448" s="16" t="str">
        <f t="shared" si="23"/>
        <v>600423 (PD. BPR LPK Kroya)</v>
      </c>
    </row>
    <row r="449" spans="1:11" ht="12.75" customHeight="1" x14ac:dyDescent="0.35">
      <c r="A449" s="8" t="s">
        <v>2589</v>
      </c>
      <c r="B449" s="9" t="s">
        <v>2</v>
      </c>
      <c r="C449" s="10" t="s">
        <v>3</v>
      </c>
      <c r="D449" s="3"/>
      <c r="E449" s="16" t="s">
        <v>2590</v>
      </c>
      <c r="F449" s="15">
        <v>6990</v>
      </c>
      <c r="G449" s="16" t="str">
        <f t="shared" si="22"/>
        <v>6990 (Kota Bau-Bau)</v>
      </c>
      <c r="H449" s="3"/>
      <c r="I449" s="16" t="s">
        <v>2591</v>
      </c>
      <c r="J449" s="52">
        <v>600425</v>
      </c>
      <c r="K449" s="16" t="str">
        <f t="shared" si="23"/>
        <v>600425 (PD. BPR LPK Sukra)</v>
      </c>
    </row>
    <row r="450" spans="1:11" ht="12.75" customHeight="1" x14ac:dyDescent="0.35">
      <c r="A450" s="16" t="s">
        <v>2592</v>
      </c>
      <c r="B450" s="24" t="s">
        <v>10</v>
      </c>
      <c r="C450" s="31" t="str">
        <f t="shared" ref="C450:C453" si="39">CONCATENATE(B450," (",A450,")")</f>
        <v>01 (Sewa Pembiayaan)</v>
      </c>
      <c r="D450" s="3"/>
      <c r="E450" s="16" t="s">
        <v>2593</v>
      </c>
      <c r="F450" s="15">
        <v>6991</v>
      </c>
      <c r="G450" s="16" t="str">
        <f t="shared" si="22"/>
        <v>6991 (Kota Kendari)</v>
      </c>
      <c r="H450" s="3"/>
      <c r="I450" s="16" t="s">
        <v>2594</v>
      </c>
      <c r="J450" s="52">
        <v>600426</v>
      </c>
      <c r="K450" s="16" t="str">
        <f t="shared" si="23"/>
        <v>600426 (PD. BPR Beber)</v>
      </c>
    </row>
    <row r="451" spans="1:11" ht="12.75" customHeight="1" x14ac:dyDescent="0.35">
      <c r="A451" s="16" t="s">
        <v>729</v>
      </c>
      <c r="B451" s="24" t="s">
        <v>27</v>
      </c>
      <c r="C451" s="31" t="str">
        <f t="shared" si="39"/>
        <v>02 (Modal Disetor)</v>
      </c>
      <c r="D451" s="3"/>
      <c r="E451" s="16" t="s">
        <v>381</v>
      </c>
      <c r="F451" s="15">
        <v>6988</v>
      </c>
      <c r="G451" s="16" t="str">
        <f t="shared" si="22"/>
        <v>6988 (Kab./Kota Lainnya)</v>
      </c>
      <c r="H451" s="3"/>
      <c r="I451" s="16" t="s">
        <v>2595</v>
      </c>
      <c r="J451" s="52">
        <v>600427</v>
      </c>
      <c r="K451" s="16" t="str">
        <f t="shared" si="23"/>
        <v>600427 (PD. BPR LPK Bongas)</v>
      </c>
    </row>
    <row r="452" spans="1:11" ht="12.75" customHeight="1" x14ac:dyDescent="0.35">
      <c r="A452" s="16" t="s">
        <v>738</v>
      </c>
      <c r="B452" s="24" t="s">
        <v>41</v>
      </c>
      <c r="C452" s="31" t="str">
        <f t="shared" si="39"/>
        <v>03 (Modal Sumbangan)</v>
      </c>
      <c r="D452" s="3"/>
      <c r="E452" s="14" t="s">
        <v>2596</v>
      </c>
      <c r="F452" s="15"/>
      <c r="G452" s="16" t="str">
        <f t="shared" si="22"/>
        <v>---- (Provinsi Nusa Tenggara Barat)</v>
      </c>
      <c r="H452" s="3"/>
      <c r="I452" s="16" t="s">
        <v>2597</v>
      </c>
      <c r="J452" s="52">
        <v>600429</v>
      </c>
      <c r="K452" s="16" t="str">
        <f t="shared" si="23"/>
        <v>600429 (PD. BPR LPK Balongan)</v>
      </c>
    </row>
    <row r="453" spans="1:11" ht="12.75" customHeight="1" x14ac:dyDescent="0.35">
      <c r="A453" s="16" t="s">
        <v>2598</v>
      </c>
      <c r="B453" s="15">
        <v>99</v>
      </c>
      <c r="C453" s="31" t="str">
        <f t="shared" si="39"/>
        <v>99 (Sumber Perolehan Lainnya)</v>
      </c>
      <c r="D453" s="3"/>
      <c r="E453" s="16" t="s">
        <v>2599</v>
      </c>
      <c r="F453" s="15">
        <v>7101</v>
      </c>
      <c r="G453" s="16" t="str">
        <f t="shared" si="22"/>
        <v>7101 (Kab. Lombok Barat)</v>
      </c>
      <c r="H453" s="3"/>
      <c r="I453" s="16" t="s">
        <v>2600</v>
      </c>
      <c r="J453" s="52">
        <v>600430</v>
      </c>
      <c r="K453" s="16" t="str">
        <f t="shared" si="23"/>
        <v>600430 (PD. BPR BP Kab. Blora)</v>
      </c>
    </row>
    <row r="454" spans="1:11" ht="12.75" customHeight="1" x14ac:dyDescent="0.35">
      <c r="A454" s="3"/>
      <c r="B454" s="3"/>
      <c r="C454" s="3"/>
      <c r="D454" s="3"/>
      <c r="E454" s="16" t="s">
        <v>2601</v>
      </c>
      <c r="F454" s="15">
        <v>7102</v>
      </c>
      <c r="G454" s="16" t="str">
        <f t="shared" si="22"/>
        <v>7102 (Kab. Lombok Tengah)</v>
      </c>
      <c r="H454" s="3"/>
      <c r="I454" s="16" t="s">
        <v>2602</v>
      </c>
      <c r="J454" s="52">
        <v>600432</v>
      </c>
      <c r="K454" s="16" t="str">
        <f t="shared" si="23"/>
        <v>600432 (PT BPR Kredit Mandiri Indonesia )</v>
      </c>
    </row>
    <row r="455" spans="1:11" ht="12.75" customHeight="1" x14ac:dyDescent="0.35">
      <c r="A455" s="3" t="s">
        <v>2552</v>
      </c>
      <c r="B455" s="2"/>
      <c r="C455" s="3"/>
      <c r="D455" s="3"/>
      <c r="E455" s="16" t="s">
        <v>2603</v>
      </c>
      <c r="F455" s="15">
        <v>7103</v>
      </c>
      <c r="G455" s="16" t="str">
        <f t="shared" si="22"/>
        <v>7103 (Kab. Lombok Timur)</v>
      </c>
      <c r="H455" s="3"/>
      <c r="I455" s="16" t="s">
        <v>2604</v>
      </c>
      <c r="J455" s="52">
        <v>600435</v>
      </c>
      <c r="K455" s="16" t="str">
        <f t="shared" si="23"/>
        <v>600435 (PT BPR Hambangun Artha Selaras)</v>
      </c>
    </row>
    <row r="456" spans="1:11" ht="12.75" customHeight="1" x14ac:dyDescent="0.35">
      <c r="A456" s="61" t="s">
        <v>2605</v>
      </c>
      <c r="B456" s="10" t="s">
        <v>2</v>
      </c>
      <c r="C456" s="10" t="s">
        <v>3</v>
      </c>
      <c r="D456" s="3"/>
      <c r="E456" s="16" t="s">
        <v>2606</v>
      </c>
      <c r="F456" s="15">
        <v>7104</v>
      </c>
      <c r="G456" s="16" t="str">
        <f t="shared" si="22"/>
        <v>7104 (Kab. Sumbawa)</v>
      </c>
      <c r="H456" s="3"/>
      <c r="I456" s="16" t="s">
        <v>2607</v>
      </c>
      <c r="J456" s="52">
        <v>600437</v>
      </c>
      <c r="K456" s="16" t="str">
        <f t="shared" si="23"/>
        <v>600437 (PT BPR Intan Jabar)</v>
      </c>
    </row>
    <row r="457" spans="1:11" ht="12.75" customHeight="1" x14ac:dyDescent="0.35">
      <c r="A457" s="16" t="s">
        <v>2608</v>
      </c>
      <c r="B457" s="15">
        <v>1</v>
      </c>
      <c r="C457" s="31" t="str">
        <f t="shared" ref="C457:C458" si="40">CONCATENATE(B457," (",A457,")")</f>
        <v>1 (Dijaminkan)</v>
      </c>
      <c r="D457" s="3"/>
      <c r="E457" s="16" t="s">
        <v>2609</v>
      </c>
      <c r="F457" s="15">
        <v>7105</v>
      </c>
      <c r="G457" s="16" t="str">
        <f t="shared" si="22"/>
        <v>7105 (Kab. Bima)</v>
      </c>
      <c r="H457" s="3"/>
      <c r="I457" s="16" t="s">
        <v>2610</v>
      </c>
      <c r="J457" s="52">
        <v>600438</v>
      </c>
      <c r="K457" s="16" t="str">
        <f t="shared" si="23"/>
        <v>600438 (PD. BPR Cirebon Barat)</v>
      </c>
    </row>
    <row r="458" spans="1:11" ht="12.75" customHeight="1" x14ac:dyDescent="0.35">
      <c r="A458" s="16" t="s">
        <v>2611</v>
      </c>
      <c r="B458" s="15">
        <v>2</v>
      </c>
      <c r="C458" s="31" t="str">
        <f t="shared" si="40"/>
        <v>2 (Tidak Dijaminkan)</v>
      </c>
      <c r="D458" s="3"/>
      <c r="E458" s="16" t="s">
        <v>2612</v>
      </c>
      <c r="F458" s="15">
        <v>7106</v>
      </c>
      <c r="G458" s="16" t="str">
        <f t="shared" si="22"/>
        <v>7106 (Kab. Dompu)</v>
      </c>
      <c r="H458" s="3"/>
      <c r="I458" s="16" t="s">
        <v>2613</v>
      </c>
      <c r="J458" s="52">
        <v>600440</v>
      </c>
      <c r="K458" s="16" t="str">
        <f t="shared" si="23"/>
        <v>600440 (PD. BPR Cirebon Selatan)</v>
      </c>
    </row>
    <row r="459" spans="1:11" ht="12.75" customHeight="1" x14ac:dyDescent="0.35">
      <c r="A459" s="3"/>
      <c r="B459" s="2"/>
      <c r="C459" s="3"/>
      <c r="D459" s="3"/>
      <c r="E459" s="16" t="s">
        <v>2614</v>
      </c>
      <c r="F459" s="15">
        <v>7107</v>
      </c>
      <c r="G459" s="16" t="str">
        <f t="shared" si="22"/>
        <v>7107 (Kab. Sumbawa Barat)</v>
      </c>
      <c r="H459" s="3"/>
      <c r="I459" s="16" t="s">
        <v>2615</v>
      </c>
      <c r="J459" s="52">
        <v>600442</v>
      </c>
      <c r="K459" s="16" t="str">
        <f t="shared" si="23"/>
        <v>600442 (PD. BPR Cirebon Utara)</v>
      </c>
    </row>
    <row r="460" spans="1:11" ht="12.75" customHeight="1" x14ac:dyDescent="0.35">
      <c r="A460" s="3" t="s">
        <v>2616</v>
      </c>
      <c r="B460" s="2"/>
      <c r="C460" s="3"/>
      <c r="D460" s="3"/>
      <c r="E460" s="16" t="s">
        <v>2617</v>
      </c>
      <c r="F460" s="15">
        <v>7108</v>
      </c>
      <c r="G460" s="16" t="str">
        <f t="shared" si="22"/>
        <v>7108 (Kab. Lombok Utara)</v>
      </c>
      <c r="H460" s="3"/>
      <c r="I460" s="16" t="s">
        <v>2618</v>
      </c>
      <c r="J460" s="52">
        <v>600444</v>
      </c>
      <c r="K460" s="16" t="str">
        <f t="shared" si="23"/>
        <v>600444 (PD. BPR Ciwaringin)</v>
      </c>
    </row>
    <row r="461" spans="1:11" ht="12.75" customHeight="1" x14ac:dyDescent="0.35">
      <c r="A461" s="8" t="s">
        <v>2619</v>
      </c>
      <c r="B461" s="9" t="s">
        <v>2</v>
      </c>
      <c r="C461" s="10" t="s">
        <v>3</v>
      </c>
      <c r="D461" s="3"/>
      <c r="E461" s="16" t="s">
        <v>2620</v>
      </c>
      <c r="F461" s="15">
        <v>7191</v>
      </c>
      <c r="G461" s="16" t="str">
        <f t="shared" si="22"/>
        <v>7191 (Kota Mataram)</v>
      </c>
      <c r="H461" s="3"/>
      <c r="I461" s="16" t="s">
        <v>2621</v>
      </c>
      <c r="J461" s="52">
        <v>600452</v>
      </c>
      <c r="K461" s="16" t="str">
        <f t="shared" si="23"/>
        <v>600452 (PD. BPR Gegesik)</v>
      </c>
    </row>
    <row r="462" spans="1:11" ht="12.75" customHeight="1" x14ac:dyDescent="0.35">
      <c r="A462" s="16" t="s">
        <v>2622</v>
      </c>
      <c r="B462" s="15">
        <v>10</v>
      </c>
      <c r="C462" s="31" t="str">
        <f t="shared" ref="C462:C463" si="41">CONCATENATE(B462," (",A462,")")</f>
        <v>10 (Tabungan yang dapat ditarik sewaktu-waktu)</v>
      </c>
      <c r="D462" s="3"/>
      <c r="E462" s="16" t="s">
        <v>2623</v>
      </c>
      <c r="F462" s="15">
        <v>7192</v>
      </c>
      <c r="G462" s="16" t="str">
        <f t="shared" si="22"/>
        <v>7192 (Kota. Bima)</v>
      </c>
      <c r="H462" s="3"/>
      <c r="I462" s="16" t="s">
        <v>2624</v>
      </c>
      <c r="J462" s="52">
        <v>600453</v>
      </c>
      <c r="K462" s="16" t="str">
        <f t="shared" si="23"/>
        <v>600453 (PT BPR Cianjur Jabar)</v>
      </c>
    </row>
    <row r="463" spans="1:11" ht="12.75" customHeight="1" x14ac:dyDescent="0.35">
      <c r="A463" s="16" t="s">
        <v>2625</v>
      </c>
      <c r="B463" s="15">
        <v>20</v>
      </c>
      <c r="C463" s="31" t="str">
        <f t="shared" si="41"/>
        <v>20 (Tabungan berjangka)</v>
      </c>
      <c r="D463" s="3"/>
      <c r="E463" s="16" t="s">
        <v>381</v>
      </c>
      <c r="F463" s="15">
        <v>7188</v>
      </c>
      <c r="G463" s="16" t="str">
        <f t="shared" si="22"/>
        <v>7188 (Kab./Kota Lainnya)</v>
      </c>
      <c r="H463" s="3"/>
      <c r="I463" s="16" t="s">
        <v>2626</v>
      </c>
      <c r="J463" s="52">
        <v>600470</v>
      </c>
      <c r="K463" s="16" t="str">
        <f t="shared" si="23"/>
        <v>600470 (PD. BPR Kapetakan)</v>
      </c>
    </row>
    <row r="464" spans="1:11" ht="12.75" customHeight="1" x14ac:dyDescent="0.35">
      <c r="A464" s="3"/>
      <c r="B464" s="2"/>
      <c r="C464" s="3"/>
      <c r="D464" s="3"/>
      <c r="E464" s="14" t="s">
        <v>2627</v>
      </c>
      <c r="F464" s="15"/>
      <c r="G464" s="16" t="str">
        <f t="shared" si="22"/>
        <v>---- (Provinsi Bali)</v>
      </c>
      <c r="H464" s="3"/>
      <c r="I464" s="16" t="s">
        <v>2628</v>
      </c>
      <c r="J464" s="52">
        <v>600474</v>
      </c>
      <c r="K464" s="16" t="str">
        <f t="shared" si="23"/>
        <v>600474 (PD. BPR Karangsembung)</v>
      </c>
    </row>
    <row r="465" spans="1:11" ht="12.75" customHeight="1" x14ac:dyDescent="0.35">
      <c r="A465" s="3" t="s">
        <v>2629</v>
      </c>
      <c r="B465" s="2"/>
      <c r="C465" s="3"/>
      <c r="D465" s="3"/>
      <c r="E465" s="16" t="s">
        <v>2630</v>
      </c>
      <c r="F465" s="15">
        <v>7201</v>
      </c>
      <c r="G465" s="16" t="str">
        <f t="shared" si="22"/>
        <v>7201 (Kab. Buleleng)</v>
      </c>
      <c r="H465" s="3"/>
      <c r="I465" s="16" t="s">
        <v>2631</v>
      </c>
      <c r="J465" s="52">
        <v>600479</v>
      </c>
      <c r="K465" s="16" t="str">
        <f t="shared" si="23"/>
        <v>600479 (PT. BPR Nusa Intim Sentani)</v>
      </c>
    </row>
    <row r="466" spans="1:11" ht="12.75" customHeight="1" x14ac:dyDescent="0.35">
      <c r="A466" s="8" t="s">
        <v>2632</v>
      </c>
      <c r="B466" s="9" t="s">
        <v>2</v>
      </c>
      <c r="C466" s="10" t="s">
        <v>3</v>
      </c>
      <c r="D466" s="3"/>
      <c r="E466" s="16" t="s">
        <v>2633</v>
      </c>
      <c r="F466" s="15">
        <v>7202</v>
      </c>
      <c r="G466" s="16" t="str">
        <f t="shared" si="22"/>
        <v>7202 (Kab. Jembrana)</v>
      </c>
      <c r="H466" s="3"/>
      <c r="I466" s="16" t="s">
        <v>2634</v>
      </c>
      <c r="J466" s="52">
        <v>600480</v>
      </c>
      <c r="K466" s="16" t="str">
        <f t="shared" si="23"/>
        <v>600480 (PD. BPR Klangenan)</v>
      </c>
    </row>
    <row r="467" spans="1:11" ht="12.75" customHeight="1" x14ac:dyDescent="0.35">
      <c r="A467" s="53" t="s">
        <v>2635</v>
      </c>
      <c r="B467" s="57" t="s">
        <v>10</v>
      </c>
      <c r="C467" s="55" t="str">
        <f t="shared" ref="C467:C468" si="42">CONCATENATE(B467," (",A467,")")</f>
        <v>01 (Tabungan)</v>
      </c>
      <c r="D467" s="3"/>
      <c r="E467" s="16" t="s">
        <v>2636</v>
      </c>
      <c r="F467" s="15">
        <v>7203</v>
      </c>
      <c r="G467" s="16" t="str">
        <f t="shared" si="22"/>
        <v>7203 (Kab. Tabanan)</v>
      </c>
      <c r="H467" s="3"/>
      <c r="I467" s="16" t="s">
        <v>2637</v>
      </c>
      <c r="J467" s="52">
        <v>600483</v>
      </c>
      <c r="K467" s="16" t="str">
        <f t="shared" si="23"/>
        <v>600483 (PD. BPR BKPD Kuningan)</v>
      </c>
    </row>
    <row r="468" spans="1:11" ht="12.75" customHeight="1" x14ac:dyDescent="0.35">
      <c r="A468" s="53" t="s">
        <v>2638</v>
      </c>
      <c r="B468" s="57" t="s">
        <v>27</v>
      </c>
      <c r="C468" s="55" t="str">
        <f t="shared" si="42"/>
        <v>02 (Deposito)</v>
      </c>
      <c r="D468" s="3"/>
      <c r="E468" s="16" t="s">
        <v>2639</v>
      </c>
      <c r="F468" s="15">
        <v>7204</v>
      </c>
      <c r="G468" s="16" t="str">
        <f t="shared" si="22"/>
        <v>7204 (Kab. Badung)</v>
      </c>
      <c r="H468" s="3"/>
      <c r="I468" s="16" t="s">
        <v>2640</v>
      </c>
      <c r="J468" s="52">
        <v>600488</v>
      </c>
      <c r="K468" s="16" t="str">
        <f t="shared" si="23"/>
        <v>600488 (PD. BPR Lemahabang)</v>
      </c>
    </row>
    <row r="469" spans="1:11" ht="12.75" customHeight="1" x14ac:dyDescent="0.35">
      <c r="A469" s="3"/>
      <c r="B469" s="2"/>
      <c r="C469" s="3"/>
      <c r="D469" s="3"/>
      <c r="E469" s="16" t="s">
        <v>2641</v>
      </c>
      <c r="F469" s="15">
        <v>7205</v>
      </c>
      <c r="G469" s="16" t="str">
        <f t="shared" si="22"/>
        <v>7205 (Kab. Gianyar)</v>
      </c>
      <c r="H469" s="3"/>
      <c r="I469" s="16" t="s">
        <v>2642</v>
      </c>
      <c r="J469" s="52">
        <v>600497</v>
      </c>
      <c r="K469" s="16" t="str">
        <f t="shared" si="23"/>
        <v>600497 (PD BPR BKK Purwokerto)</v>
      </c>
    </row>
    <row r="470" spans="1:11" ht="12.75" customHeight="1" x14ac:dyDescent="0.35">
      <c r="A470" s="3" t="s">
        <v>2643</v>
      </c>
      <c r="B470" s="2"/>
      <c r="C470" s="3"/>
      <c r="D470" s="3"/>
      <c r="E470" s="16" t="s">
        <v>2644</v>
      </c>
      <c r="F470" s="15">
        <v>7206</v>
      </c>
      <c r="G470" s="16" t="str">
        <f t="shared" si="22"/>
        <v>7206 (Kab. Klungkung)</v>
      </c>
      <c r="H470" s="3"/>
      <c r="I470" s="16" t="s">
        <v>2645</v>
      </c>
      <c r="J470" s="52">
        <v>600504</v>
      </c>
      <c r="K470" s="16" t="str">
        <f t="shared" si="23"/>
        <v>600504 (PD. BPR Palimanan)</v>
      </c>
    </row>
    <row r="471" spans="1:11" ht="12.75" customHeight="1" x14ac:dyDescent="0.35">
      <c r="A471" s="9" t="s">
        <v>2646</v>
      </c>
      <c r="B471" s="9" t="s">
        <v>2</v>
      </c>
      <c r="C471" s="10" t="s">
        <v>3</v>
      </c>
      <c r="D471" s="3"/>
      <c r="E471" s="16" t="s">
        <v>2647</v>
      </c>
      <c r="F471" s="15">
        <v>7207</v>
      </c>
      <c r="G471" s="16" t="str">
        <f t="shared" si="22"/>
        <v>7207 (Kab. Bangli)</v>
      </c>
      <c r="H471" s="3"/>
      <c r="I471" s="16" t="s">
        <v>2648</v>
      </c>
      <c r="J471" s="52">
        <v>600506</v>
      </c>
      <c r="K471" s="16" t="str">
        <f t="shared" si="23"/>
        <v>600506 (PD. BPR Plumbon)</v>
      </c>
    </row>
    <row r="472" spans="1:11" ht="12.75" customHeight="1" x14ac:dyDescent="0.35">
      <c r="A472" s="16" t="s">
        <v>2649</v>
      </c>
      <c r="B472" s="15">
        <v>10</v>
      </c>
      <c r="C472" s="31" t="str">
        <f t="shared" ref="C472:C473" si="43">CONCATENATE(B472," (",A472,")")</f>
        <v>10 (Kredit yang diberikan)</v>
      </c>
      <c r="D472" s="3"/>
      <c r="E472" s="16" t="s">
        <v>2650</v>
      </c>
      <c r="F472" s="15">
        <v>7208</v>
      </c>
      <c r="G472" s="16" t="str">
        <f t="shared" si="22"/>
        <v>7208 (Kab. Karangasem)</v>
      </c>
      <c r="H472" s="3"/>
      <c r="I472" s="16" t="s">
        <v>2651</v>
      </c>
      <c r="J472" s="52">
        <v>600515</v>
      </c>
      <c r="K472" s="16" t="str">
        <f t="shared" si="23"/>
        <v>600515 (PD BPR Majalengka)</v>
      </c>
    </row>
    <row r="473" spans="1:11" ht="12.75" customHeight="1" x14ac:dyDescent="0.35">
      <c r="A473" s="16" t="s">
        <v>2652</v>
      </c>
      <c r="B473" s="15">
        <v>20</v>
      </c>
      <c r="C473" s="31" t="str">
        <f t="shared" si="43"/>
        <v>20 (Penempatan pada bank lain)</v>
      </c>
      <c r="D473" s="3"/>
      <c r="E473" s="16" t="s">
        <v>2653</v>
      </c>
      <c r="F473" s="15">
        <v>7291</v>
      </c>
      <c r="G473" s="16" t="str">
        <f t="shared" si="22"/>
        <v>7291 (Kota Denpasar)</v>
      </c>
      <c r="H473" s="3"/>
      <c r="I473" s="16" t="s">
        <v>2654</v>
      </c>
      <c r="J473" s="52">
        <v>600517</v>
      </c>
      <c r="K473" s="16" t="str">
        <f t="shared" si="23"/>
        <v>600517 (PD. BPR Sumber)</v>
      </c>
    </row>
    <row r="474" spans="1:11" ht="12.75" customHeight="1" x14ac:dyDescent="0.35">
      <c r="A474" s="3"/>
      <c r="B474" s="2"/>
      <c r="C474" s="3"/>
      <c r="D474" s="3"/>
      <c r="E474" s="16" t="s">
        <v>381</v>
      </c>
      <c r="F474" s="15">
        <v>7288</v>
      </c>
      <c r="G474" s="16" t="str">
        <f t="shared" si="22"/>
        <v>7288 (Kab./Kota Lainnya)</v>
      </c>
      <c r="H474" s="3"/>
      <c r="I474" s="16" t="s">
        <v>2655</v>
      </c>
      <c r="J474" s="52">
        <v>600520</v>
      </c>
      <c r="K474" s="16" t="str">
        <f t="shared" si="23"/>
        <v>600520 (PD. BPR Susukan)</v>
      </c>
    </row>
    <row r="475" spans="1:11" ht="12.75" customHeight="1" x14ac:dyDescent="0.35">
      <c r="A475" s="9" t="s">
        <v>2656</v>
      </c>
      <c r="B475" s="9" t="s">
        <v>2</v>
      </c>
      <c r="C475" s="10" t="s">
        <v>3</v>
      </c>
      <c r="D475" s="3"/>
      <c r="E475" s="14" t="s">
        <v>2657</v>
      </c>
      <c r="F475" s="15"/>
      <c r="G475" s="16" t="str">
        <f t="shared" si="22"/>
        <v>---- (Provinsi Nusa Tenggara Timur)</v>
      </c>
      <c r="H475" s="3"/>
      <c r="I475" s="16" t="s">
        <v>2658</v>
      </c>
      <c r="J475" s="52">
        <v>600523</v>
      </c>
      <c r="K475" s="16" t="str">
        <f t="shared" si="23"/>
        <v>600523 (PD. BPR Waled)</v>
      </c>
    </row>
    <row r="476" spans="1:11" ht="12.75" customHeight="1" x14ac:dyDescent="0.35">
      <c r="A476" s="16" t="s">
        <v>2659</v>
      </c>
      <c r="B476" s="15" t="s">
        <v>10</v>
      </c>
      <c r="C476" s="31" t="str">
        <f t="shared" ref="C476:C481" si="44">CONCATENATE(B476," (",A476,")")</f>
        <v>01 (Emas perhiasan)</v>
      </c>
      <c r="D476" s="3"/>
      <c r="E476" s="16" t="s">
        <v>2660</v>
      </c>
      <c r="F476" s="15">
        <v>7401</v>
      </c>
      <c r="G476" s="16" t="str">
        <f t="shared" si="22"/>
        <v>7401 (Kab. Kupang)</v>
      </c>
      <c r="H476" s="3"/>
      <c r="I476" s="16" t="s">
        <v>2661</v>
      </c>
      <c r="J476" s="52">
        <v>600525</v>
      </c>
      <c r="K476" s="16" t="str">
        <f t="shared" si="23"/>
        <v>600525 (PD. BPR Weru)</v>
      </c>
    </row>
    <row r="477" spans="1:11" ht="12.75" customHeight="1" x14ac:dyDescent="0.35">
      <c r="A477" s="16" t="s">
        <v>2662</v>
      </c>
      <c r="B477" s="15" t="s">
        <v>27</v>
      </c>
      <c r="C477" s="31" t="str">
        <f t="shared" si="44"/>
        <v>02 (Tanah dan/atau Bangunan)</v>
      </c>
      <c r="D477" s="3"/>
      <c r="E477" s="16" t="s">
        <v>2663</v>
      </c>
      <c r="F477" s="15">
        <v>7402</v>
      </c>
      <c r="G477" s="16" t="str">
        <f t="shared" si="22"/>
        <v>7402 (Kab. Timor-Tengah Selatan)</v>
      </c>
      <c r="H477" s="3"/>
      <c r="I477" s="16" t="s">
        <v>2664</v>
      </c>
      <c r="J477" s="52">
        <v>600531</v>
      </c>
      <c r="K477" s="16" t="str">
        <f t="shared" si="23"/>
        <v>600531 (PT. BPR Citra Darian)</v>
      </c>
    </row>
    <row r="478" spans="1:11" ht="12.75" customHeight="1" x14ac:dyDescent="0.35">
      <c r="A478" s="16" t="s">
        <v>2665</v>
      </c>
      <c r="B478" s="15" t="s">
        <v>41</v>
      </c>
      <c r="C478" s="31" t="str">
        <f t="shared" si="44"/>
        <v>03 (Resi gudang)</v>
      </c>
      <c r="D478" s="3"/>
      <c r="E478" s="16" t="s">
        <v>2666</v>
      </c>
      <c r="F478" s="15">
        <v>7403</v>
      </c>
      <c r="G478" s="16" t="str">
        <f t="shared" si="22"/>
        <v>7403 (Kab. Timor-Tengah Utara)</v>
      </c>
      <c r="H478" s="3"/>
      <c r="I478" s="16" t="s">
        <v>2667</v>
      </c>
      <c r="J478" s="52">
        <v>600533</v>
      </c>
      <c r="K478" s="16" t="str">
        <f t="shared" si="23"/>
        <v>600533 (PT. BPR Gunung Kawi)</v>
      </c>
    </row>
    <row r="479" spans="1:11" ht="12.75" customHeight="1" x14ac:dyDescent="0.35">
      <c r="A479" s="16" t="s">
        <v>2668</v>
      </c>
      <c r="B479" s="15" t="s">
        <v>52</v>
      </c>
      <c r="C479" s="31" t="str">
        <f t="shared" si="44"/>
        <v>04 (Tempat usaha/los/kios/lapak/)</v>
      </c>
      <c r="D479" s="3"/>
      <c r="E479" s="16" t="s">
        <v>2669</v>
      </c>
      <c r="F479" s="15">
        <v>7404</v>
      </c>
      <c r="G479" s="16" t="str">
        <f t="shared" si="22"/>
        <v>7404 (Kab. Belu)</v>
      </c>
      <c r="H479" s="3"/>
      <c r="I479" s="16" t="s">
        <v>2670</v>
      </c>
      <c r="J479" s="52">
        <v>600535</v>
      </c>
      <c r="K479" s="16" t="str">
        <f t="shared" si="23"/>
        <v>600535 (PT. BPR Gunung Kinibalu)</v>
      </c>
    </row>
    <row r="480" spans="1:11" ht="12.75" customHeight="1" x14ac:dyDescent="0.35">
      <c r="A480" s="31" t="s">
        <v>2671</v>
      </c>
      <c r="B480" s="15" t="s">
        <v>109</v>
      </c>
      <c r="C480" s="31" t="str">
        <f t="shared" si="44"/>
        <v>05 (Kendaraan bermotor/kapal/perahu bermotor/alat berat/mesin yang menjadi kesatuan dengan tanah)</v>
      </c>
      <c r="D480" s="3"/>
      <c r="E480" s="16" t="s">
        <v>2672</v>
      </c>
      <c r="F480" s="15">
        <v>7405</v>
      </c>
      <c r="G480" s="16" t="str">
        <f t="shared" si="22"/>
        <v>7405 (Kab. Alor)</v>
      </c>
      <c r="H480" s="3"/>
      <c r="I480" s="16" t="s">
        <v>2673</v>
      </c>
      <c r="J480" s="52">
        <v>600537</v>
      </c>
      <c r="K480" s="16" t="str">
        <f t="shared" si="23"/>
        <v>600537 (PT BPR Araya Arta d/h Gunung Merapi Kebumen)</v>
      </c>
    </row>
    <row r="481" spans="1:11" ht="12.75" customHeight="1" x14ac:dyDescent="0.35">
      <c r="A481" s="16" t="s">
        <v>331</v>
      </c>
      <c r="B481" s="15" t="s">
        <v>2674</v>
      </c>
      <c r="C481" s="31" t="str">
        <f t="shared" si="44"/>
        <v>99 (Lainnya)</v>
      </c>
      <c r="D481" s="3"/>
      <c r="E481" s="16" t="s">
        <v>2675</v>
      </c>
      <c r="F481" s="15">
        <v>7406</v>
      </c>
      <c r="G481" s="16" t="str">
        <f t="shared" si="22"/>
        <v>7406 (Kab. Flores Timur)</v>
      </c>
      <c r="H481" s="3"/>
      <c r="I481" s="16" t="s">
        <v>2676</v>
      </c>
      <c r="J481" s="52">
        <v>600539</v>
      </c>
      <c r="K481" s="16" t="str">
        <f t="shared" si="23"/>
        <v>600539 (PT. BP Gunung Merbabu)</v>
      </c>
    </row>
    <row r="482" spans="1:11" ht="12.75" customHeight="1" x14ac:dyDescent="0.35">
      <c r="A482" s="3"/>
      <c r="B482" s="2"/>
      <c r="C482" s="3"/>
      <c r="D482" s="3"/>
      <c r="E482" s="16" t="s">
        <v>2677</v>
      </c>
      <c r="F482" s="15">
        <v>7407</v>
      </c>
      <c r="G482" s="16" t="str">
        <f t="shared" si="22"/>
        <v>7407 (Kab. Sikka)</v>
      </c>
      <c r="H482" s="3"/>
      <c r="I482" s="16" t="s">
        <v>2678</v>
      </c>
      <c r="J482" s="52">
        <v>600540</v>
      </c>
      <c r="K482" s="16" t="str">
        <f t="shared" si="23"/>
        <v>600540 (PD. BPR BKK Banjarharjo)</v>
      </c>
    </row>
    <row r="483" spans="1:11" ht="12.75" customHeight="1" x14ac:dyDescent="0.35">
      <c r="A483" s="3"/>
      <c r="B483" s="2"/>
      <c r="C483" s="3"/>
      <c r="D483" s="3"/>
      <c r="E483" s="16" t="s">
        <v>2679</v>
      </c>
      <c r="F483" s="15">
        <v>7408</v>
      </c>
      <c r="G483" s="16" t="str">
        <f t="shared" si="22"/>
        <v>7408 (Kab. Ende)</v>
      </c>
      <c r="H483" s="3"/>
      <c r="I483" s="16" t="s">
        <v>2680</v>
      </c>
      <c r="J483" s="52">
        <v>600541</v>
      </c>
      <c r="K483" s="16" t="str">
        <f t="shared" si="23"/>
        <v>600541 (PT. BPR Semeru)</v>
      </c>
    </row>
    <row r="484" spans="1:11" ht="12.75" customHeight="1" x14ac:dyDescent="0.35">
      <c r="A484" s="9" t="s">
        <v>2681</v>
      </c>
      <c r="B484" s="9" t="s">
        <v>2</v>
      </c>
      <c r="C484" s="10" t="s">
        <v>3</v>
      </c>
      <c r="D484" s="3"/>
      <c r="E484" s="16" t="s">
        <v>2682</v>
      </c>
      <c r="F484" s="15">
        <v>7409</v>
      </c>
      <c r="G484" s="16" t="str">
        <f t="shared" si="22"/>
        <v>7409 (Kab. Ngada)</v>
      </c>
      <c r="H484" s="3"/>
      <c r="I484" s="16" t="s">
        <v>2683</v>
      </c>
      <c r="J484" s="52">
        <v>600543</v>
      </c>
      <c r="K484" s="16" t="str">
        <f t="shared" si="23"/>
        <v>600543 (PD BPR Bank Kebumen)</v>
      </c>
    </row>
    <row r="485" spans="1:11" ht="12.75" customHeight="1" x14ac:dyDescent="0.35">
      <c r="A485" s="16" t="s">
        <v>2681</v>
      </c>
      <c r="B485" s="15" t="s">
        <v>10</v>
      </c>
      <c r="C485" s="31" t="str">
        <f t="shared" ref="C485:C486" si="45">CONCATENATE(B485," (",A485,")")</f>
        <v>01 (PSP)</v>
      </c>
      <c r="D485" s="3"/>
      <c r="E485" s="16" t="s">
        <v>2684</v>
      </c>
      <c r="F485" s="15">
        <v>7410</v>
      </c>
      <c r="G485" s="16" t="str">
        <f t="shared" si="22"/>
        <v>7410 (Kab. Manggarai)</v>
      </c>
      <c r="H485" s="3"/>
      <c r="I485" s="16" t="s">
        <v>2685</v>
      </c>
      <c r="J485" s="52">
        <v>600545</v>
      </c>
      <c r="K485" s="16" t="str">
        <f t="shared" si="23"/>
        <v>600545 (PD BPR Kendali Artha)</v>
      </c>
    </row>
    <row r="486" spans="1:11" ht="12.75" customHeight="1" x14ac:dyDescent="0.35">
      <c r="A486" s="16" t="s">
        <v>2686</v>
      </c>
      <c r="B486" s="15" t="s">
        <v>27</v>
      </c>
      <c r="C486" s="31" t="str">
        <f t="shared" si="45"/>
        <v>02 (Non PSP)</v>
      </c>
      <c r="D486" s="3"/>
      <c r="E486" s="16" t="s">
        <v>2687</v>
      </c>
      <c r="F486" s="15">
        <v>7411</v>
      </c>
      <c r="G486" s="16" t="str">
        <f t="shared" si="22"/>
        <v>7411 (Kab. Sumba Timur)</v>
      </c>
      <c r="H486" s="3"/>
      <c r="I486" s="16" t="s">
        <v>2688</v>
      </c>
      <c r="J486" s="52">
        <v>600547</v>
      </c>
      <c r="K486" s="16" t="str">
        <f t="shared" si="23"/>
        <v>600547 (PD. BPR BP Kab. Kudus)</v>
      </c>
    </row>
    <row r="487" spans="1:11" ht="12.75" customHeight="1" x14ac:dyDescent="0.35">
      <c r="A487" s="3"/>
      <c r="B487" s="2"/>
      <c r="C487" s="3"/>
      <c r="D487" s="3"/>
      <c r="E487" s="16" t="s">
        <v>2689</v>
      </c>
      <c r="F487" s="15">
        <v>7412</v>
      </c>
      <c r="G487" s="16" t="str">
        <f t="shared" si="22"/>
        <v>7412 (Kab. Sumba Barat)</v>
      </c>
      <c r="H487" s="3"/>
      <c r="I487" s="16" t="s">
        <v>2690</v>
      </c>
      <c r="J487" s="52">
        <v>600549</v>
      </c>
      <c r="K487" s="16" t="str">
        <f t="shared" si="23"/>
        <v>600549 (PD. BPR BAPAS 69)</v>
      </c>
    </row>
    <row r="488" spans="1:11" ht="12.75" customHeight="1" x14ac:dyDescent="0.35">
      <c r="A488" s="3"/>
      <c r="B488" s="2"/>
      <c r="C488" s="3"/>
      <c r="D488" s="3"/>
      <c r="E488" s="16" t="s">
        <v>2691</v>
      </c>
      <c r="F488" s="15">
        <v>7413</v>
      </c>
      <c r="G488" s="16" t="str">
        <f t="shared" si="22"/>
        <v>7413 (Kab. Lembata)</v>
      </c>
      <c r="H488" s="3"/>
      <c r="I488" s="16" t="s">
        <v>2692</v>
      </c>
      <c r="J488" s="52">
        <v>600550</v>
      </c>
      <c r="K488" s="16" t="str">
        <f t="shared" si="23"/>
        <v>600550 (PD. BPR BKK Tulung)</v>
      </c>
    </row>
    <row r="489" spans="1:11" ht="12.75" customHeight="1" x14ac:dyDescent="0.35">
      <c r="A489" s="9" t="s">
        <v>2693</v>
      </c>
      <c r="B489" s="9" t="s">
        <v>2</v>
      </c>
      <c r="C489" s="10" t="s">
        <v>3</v>
      </c>
      <c r="D489" s="3"/>
      <c r="E489" s="16" t="s">
        <v>2694</v>
      </c>
      <c r="F489" s="15">
        <v>7414</v>
      </c>
      <c r="G489" s="16" t="str">
        <f t="shared" si="22"/>
        <v>7414 (Kab. Rote)</v>
      </c>
      <c r="H489" s="3"/>
      <c r="I489" s="16" t="s">
        <v>2695</v>
      </c>
      <c r="J489" s="52">
        <v>600551</v>
      </c>
      <c r="K489" s="16" t="str">
        <f t="shared" si="23"/>
        <v>600551 (PD BPR Bank Purworejo)</v>
      </c>
    </row>
    <row r="490" spans="1:11" ht="12.75" customHeight="1" x14ac:dyDescent="0.35">
      <c r="A490" s="316" t="s">
        <v>6047</v>
      </c>
      <c r="B490" s="317" t="s">
        <v>284</v>
      </c>
      <c r="C490" s="31" t="str">
        <f t="shared" ref="C490:C524" si="46">CONCATENATE(B490," (",A490,")")</f>
        <v>011 (Kantor OJK Jabodetabek dan Provinsi Banten)</v>
      </c>
      <c r="D490" s="3"/>
      <c r="E490" s="16" t="s">
        <v>2696</v>
      </c>
      <c r="F490" s="15">
        <v>7415</v>
      </c>
      <c r="G490" s="16" t="str">
        <f t="shared" si="22"/>
        <v>7415 (Kab. Manggarai Barat)</v>
      </c>
      <c r="H490" s="3"/>
      <c r="I490" s="16" t="s">
        <v>2697</v>
      </c>
      <c r="J490" s="52">
        <v>600553</v>
      </c>
      <c r="K490" s="16" t="str">
        <f t="shared" si="23"/>
        <v>600553 (PD. BPR BP Kab. Rembang)</v>
      </c>
    </row>
    <row r="491" spans="1:11" ht="12.75" customHeight="1" x14ac:dyDescent="0.35">
      <c r="A491" s="316" t="s">
        <v>6041</v>
      </c>
      <c r="B491" s="317" t="s">
        <v>2698</v>
      </c>
      <c r="C491" s="31" t="str">
        <f t="shared" si="46"/>
        <v>021 (Kantor OJK Provinsi Jawa Barat)</v>
      </c>
      <c r="D491" s="3"/>
      <c r="E491" s="16" t="s">
        <v>2699</v>
      </c>
      <c r="F491" s="15">
        <v>7416</v>
      </c>
      <c r="G491" s="16" t="str">
        <f t="shared" si="22"/>
        <v>7416 (Kab. Sumba Tengah)</v>
      </c>
      <c r="H491" s="3"/>
      <c r="I491" s="16" t="s">
        <v>2700</v>
      </c>
      <c r="J491" s="52">
        <v>600555</v>
      </c>
      <c r="K491" s="16" t="str">
        <f t="shared" si="23"/>
        <v>600555 (PD. BPR BP Kab. Temanggung)</v>
      </c>
    </row>
    <row r="492" spans="1:11" ht="12.75" customHeight="1" x14ac:dyDescent="0.35">
      <c r="A492" s="316" t="s">
        <v>2701</v>
      </c>
      <c r="B492" s="317" t="s">
        <v>569</v>
      </c>
      <c r="C492" s="31" t="str">
        <f t="shared" si="46"/>
        <v>022 (Kantor OJK Cirebon)</v>
      </c>
      <c r="D492" s="3"/>
      <c r="E492" s="16" t="s">
        <v>2702</v>
      </c>
      <c r="F492" s="15">
        <v>7417</v>
      </c>
      <c r="G492" s="16" t="str">
        <f t="shared" si="22"/>
        <v>7417 (Kab. Sumba Barat Daya)</v>
      </c>
      <c r="H492" s="3"/>
      <c r="I492" s="16" t="s">
        <v>2703</v>
      </c>
      <c r="J492" s="52">
        <v>600557</v>
      </c>
      <c r="K492" s="16" t="str">
        <f t="shared" si="23"/>
        <v>600557 (PD BPR Bank Wonosobo)</v>
      </c>
    </row>
    <row r="493" spans="1:11" ht="12.75" customHeight="1" x14ac:dyDescent="0.35">
      <c r="A493" s="316" t="s">
        <v>2704</v>
      </c>
      <c r="B493" s="317" t="s">
        <v>310</v>
      </c>
      <c r="C493" s="31" t="str">
        <f t="shared" si="46"/>
        <v>023 (Kantor OJK Tasikmalaya)</v>
      </c>
      <c r="D493" s="3"/>
      <c r="E493" s="16" t="s">
        <v>2705</v>
      </c>
      <c r="F493" s="15">
        <v>7418</v>
      </c>
      <c r="G493" s="16" t="str">
        <f t="shared" si="22"/>
        <v>7418 (Kab. Manggarai Timur)</v>
      </c>
      <c r="H493" s="3"/>
      <c r="I493" s="16" t="s">
        <v>2706</v>
      </c>
      <c r="J493" s="52">
        <v>600559</v>
      </c>
      <c r="K493" s="16" t="str">
        <f t="shared" si="23"/>
        <v>600559 (PD. BPR BANK PASAR KOTA SEMARANG)</v>
      </c>
    </row>
    <row r="494" spans="1:11" ht="12.75" customHeight="1" x14ac:dyDescent="0.35">
      <c r="A494" s="316" t="s">
        <v>6048</v>
      </c>
      <c r="B494" s="317" t="s">
        <v>335</v>
      </c>
      <c r="C494" s="31" t="str">
        <f t="shared" si="46"/>
        <v>031 (Kantor OJK Provinsi Jawa Tengah )</v>
      </c>
      <c r="D494" s="3"/>
      <c r="E494" s="16" t="s">
        <v>2707</v>
      </c>
      <c r="F494" s="15">
        <v>7419</v>
      </c>
      <c r="G494" s="16" t="str">
        <f t="shared" si="22"/>
        <v>7419 (Kab. Nagekeo)</v>
      </c>
      <c r="H494" s="3"/>
      <c r="I494" s="16" t="s">
        <v>2708</v>
      </c>
      <c r="J494" s="52">
        <v>600561</v>
      </c>
      <c r="K494" s="16" t="str">
        <f t="shared" si="23"/>
        <v>600561 (PT. BPR Krida Harta Salatiga)</v>
      </c>
    </row>
    <row r="495" spans="1:11" ht="12.75" customHeight="1" x14ac:dyDescent="0.35">
      <c r="A495" s="316" t="s">
        <v>6049</v>
      </c>
      <c r="B495" s="317" t="s">
        <v>348</v>
      </c>
      <c r="C495" s="31" t="str">
        <f t="shared" si="46"/>
        <v>032 (Kantor OJK Provinsi Daerah Istimewa Yogyakarta)</v>
      </c>
      <c r="D495" s="3"/>
      <c r="E495" s="16" t="s">
        <v>2709</v>
      </c>
      <c r="F495" s="15">
        <v>7491</v>
      </c>
      <c r="G495" s="16" t="str">
        <f t="shared" si="22"/>
        <v>7491 (Kota Kupang)</v>
      </c>
      <c r="H495" s="3"/>
      <c r="I495" s="16" t="s">
        <v>2710</v>
      </c>
      <c r="J495" s="52">
        <v>600563</v>
      </c>
      <c r="K495" s="16" t="str">
        <f t="shared" si="23"/>
        <v>600563 (PT. BPR Mulyo Lumintu)</v>
      </c>
    </row>
    <row r="496" spans="1:11" ht="12.75" customHeight="1" x14ac:dyDescent="0.35">
      <c r="A496" s="316" t="s">
        <v>2711</v>
      </c>
      <c r="B496" s="317" t="s">
        <v>357</v>
      </c>
      <c r="C496" s="31" t="str">
        <f t="shared" si="46"/>
        <v>033 (Kantor OJK Solo)</v>
      </c>
      <c r="D496" s="3"/>
      <c r="E496" s="16" t="s">
        <v>2712</v>
      </c>
      <c r="F496" s="15">
        <v>7420</v>
      </c>
      <c r="G496" s="16" t="str">
        <f t="shared" si="22"/>
        <v>7420 (Kab. Sabu Raijua)</v>
      </c>
      <c r="H496" s="3"/>
      <c r="I496" s="16" t="s">
        <v>2713</v>
      </c>
      <c r="J496" s="52">
        <v>600565</v>
      </c>
      <c r="K496" s="16" t="str">
        <f t="shared" si="23"/>
        <v>600565 (PT. BPR Pasar Boja)</v>
      </c>
    </row>
    <row r="497" spans="1:11" ht="12.75" customHeight="1" x14ac:dyDescent="0.35">
      <c r="A497" s="316" t="s">
        <v>2714</v>
      </c>
      <c r="B497" s="317" t="s">
        <v>2715</v>
      </c>
      <c r="C497" s="31" t="str">
        <f t="shared" si="46"/>
        <v>034 (Kantor OJK Purwokerto)</v>
      </c>
      <c r="D497" s="3"/>
      <c r="E497" s="16" t="s">
        <v>381</v>
      </c>
      <c r="F497" s="15">
        <v>7488</v>
      </c>
      <c r="G497" s="16" t="str">
        <f t="shared" si="22"/>
        <v>7488 (Kab./Kota Lainnya)</v>
      </c>
      <c r="H497" s="3"/>
      <c r="I497" s="16" t="s">
        <v>2716</v>
      </c>
      <c r="J497" s="52">
        <v>600567</v>
      </c>
      <c r="K497" s="16" t="str">
        <f t="shared" si="23"/>
        <v>600567 (PT. BPR Weleri Makmur)</v>
      </c>
    </row>
    <row r="498" spans="1:11" ht="12.75" customHeight="1" x14ac:dyDescent="0.35">
      <c r="A498" s="316" t="s">
        <v>2717</v>
      </c>
      <c r="B498" s="317" t="s">
        <v>2718</v>
      </c>
      <c r="C498" s="31" t="str">
        <f t="shared" si="46"/>
        <v>035 (Kantor OJK Tegal)</v>
      </c>
      <c r="D498" s="3"/>
      <c r="E498" s="14" t="s">
        <v>2719</v>
      </c>
      <c r="F498" s="15"/>
      <c r="G498" s="16" t="str">
        <f t="shared" si="22"/>
        <v>---- (Provinsi Maluku)</v>
      </c>
      <c r="H498" s="3"/>
      <c r="I498" s="16" t="s">
        <v>2720</v>
      </c>
      <c r="J498" s="52">
        <v>600569</v>
      </c>
      <c r="K498" s="16" t="str">
        <f t="shared" si="23"/>
        <v>600569 (PT. BPR Nusamba Cepiring)</v>
      </c>
    </row>
    <row r="499" spans="1:11" ht="12.75" customHeight="1" x14ac:dyDescent="0.35">
      <c r="A499" s="316" t="s">
        <v>6042</v>
      </c>
      <c r="B499" s="317" t="s">
        <v>397</v>
      </c>
      <c r="C499" s="31" t="str">
        <f t="shared" si="46"/>
        <v>041 (Kantor OJK Provinsi Jawa Timur)</v>
      </c>
      <c r="D499" s="3"/>
      <c r="E499" s="16" t="s">
        <v>2721</v>
      </c>
      <c r="F499" s="15">
        <v>8101</v>
      </c>
      <c r="G499" s="16" t="str">
        <f t="shared" si="22"/>
        <v>8101 (Kab. Maluku Tengah)</v>
      </c>
      <c r="H499" s="3"/>
      <c r="I499" s="16" t="s">
        <v>2722</v>
      </c>
      <c r="J499" s="52">
        <v>600571</v>
      </c>
      <c r="K499" s="16" t="str">
        <f t="shared" si="23"/>
        <v>600571 (PT. BPR Nusamba Pecangaan Jepara)</v>
      </c>
    </row>
    <row r="500" spans="1:11" ht="12.75" customHeight="1" x14ac:dyDescent="0.35">
      <c r="A500" s="316" t="s">
        <v>2723</v>
      </c>
      <c r="B500" s="317" t="s">
        <v>411</v>
      </c>
      <c r="C500" s="31" t="str">
        <f t="shared" si="46"/>
        <v>042 (Kantor OJK Malang)</v>
      </c>
      <c r="D500" s="3"/>
      <c r="E500" s="16" t="s">
        <v>2724</v>
      </c>
      <c r="F500" s="15">
        <v>8102</v>
      </c>
      <c r="G500" s="16" t="str">
        <f t="shared" si="22"/>
        <v>8102 (Kab. Maluku Tenggara)</v>
      </c>
      <c r="H500" s="3"/>
      <c r="I500" s="16" t="s">
        <v>2725</v>
      </c>
      <c r="J500" s="52">
        <v>600573</v>
      </c>
      <c r="K500" s="16" t="str">
        <f t="shared" si="23"/>
        <v>600573 (PD BPR Bank Magelang)</v>
      </c>
    </row>
    <row r="501" spans="1:11" ht="12.75" customHeight="1" x14ac:dyDescent="0.35">
      <c r="A501" s="316" t="s">
        <v>2726</v>
      </c>
      <c r="B501" s="317" t="s">
        <v>2727</v>
      </c>
      <c r="C501" s="31" t="str">
        <f t="shared" si="46"/>
        <v>043 (Kantor OJK Jember)</v>
      </c>
      <c r="D501" s="3"/>
      <c r="E501" s="16" t="s">
        <v>2728</v>
      </c>
      <c r="F501" s="15">
        <v>8103</v>
      </c>
      <c r="G501" s="16" t="str">
        <f t="shared" si="22"/>
        <v>8103 (Kab. Maluku Tenggara Barat)</v>
      </c>
      <c r="H501" s="3"/>
      <c r="I501" s="16" t="s">
        <v>2729</v>
      </c>
      <c r="J501" s="52">
        <v>600575</v>
      </c>
      <c r="K501" s="16" t="str">
        <f t="shared" si="23"/>
        <v>600575 (PT. BPR Weleri Jayapersada)</v>
      </c>
    </row>
    <row r="502" spans="1:11" ht="12.75" customHeight="1" x14ac:dyDescent="0.35">
      <c r="A502" s="316" t="s">
        <v>2730</v>
      </c>
      <c r="B502" s="317" t="s">
        <v>2731</v>
      </c>
      <c r="C502" s="31" t="str">
        <f t="shared" si="46"/>
        <v>044 (Kantor OJK Kediri)</v>
      </c>
      <c r="D502" s="3"/>
      <c r="E502" s="16" t="s">
        <v>2732</v>
      </c>
      <c r="F502" s="15">
        <v>8104</v>
      </c>
      <c r="G502" s="16" t="str">
        <f t="shared" si="22"/>
        <v>8104 (Kab Buru)</v>
      </c>
      <c r="H502" s="3"/>
      <c r="I502" s="16" t="s">
        <v>2733</v>
      </c>
      <c r="J502" s="52">
        <v>600577</v>
      </c>
      <c r="K502" s="16" t="str">
        <f t="shared" si="23"/>
        <v>600577 (PT. BPR Inti Ambarawa Sejahtera)</v>
      </c>
    </row>
    <row r="503" spans="1:11" ht="12.75" customHeight="1" x14ac:dyDescent="0.35">
      <c r="A503" s="316" t="s">
        <v>6043</v>
      </c>
      <c r="B503" s="317" t="s">
        <v>2734</v>
      </c>
      <c r="C503" s="31" t="str">
        <f t="shared" si="46"/>
        <v>051 (Kantor OJK Provinsi Sumatera Utara)</v>
      </c>
      <c r="D503" s="3"/>
      <c r="E503" s="16" t="s">
        <v>2735</v>
      </c>
      <c r="F503" s="15">
        <v>8105</v>
      </c>
      <c r="G503" s="16" t="str">
        <f t="shared" si="22"/>
        <v>8105 (Kota Seram Bagian Barat)</v>
      </c>
      <c r="H503" s="3"/>
      <c r="I503" s="16" t="s">
        <v>2736</v>
      </c>
      <c r="J503" s="52">
        <v>600579</v>
      </c>
      <c r="K503" s="16" t="str">
        <f t="shared" si="23"/>
        <v>600579 (PT. BPR Ambarawa Persada)</v>
      </c>
    </row>
    <row r="504" spans="1:11" ht="12.75" customHeight="1" x14ac:dyDescent="0.35">
      <c r="A504" s="316" t="s">
        <v>2737</v>
      </c>
      <c r="B504" s="317" t="s">
        <v>462</v>
      </c>
      <c r="C504" s="31" t="str">
        <f t="shared" si="46"/>
        <v>052 (Kantor OJK Provinsi Aceh)</v>
      </c>
      <c r="D504" s="3"/>
      <c r="E504" s="16" t="s">
        <v>2738</v>
      </c>
      <c r="F504" s="15">
        <v>8106</v>
      </c>
      <c r="G504" s="16" t="str">
        <f t="shared" si="22"/>
        <v>8106 (Kota Seram Bagian Timur)</v>
      </c>
      <c r="H504" s="3"/>
      <c r="I504" s="16" t="s">
        <v>2739</v>
      </c>
      <c r="J504" s="52">
        <v>600581</v>
      </c>
      <c r="K504" s="16" t="str">
        <f t="shared" si="23"/>
        <v>600581 (PT. BPR Restu Mranggen Makmur)</v>
      </c>
    </row>
    <row r="505" spans="1:11" ht="12.75" customHeight="1" x14ac:dyDescent="0.35">
      <c r="A505" s="316" t="s">
        <v>2740</v>
      </c>
      <c r="B505" s="317" t="s">
        <v>2741</v>
      </c>
      <c r="C505" s="31" t="str">
        <f t="shared" si="46"/>
        <v>053 (Kantor OJK Provinsi Sumatera Barat)</v>
      </c>
      <c r="D505" s="3"/>
      <c r="E505" s="16" t="s">
        <v>2742</v>
      </c>
      <c r="F505" s="15">
        <v>8107</v>
      </c>
      <c r="G505" s="16" t="str">
        <f t="shared" si="22"/>
        <v>8107 (Kota Kepulauan Aru)</v>
      </c>
      <c r="H505" s="3"/>
      <c r="I505" s="16" t="s">
        <v>2743</v>
      </c>
      <c r="J505" s="52">
        <v>600583</v>
      </c>
      <c r="K505" s="16" t="str">
        <f t="shared" si="23"/>
        <v>600583 (KOP. BPR Wedariyaksa)</v>
      </c>
    </row>
    <row r="506" spans="1:11" ht="12.75" customHeight="1" x14ac:dyDescent="0.35">
      <c r="A506" s="316" t="s">
        <v>2744</v>
      </c>
      <c r="B506" s="317" t="s">
        <v>594</v>
      </c>
      <c r="C506" s="31" t="str">
        <f t="shared" si="46"/>
        <v>054 (Kantor OJK Provinsi Riau)</v>
      </c>
      <c r="D506" s="3"/>
      <c r="E506" s="16" t="s">
        <v>2745</v>
      </c>
      <c r="F506" s="15">
        <v>8108</v>
      </c>
      <c r="G506" s="16" t="str">
        <f t="shared" si="22"/>
        <v>8108 (Kab. Maluku Barat Daya)</v>
      </c>
      <c r="H506" s="3"/>
      <c r="I506" s="16" t="s">
        <v>2746</v>
      </c>
      <c r="J506" s="52">
        <v>600585</v>
      </c>
      <c r="K506" s="16" t="str">
        <f t="shared" si="23"/>
        <v>600585 (PT. BPR Tayu Dutapersada)</v>
      </c>
    </row>
    <row r="507" spans="1:11" ht="12.75" customHeight="1" x14ac:dyDescent="0.35">
      <c r="A507" s="316" t="s">
        <v>2747</v>
      </c>
      <c r="B507" s="317" t="s">
        <v>2748</v>
      </c>
      <c r="C507" s="31" t="str">
        <f t="shared" si="46"/>
        <v>055 (Kantor OJK Provinsi Kepulauan Riau)</v>
      </c>
      <c r="D507" s="3"/>
      <c r="E507" s="16" t="s">
        <v>2749</v>
      </c>
      <c r="F507" s="15">
        <v>8109</v>
      </c>
      <c r="G507" s="16" t="str">
        <f t="shared" si="22"/>
        <v>8109 (Kab. Buru Selatan)</v>
      </c>
      <c r="H507" s="3"/>
      <c r="I507" s="16" t="s">
        <v>2750</v>
      </c>
      <c r="J507" s="52">
        <v>600586</v>
      </c>
      <c r="K507" s="16" t="str">
        <f t="shared" si="23"/>
        <v>600586 (PD. BPR BKK Grogol)</v>
      </c>
    </row>
    <row r="508" spans="1:11" ht="12.75" customHeight="1" x14ac:dyDescent="0.35">
      <c r="A508" s="316" t="s">
        <v>6044</v>
      </c>
      <c r="B508" s="317" t="s">
        <v>602</v>
      </c>
      <c r="C508" s="31" t="str">
        <f t="shared" si="46"/>
        <v>061 (Kantor OJK Provinsi Sulawesi Selatan dan Sulawesi Barat)</v>
      </c>
      <c r="D508" s="3"/>
      <c r="E508" s="16" t="s">
        <v>2751</v>
      </c>
      <c r="F508" s="15">
        <v>8191</v>
      </c>
      <c r="G508" s="16" t="str">
        <f t="shared" si="22"/>
        <v>8191 (Kota Ambon)</v>
      </c>
      <c r="H508" s="3"/>
      <c r="I508" s="16" t="s">
        <v>2752</v>
      </c>
      <c r="J508" s="52">
        <v>600587</v>
      </c>
      <c r="K508" s="16" t="str">
        <f t="shared" si="23"/>
        <v>600587 (PT. BPR Arthanugraha Makmursejahtera)</v>
      </c>
    </row>
    <row r="509" spans="1:11" ht="12.75" customHeight="1" x14ac:dyDescent="0.35">
      <c r="A509" s="316" t="s">
        <v>6050</v>
      </c>
      <c r="B509" s="317" t="s">
        <v>2753</v>
      </c>
      <c r="C509" s="31" t="str">
        <f t="shared" si="46"/>
        <v>062 (Kantor OJK Provinsi Sulawesi Utara, Gorontalo, dan Maluku Utara)</v>
      </c>
      <c r="D509" s="3"/>
      <c r="E509" s="16" t="s">
        <v>2754</v>
      </c>
      <c r="F509" s="15">
        <v>8192</v>
      </c>
      <c r="G509" s="16" t="str">
        <f t="shared" si="22"/>
        <v>8192 (Kota Tual)</v>
      </c>
      <c r="H509" s="3"/>
      <c r="I509" s="16" t="s">
        <v>2755</v>
      </c>
      <c r="J509" s="52">
        <v>600591</v>
      </c>
      <c r="K509" s="16" t="str">
        <f t="shared" si="23"/>
        <v>600591 (PT. BPR Dutabhakti Insani)</v>
      </c>
    </row>
    <row r="510" spans="1:11" ht="12.75" customHeight="1" x14ac:dyDescent="0.35">
      <c r="A510" s="316" t="s">
        <v>2756</v>
      </c>
      <c r="B510" s="317" t="s">
        <v>2757</v>
      </c>
      <c r="C510" s="31" t="str">
        <f t="shared" si="46"/>
        <v>063 (Kantor OJK Provinsi Sulawesi Tengah)</v>
      </c>
      <c r="D510" s="3"/>
      <c r="E510" s="16" t="s">
        <v>381</v>
      </c>
      <c r="F510" s="15">
        <v>8188</v>
      </c>
      <c r="G510" s="16" t="str">
        <f t="shared" si="22"/>
        <v>8188 (Kab./Kota Lainnya)</v>
      </c>
      <c r="H510" s="3"/>
      <c r="I510" s="16" t="s">
        <v>2758</v>
      </c>
      <c r="J510" s="52">
        <v>600593</v>
      </c>
      <c r="K510" s="16" t="str">
        <f t="shared" si="23"/>
        <v>600593 (PT. BPR Agung Sejahtera)</v>
      </c>
    </row>
    <row r="511" spans="1:11" ht="12.75" customHeight="1" x14ac:dyDescent="0.35">
      <c r="A511" s="316" t="s">
        <v>2759</v>
      </c>
      <c r="B511" s="317" t="s">
        <v>2760</v>
      </c>
      <c r="C511" s="31" t="str">
        <f t="shared" si="46"/>
        <v>064 (Kantor OJK Provinsi Sulawesi Tenggara)</v>
      </c>
      <c r="D511" s="3"/>
      <c r="E511" s="14" t="s">
        <v>2761</v>
      </c>
      <c r="F511" s="15"/>
      <c r="G511" s="16" t="str">
        <f t="shared" si="22"/>
        <v>---- (Provinsi Papua)</v>
      </c>
      <c r="H511" s="3"/>
      <c r="I511" s="16" t="s">
        <v>2762</v>
      </c>
      <c r="J511" s="52">
        <v>600595</v>
      </c>
      <c r="K511" s="16" t="str">
        <f t="shared" si="23"/>
        <v>600595 (PT. BPR Rudo Indobank)</v>
      </c>
    </row>
    <row r="512" spans="1:11" ht="12.75" customHeight="1" x14ac:dyDescent="0.35">
      <c r="A512" s="316" t="s">
        <v>2763</v>
      </c>
      <c r="B512" s="317" t="s">
        <v>1674</v>
      </c>
      <c r="C512" s="31" t="str">
        <f t="shared" si="46"/>
        <v>065 (Kantor OJK Provinsi Maluku)</v>
      </c>
      <c r="D512" s="3"/>
      <c r="E512" s="16" t="s">
        <v>2764</v>
      </c>
      <c r="F512" s="15">
        <v>8201</v>
      </c>
      <c r="G512" s="16" t="str">
        <f t="shared" si="22"/>
        <v>8201 (Kab. Jayapura)</v>
      </c>
      <c r="H512" s="3"/>
      <c r="I512" s="16" t="s">
        <v>2765</v>
      </c>
      <c r="J512" s="52">
        <v>600598</v>
      </c>
      <c r="K512" s="16" t="str">
        <f t="shared" si="23"/>
        <v>600598 (PT. BPR Artha Mertoyudan)</v>
      </c>
    </row>
    <row r="513" spans="1:11" ht="12.75" customHeight="1" x14ac:dyDescent="0.35">
      <c r="A513" s="316" t="s">
        <v>2766</v>
      </c>
      <c r="B513" s="317" t="s">
        <v>1548</v>
      </c>
      <c r="C513" s="31" t="str">
        <f t="shared" si="46"/>
        <v>066 (Kantor OJK Provinsi Papua)</v>
      </c>
      <c r="D513" s="3"/>
      <c r="E513" s="16" t="s">
        <v>2767</v>
      </c>
      <c r="F513" s="15">
        <v>8202</v>
      </c>
      <c r="G513" s="16" t="str">
        <f t="shared" si="22"/>
        <v>8202 (Kab. Biak Numfor)</v>
      </c>
      <c r="H513" s="3"/>
      <c r="I513" s="16" t="s">
        <v>2768</v>
      </c>
      <c r="J513" s="52">
        <v>600599</v>
      </c>
      <c r="K513" s="16" t="str">
        <f t="shared" si="23"/>
        <v>600599 (PD. BPR LPK Sawangan)</v>
      </c>
    </row>
    <row r="514" spans="1:11" ht="12.75" customHeight="1" x14ac:dyDescent="0.35">
      <c r="A514" s="316" t="s">
        <v>6045</v>
      </c>
      <c r="B514" s="317" t="s">
        <v>1319</v>
      </c>
      <c r="C514" s="31" t="str">
        <f t="shared" si="46"/>
        <v>071 (Kantor OJK Provinsi Sumatera Selatan dan Bangka Belitung)</v>
      </c>
      <c r="D514" s="3"/>
      <c r="E514" s="16" t="s">
        <v>2769</v>
      </c>
      <c r="F514" s="15">
        <v>8210</v>
      </c>
      <c r="G514" s="16" t="str">
        <f t="shared" ref="G514:G566" si="47">CONCATENATE(IF(F514="","----",F514)," (",E514,")")</f>
        <v>8210 (Kab. Yapen-Waropen)</v>
      </c>
      <c r="H514" s="3"/>
      <c r="I514" s="16" t="s">
        <v>2770</v>
      </c>
      <c r="J514" s="52">
        <v>600600</v>
      </c>
      <c r="K514" s="16" t="str">
        <f t="shared" ref="K514:K739" si="48">CONCATENATE(J514," (",SUBSTITUTE(I514,"  ",""),")")</f>
        <v>600600 (PT. BPR Artha Mranggenjaya)</v>
      </c>
    </row>
    <row r="515" spans="1:11" ht="12.75" customHeight="1" x14ac:dyDescent="0.35">
      <c r="A515" s="316" t="s">
        <v>2771</v>
      </c>
      <c r="B515" s="317" t="s">
        <v>2772</v>
      </c>
      <c r="C515" s="31" t="str">
        <f t="shared" si="46"/>
        <v>072 (Kantor OJK Provinsi Jambi)</v>
      </c>
      <c r="D515" s="3"/>
      <c r="E515" s="16" t="s">
        <v>2773</v>
      </c>
      <c r="F515" s="15">
        <v>8211</v>
      </c>
      <c r="G515" s="16" t="str">
        <f t="shared" si="47"/>
        <v>8211 (Kab. Merauke)</v>
      </c>
      <c r="H515" s="3"/>
      <c r="I515" s="16" t="s">
        <v>2774</v>
      </c>
      <c r="J515" s="52">
        <v>600601</v>
      </c>
      <c r="K515" s="16" t="str">
        <f t="shared" si="48"/>
        <v>600601 (PD. BPR LPK Parung Panjang)</v>
      </c>
    </row>
    <row r="516" spans="1:11" ht="12.75" customHeight="1" x14ac:dyDescent="0.35">
      <c r="A516" s="316" t="s">
        <v>2775</v>
      </c>
      <c r="B516" s="317" t="s">
        <v>2776</v>
      </c>
      <c r="C516" s="31" t="str">
        <f t="shared" si="46"/>
        <v>073 (Kantor OJK Provinsi Bengkulu)</v>
      </c>
      <c r="D516" s="3"/>
      <c r="E516" s="16" t="s">
        <v>2777</v>
      </c>
      <c r="F516" s="15">
        <v>8212</v>
      </c>
      <c r="G516" s="16" t="str">
        <f t="shared" si="47"/>
        <v>8212 (Kab. Paniai)</v>
      </c>
      <c r="H516" s="3"/>
      <c r="I516" s="16" t="s">
        <v>2778</v>
      </c>
      <c r="J516" s="52">
        <v>600602</v>
      </c>
      <c r="K516" s="16" t="str">
        <f t="shared" si="48"/>
        <v>600602 (PD. BPR LPK Pancoran Mas)</v>
      </c>
    </row>
    <row r="517" spans="1:11" ht="12.75" customHeight="1" x14ac:dyDescent="0.35">
      <c r="A517" s="316" t="s">
        <v>2779</v>
      </c>
      <c r="B517" s="317" t="s">
        <v>1423</v>
      </c>
      <c r="C517" s="31" t="str">
        <f t="shared" si="46"/>
        <v>074 (Kantor OJK Provinsi Lampung)</v>
      </c>
      <c r="D517" s="3"/>
      <c r="E517" s="16" t="s">
        <v>2780</v>
      </c>
      <c r="F517" s="15">
        <v>8213</v>
      </c>
      <c r="G517" s="16" t="str">
        <f t="shared" si="47"/>
        <v>8213 (Kab. Jayawijaya)</v>
      </c>
      <c r="H517" s="3"/>
      <c r="I517" s="16" t="s">
        <v>2781</v>
      </c>
      <c r="J517" s="52">
        <v>600603</v>
      </c>
      <c r="K517" s="16" t="str">
        <f t="shared" si="48"/>
        <v>600603 (PT. BPR Dhanatani Cepiring)</v>
      </c>
    </row>
    <row r="518" spans="1:11" ht="12.75" customHeight="1" x14ac:dyDescent="0.35">
      <c r="A518" s="316" t="s">
        <v>6046</v>
      </c>
      <c r="B518" s="317" t="s">
        <v>1381</v>
      </c>
      <c r="C518" s="31" t="str">
        <f t="shared" si="46"/>
        <v>081 (Kantor OJK Provinsi Bali)</v>
      </c>
      <c r="D518" s="3"/>
      <c r="E518" s="16" t="s">
        <v>2782</v>
      </c>
      <c r="F518" s="15">
        <v>8214</v>
      </c>
      <c r="G518" s="16" t="str">
        <f t="shared" si="47"/>
        <v>8214 (Kab. Nabire)</v>
      </c>
      <c r="H518" s="3"/>
      <c r="I518" s="16" t="s">
        <v>2783</v>
      </c>
      <c r="J518" s="52">
        <v>600604</v>
      </c>
      <c r="K518" s="16" t="str">
        <f t="shared" si="48"/>
        <v>600604 (PD. BPR LPK Leuwiliang)</v>
      </c>
    </row>
    <row r="519" spans="1:11" ht="12.75" customHeight="1" x14ac:dyDescent="0.35">
      <c r="A519" s="316" t="s">
        <v>2784</v>
      </c>
      <c r="B519" s="317" t="s">
        <v>1367</v>
      </c>
      <c r="C519" s="31" t="str">
        <f t="shared" si="46"/>
        <v>082 (Kantor OJK Provinsi Nusa Tenggara Timur)</v>
      </c>
      <c r="D519" s="3"/>
      <c r="E519" s="16" t="s">
        <v>2785</v>
      </c>
      <c r="F519" s="15">
        <v>8215</v>
      </c>
      <c r="G519" s="16" t="str">
        <f t="shared" si="47"/>
        <v>8215 (Kab. Mimika)</v>
      </c>
      <c r="H519" s="3"/>
      <c r="I519" s="16" t="s">
        <v>2786</v>
      </c>
      <c r="J519" s="52">
        <v>600605</v>
      </c>
      <c r="K519" s="16" t="str">
        <f t="shared" si="48"/>
        <v>600605 (PT. BPR Gunung Rizki Pusaka Utama)</v>
      </c>
    </row>
    <row r="520" spans="1:11" ht="12.75" customHeight="1" x14ac:dyDescent="0.35">
      <c r="A520" s="316" t="s">
        <v>2787</v>
      </c>
      <c r="B520" s="317" t="s">
        <v>1576</v>
      </c>
      <c r="C520" s="31" t="str">
        <f t="shared" si="46"/>
        <v>083 (Kantor OJK Provinsi Nusa Tenggara Barat)</v>
      </c>
      <c r="D520" s="3"/>
      <c r="E520" s="16" t="s">
        <v>2788</v>
      </c>
      <c r="F520" s="15">
        <v>8216</v>
      </c>
      <c r="G520" s="16" t="str">
        <f t="shared" si="47"/>
        <v>8216 (Kab. Puncak Jaya)</v>
      </c>
      <c r="H520" s="3"/>
      <c r="I520" s="16" t="s">
        <v>2789</v>
      </c>
      <c r="J520" s="52">
        <v>600606</v>
      </c>
      <c r="K520" s="16" t="str">
        <f t="shared" si="48"/>
        <v>600606 (PD. BPR LPK Citeureup)</v>
      </c>
    </row>
    <row r="521" spans="1:11" ht="12.75" customHeight="1" x14ac:dyDescent="0.35">
      <c r="A521" s="316" t="s">
        <v>6051</v>
      </c>
      <c r="B521" s="317" t="s">
        <v>2790</v>
      </c>
      <c r="C521" s="31" t="str">
        <f t="shared" si="46"/>
        <v>091 (Kantor OJK Provinsi Kalimantan)</v>
      </c>
      <c r="D521" s="3"/>
      <c r="E521" s="16" t="s">
        <v>2791</v>
      </c>
      <c r="F521" s="15">
        <v>8217</v>
      </c>
      <c r="G521" s="16" t="str">
        <f t="shared" si="47"/>
        <v>8217 (Kab. Sarmi)</v>
      </c>
      <c r="H521" s="3"/>
      <c r="I521" s="16" t="s">
        <v>2792</v>
      </c>
      <c r="J521" s="52">
        <v>600607</v>
      </c>
      <c r="K521" s="16" t="str">
        <f t="shared" si="48"/>
        <v>600607 (PD. BPR LPK Malingping)</v>
      </c>
    </row>
    <row r="522" spans="1:11" ht="12.75" customHeight="1" x14ac:dyDescent="0.35">
      <c r="A522" s="316" t="s">
        <v>6052</v>
      </c>
      <c r="B522" s="317" t="s">
        <v>1520</v>
      </c>
      <c r="C522" s="31" t="str">
        <f t="shared" si="46"/>
        <v>092 (Kantor OJK Provinsi Kalimantan Timur dan Kalimantan Utara)</v>
      </c>
      <c r="D522" s="3"/>
      <c r="E522" s="16" t="s">
        <v>2793</v>
      </c>
      <c r="F522" s="15">
        <v>8218</v>
      </c>
      <c r="G522" s="16" t="str">
        <f t="shared" si="47"/>
        <v>8218 (Kab. Keerom)</v>
      </c>
      <c r="H522" s="3"/>
      <c r="I522" s="16" t="s">
        <v>2794</v>
      </c>
      <c r="J522" s="52">
        <v>600608</v>
      </c>
      <c r="K522" s="16" t="str">
        <f t="shared" si="48"/>
        <v>600608 (PT BPR Cepu Nasionalbank)</v>
      </c>
    </row>
    <row r="523" spans="1:11" ht="12.75" customHeight="1" x14ac:dyDescent="0.35">
      <c r="A523" s="316" t="s">
        <v>2795</v>
      </c>
      <c r="B523" s="317" t="s">
        <v>2796</v>
      </c>
      <c r="C523" s="31" t="str">
        <f t="shared" si="46"/>
        <v>093 (Kantor OJK Provinsi Kalimantan Barat)</v>
      </c>
      <c r="D523" s="3"/>
      <c r="E523" s="16" t="s">
        <v>2797</v>
      </c>
      <c r="F523" s="15">
        <v>8221</v>
      </c>
      <c r="G523" s="16" t="str">
        <f t="shared" si="47"/>
        <v>8221 (Kab. Pegunungan Bintang)</v>
      </c>
      <c r="H523" s="3"/>
      <c r="I523" s="16" t="s">
        <v>2798</v>
      </c>
      <c r="J523" s="52">
        <v>600609</v>
      </c>
      <c r="K523" s="16" t="str">
        <f t="shared" si="48"/>
        <v>600609 (PD. BPR LPK Warunggunung)</v>
      </c>
    </row>
    <row r="524" spans="1:11" ht="12.75" customHeight="1" x14ac:dyDescent="0.35">
      <c r="A524" s="316" t="s">
        <v>2799</v>
      </c>
      <c r="B524" s="317" t="s">
        <v>1604</v>
      </c>
      <c r="C524" s="31" t="str">
        <f t="shared" si="46"/>
        <v>094 (Kantor OJK Provinsi Kalimantan Tengah)</v>
      </c>
      <c r="D524" s="3"/>
      <c r="E524" s="16" t="s">
        <v>2800</v>
      </c>
      <c r="F524" s="15">
        <v>8222</v>
      </c>
      <c r="G524" s="16" t="str">
        <f t="shared" si="47"/>
        <v>8222 (Kab. Yahukimo)</v>
      </c>
      <c r="H524" s="3"/>
      <c r="I524" s="16" t="s">
        <v>2801</v>
      </c>
      <c r="J524" s="52">
        <v>600610</v>
      </c>
      <c r="K524" s="16" t="str">
        <f t="shared" si="48"/>
        <v>600610 (PT. BPR Kembang Parama)</v>
      </c>
    </row>
    <row r="525" spans="1:11" ht="12.75" customHeight="1" x14ac:dyDescent="0.35">
      <c r="A525" s="3"/>
      <c r="B525" s="2"/>
      <c r="C525" s="3"/>
      <c r="D525" s="3"/>
      <c r="E525" s="16" t="s">
        <v>2802</v>
      </c>
      <c r="F525" s="15">
        <v>8223</v>
      </c>
      <c r="G525" s="16" t="str">
        <f t="shared" si="47"/>
        <v>8223 (Kab. Tolikara)</v>
      </c>
      <c r="H525" s="3"/>
      <c r="I525" s="16" t="s">
        <v>2803</v>
      </c>
      <c r="J525" s="52">
        <v>600611</v>
      </c>
      <c r="K525" s="16" t="str">
        <f t="shared" si="48"/>
        <v>600611 (PD. BPR LPK Cipanas)</v>
      </c>
    </row>
    <row r="526" spans="1:11" ht="12.75" customHeight="1" x14ac:dyDescent="0.35">
      <c r="A526" s="3"/>
      <c r="B526" s="2"/>
      <c r="C526" s="3"/>
      <c r="D526" s="3"/>
      <c r="E526" s="16" t="s">
        <v>2804</v>
      </c>
      <c r="F526" s="15">
        <v>8224</v>
      </c>
      <c r="G526" s="16" t="str">
        <f t="shared" si="47"/>
        <v>8224 (Kab. Waropen)</v>
      </c>
      <c r="H526" s="3"/>
      <c r="I526" s="16" t="s">
        <v>2805</v>
      </c>
      <c r="J526" s="52">
        <v>600613</v>
      </c>
      <c r="K526" s="16" t="str">
        <f t="shared" si="48"/>
        <v>600613 (PD BPR PK Saketi)</v>
      </c>
    </row>
    <row r="527" spans="1:11" ht="12.75" customHeight="1" x14ac:dyDescent="0.35">
      <c r="A527" s="9" t="s">
        <v>2806</v>
      </c>
      <c r="B527" s="9" t="s">
        <v>2</v>
      </c>
      <c r="C527" s="10" t="s">
        <v>3</v>
      </c>
      <c r="D527" s="3"/>
      <c r="E527" s="16" t="s">
        <v>2807</v>
      </c>
      <c r="F527" s="15">
        <v>8226</v>
      </c>
      <c r="G527" s="16" t="str">
        <f t="shared" si="47"/>
        <v>8226 (Kab. Boven Digoel)</v>
      </c>
      <c r="H527" s="3"/>
      <c r="I527" s="16" t="s">
        <v>2808</v>
      </c>
      <c r="J527" s="52">
        <v>600614</v>
      </c>
      <c r="K527" s="16" t="str">
        <f t="shared" si="48"/>
        <v>600614 (PT. BPR Gunung Slamet)</v>
      </c>
    </row>
    <row r="528" spans="1:11" ht="12.75" customHeight="1" x14ac:dyDescent="0.35">
      <c r="A528" s="16" t="s">
        <v>2809</v>
      </c>
      <c r="B528" s="15">
        <v>1</v>
      </c>
      <c r="C528" s="31" t="str">
        <f t="shared" ref="C528:C531" si="49">CONCATENATE(B528," (",A528,")")</f>
        <v>1 (Pengangkatan baru)</v>
      </c>
      <c r="D528" s="3"/>
      <c r="E528" s="16" t="s">
        <v>2810</v>
      </c>
      <c r="F528" s="15">
        <v>8227</v>
      </c>
      <c r="G528" s="16" t="str">
        <f t="shared" si="47"/>
        <v>8227 (Kab. Mappi)</v>
      </c>
      <c r="H528" s="3"/>
      <c r="I528" s="16" t="s">
        <v>2811</v>
      </c>
      <c r="J528" s="52">
        <v>600615</v>
      </c>
      <c r="K528" s="16" t="str">
        <f t="shared" si="48"/>
        <v>600615 (PD. BPR BKK Wonosobo)</v>
      </c>
    </row>
    <row r="529" spans="1:11" ht="12.75" customHeight="1" x14ac:dyDescent="0.35">
      <c r="A529" s="16" t="s">
        <v>2812</v>
      </c>
      <c r="B529" s="15">
        <v>2</v>
      </c>
      <c r="C529" s="31" t="str">
        <f t="shared" si="49"/>
        <v>2 (Pengangkatan kembali)</v>
      </c>
      <c r="D529" s="3"/>
      <c r="E529" s="16" t="s">
        <v>2813</v>
      </c>
      <c r="F529" s="15">
        <v>8228</v>
      </c>
      <c r="G529" s="16" t="str">
        <f t="shared" si="47"/>
        <v>8228 (Kab. Asmat)</v>
      </c>
      <c r="H529" s="3"/>
      <c r="I529" s="16" t="s">
        <v>2814</v>
      </c>
      <c r="J529" s="52">
        <v>600619</v>
      </c>
      <c r="K529" s="16" t="str">
        <f t="shared" si="48"/>
        <v>600619 (PT. BPR Gunung Simping Artha)</v>
      </c>
    </row>
    <row r="530" spans="1:11" ht="12.75" customHeight="1" x14ac:dyDescent="0.35">
      <c r="A530" s="16" t="s">
        <v>2815</v>
      </c>
      <c r="B530" s="15">
        <v>3</v>
      </c>
      <c r="C530" s="31" t="str">
        <f t="shared" si="49"/>
        <v>3 (Perubahan jabatan)</v>
      </c>
      <c r="D530" s="3"/>
      <c r="E530" s="16" t="s">
        <v>2816</v>
      </c>
      <c r="F530" s="15">
        <v>8231</v>
      </c>
      <c r="G530" s="16" t="str">
        <f t="shared" si="47"/>
        <v>8231 (Kab. Supiori)</v>
      </c>
      <c r="H530" s="3"/>
      <c r="I530" s="16" t="s">
        <v>2817</v>
      </c>
      <c r="J530" s="52">
        <v>600621</v>
      </c>
      <c r="K530" s="16" t="str">
        <f t="shared" si="48"/>
        <v>600621 (PT. BPR Citanduy Artha)</v>
      </c>
    </row>
    <row r="531" spans="1:11" ht="12.75" customHeight="1" x14ac:dyDescent="0.35">
      <c r="A531" s="16" t="s">
        <v>2818</v>
      </c>
      <c r="B531" s="15">
        <v>4</v>
      </c>
      <c r="C531" s="31" t="str">
        <f t="shared" si="49"/>
        <v>4 (Tidak berubah)</v>
      </c>
      <c r="D531" s="3"/>
      <c r="E531" s="16" t="s">
        <v>2819</v>
      </c>
      <c r="F531" s="15">
        <v>8232</v>
      </c>
      <c r="G531" s="16" t="str">
        <f t="shared" si="47"/>
        <v>8232 (Kab. Mamberamo Raya)</v>
      </c>
      <c r="H531" s="3"/>
      <c r="I531" s="16" t="s">
        <v>2820</v>
      </c>
      <c r="J531" s="52">
        <v>600627</v>
      </c>
      <c r="K531" s="16" t="str">
        <f t="shared" si="48"/>
        <v>600627 (PT. BPR Artha Kaliwungu)</v>
      </c>
    </row>
    <row r="532" spans="1:11" ht="12.75" customHeight="1" x14ac:dyDescent="0.35">
      <c r="A532" s="3"/>
      <c r="B532" s="2"/>
      <c r="C532" s="3"/>
      <c r="D532" s="3"/>
      <c r="E532" s="16" t="s">
        <v>2821</v>
      </c>
      <c r="F532" s="15">
        <v>8233</v>
      </c>
      <c r="G532" s="16" t="str">
        <f t="shared" si="47"/>
        <v>8233 (Kab. Dogiyai)</v>
      </c>
      <c r="H532" s="3"/>
      <c r="I532" s="16" t="s">
        <v>2822</v>
      </c>
      <c r="J532" s="52">
        <v>600629</v>
      </c>
      <c r="K532" s="16" t="str">
        <f t="shared" si="48"/>
        <v>600629 (PT. BPR Arthama Cerah Weleri)</v>
      </c>
    </row>
    <row r="533" spans="1:11" ht="12.75" customHeight="1" x14ac:dyDescent="0.35">
      <c r="A533" s="3"/>
      <c r="B533" s="2"/>
      <c r="C533" s="3"/>
      <c r="D533" s="3"/>
      <c r="E533" s="16" t="s">
        <v>2823</v>
      </c>
      <c r="F533" s="15">
        <v>8234</v>
      </c>
      <c r="G533" s="16" t="str">
        <f t="shared" si="47"/>
        <v>8234 (Kab. Lanny Jaya)</v>
      </c>
      <c r="H533" s="3"/>
      <c r="I533" s="16" t="s">
        <v>2824</v>
      </c>
      <c r="J533" s="52">
        <v>600630</v>
      </c>
      <c r="K533" s="16" t="str">
        <f t="shared" si="48"/>
        <v>600630 (PD. BPR BKK Temanggung)</v>
      </c>
    </row>
    <row r="534" spans="1:11" ht="12.75" customHeight="1" x14ac:dyDescent="0.35">
      <c r="A534" s="9" t="s">
        <v>2825</v>
      </c>
      <c r="B534" s="9" t="s">
        <v>2</v>
      </c>
      <c r="C534" s="10" t="s">
        <v>3</v>
      </c>
      <c r="D534" s="3"/>
      <c r="E534" s="16" t="s">
        <v>2826</v>
      </c>
      <c r="F534" s="15">
        <v>8235</v>
      </c>
      <c r="G534" s="16" t="str">
        <f t="shared" si="47"/>
        <v>8235 (Kab. Mamberamo Tengah)</v>
      </c>
      <c r="H534" s="3"/>
      <c r="I534" s="16" t="s">
        <v>2827</v>
      </c>
      <c r="J534" s="52">
        <v>600635</v>
      </c>
      <c r="K534" s="16" t="str">
        <f t="shared" si="48"/>
        <v>600635 (PT. BPR Dana Mitra Sentosa)</v>
      </c>
    </row>
    <row r="535" spans="1:11" ht="12.75" customHeight="1" x14ac:dyDescent="0.35">
      <c r="A535" s="16" t="s">
        <v>2828</v>
      </c>
      <c r="B535" s="15">
        <v>1</v>
      </c>
      <c r="C535" s="31" t="str">
        <f t="shared" ref="C535:C537" si="50">CONCATENATE(B535," (",A535,")")</f>
        <v>1 ( Pengangkatan )</v>
      </c>
      <c r="D535" s="3"/>
      <c r="E535" s="16" t="s">
        <v>2829</v>
      </c>
      <c r="F535" s="15">
        <v>8236</v>
      </c>
      <c r="G535" s="16" t="str">
        <f t="shared" si="47"/>
        <v>8236 (Kab. Nduga Tengah)</v>
      </c>
      <c r="H535" s="3"/>
      <c r="I535" s="16" t="s">
        <v>2830</v>
      </c>
      <c r="J535" s="52">
        <v>600636</v>
      </c>
      <c r="K535" s="16" t="str">
        <f t="shared" si="48"/>
        <v>600636 (PT. BPR Artamas)</v>
      </c>
    </row>
    <row r="536" spans="1:11" ht="12.75" customHeight="1" x14ac:dyDescent="0.35">
      <c r="A536" s="16" t="s">
        <v>2831</v>
      </c>
      <c r="B536" s="15">
        <v>2</v>
      </c>
      <c r="C536" s="31" t="str">
        <f t="shared" si="50"/>
        <v>2 ( Perubahan jabatan)</v>
      </c>
      <c r="D536" s="3"/>
      <c r="E536" s="16" t="s">
        <v>2832</v>
      </c>
      <c r="F536" s="15">
        <v>8237</v>
      </c>
      <c r="G536" s="16" t="str">
        <f t="shared" si="47"/>
        <v>8237 (Kab. Yalimo)</v>
      </c>
      <c r="H536" s="3"/>
      <c r="I536" s="16" t="s">
        <v>2833</v>
      </c>
      <c r="J536" s="52">
        <v>600637</v>
      </c>
      <c r="K536" s="16" t="str">
        <f t="shared" si="48"/>
        <v>600637 (PD. BPR BKK Kota Semarang)</v>
      </c>
    </row>
    <row r="537" spans="1:11" ht="12.75" customHeight="1" x14ac:dyDescent="0.35">
      <c r="A537" s="16" t="s">
        <v>2834</v>
      </c>
      <c r="B537" s="15">
        <v>3</v>
      </c>
      <c r="C537" s="31" t="str">
        <f t="shared" si="50"/>
        <v>3 ( Tidak berubah)</v>
      </c>
      <c r="D537" s="3"/>
      <c r="E537" s="16" t="s">
        <v>2835</v>
      </c>
      <c r="F537" s="15">
        <v>8238</v>
      </c>
      <c r="G537" s="16" t="str">
        <f t="shared" si="47"/>
        <v>8238 (Kab. Puncak)</v>
      </c>
      <c r="H537" s="3"/>
      <c r="I537" s="16" t="s">
        <v>2836</v>
      </c>
      <c r="J537" s="52">
        <v>600638</v>
      </c>
      <c r="K537" s="16" t="str">
        <f t="shared" si="48"/>
        <v>600638 (PT. BPR Bumi Sediaguna)</v>
      </c>
    </row>
    <row r="538" spans="1:11" ht="12.75" customHeight="1" x14ac:dyDescent="0.35">
      <c r="A538" s="3"/>
      <c r="B538" s="2"/>
      <c r="C538" s="3"/>
      <c r="D538" s="3"/>
      <c r="E538" s="16" t="s">
        <v>2837</v>
      </c>
      <c r="F538" s="15">
        <v>8239</v>
      </c>
      <c r="G538" s="16" t="str">
        <f t="shared" si="47"/>
        <v>8239 (Kab. Intan Jaya)</v>
      </c>
      <c r="H538" s="3"/>
      <c r="I538" s="16" t="s">
        <v>2838</v>
      </c>
      <c r="J538" s="52">
        <v>600639</v>
      </c>
      <c r="K538" s="16" t="str">
        <f t="shared" si="48"/>
        <v>600639 (PD. BPR Puspakencana)</v>
      </c>
    </row>
    <row r="539" spans="1:11" ht="12.75" customHeight="1" x14ac:dyDescent="0.35">
      <c r="A539" s="3"/>
      <c r="B539" s="2"/>
      <c r="C539" s="3"/>
      <c r="D539" s="3"/>
      <c r="E539" s="16" t="s">
        <v>2839</v>
      </c>
      <c r="F539" s="15">
        <v>8240</v>
      </c>
      <c r="G539" s="16" t="str">
        <f t="shared" si="47"/>
        <v>8240 (Kab. Deiyai)</v>
      </c>
      <c r="H539" s="3"/>
      <c r="I539" s="16" t="s">
        <v>2840</v>
      </c>
      <c r="J539" s="52">
        <v>600640</v>
      </c>
      <c r="K539" s="16" t="str">
        <f t="shared" si="48"/>
        <v>600640 (PD. BPR Bank Pemalang)</v>
      </c>
    </row>
    <row r="540" spans="1:11" ht="12.75" customHeight="1" x14ac:dyDescent="0.35">
      <c r="A540" s="9" t="s">
        <v>2841</v>
      </c>
      <c r="B540" s="9" t="s">
        <v>2</v>
      </c>
      <c r="C540" s="10" t="s">
        <v>3</v>
      </c>
      <c r="D540" s="3"/>
      <c r="E540" s="16" t="s">
        <v>2842</v>
      </c>
      <c r="F540" s="15">
        <v>8291</v>
      </c>
      <c r="G540" s="16" t="str">
        <f t="shared" si="47"/>
        <v>8291 (Kota Jayapura)</v>
      </c>
      <c r="H540" s="3"/>
      <c r="I540" s="16" t="s">
        <v>2843</v>
      </c>
      <c r="J540" s="52">
        <v>600641</v>
      </c>
      <c r="K540" s="16" t="str">
        <f t="shared" si="48"/>
        <v>600641 (PD BPR Bank Tegal Gotong Royong)</v>
      </c>
    </row>
    <row r="541" spans="1:11" ht="12.75" customHeight="1" x14ac:dyDescent="0.35">
      <c r="A541" s="16" t="s">
        <v>2844</v>
      </c>
      <c r="B541" s="15">
        <v>1</v>
      </c>
      <c r="C541" s="31" t="str">
        <f t="shared" ref="C541:C545" si="51">CONCATENATE(B541," (",A541,")")</f>
        <v>1 (Pembukaan KC)</v>
      </c>
      <c r="D541" s="3"/>
      <c r="E541" s="16" t="s">
        <v>381</v>
      </c>
      <c r="F541" s="15">
        <v>8288</v>
      </c>
      <c r="G541" s="16" t="str">
        <f t="shared" si="47"/>
        <v>8288 (Kab./Kota Lainnya)</v>
      </c>
      <c r="H541" s="3"/>
      <c r="I541" s="16" t="s">
        <v>2845</v>
      </c>
      <c r="J541" s="52">
        <v>600643</v>
      </c>
      <c r="K541" s="16" t="str">
        <f t="shared" si="48"/>
        <v>600643 (PD. BPR BP Kota Tegal)</v>
      </c>
    </row>
    <row r="542" spans="1:11" ht="12.75" customHeight="1" x14ac:dyDescent="0.35">
      <c r="A542" s="31" t="s">
        <v>2846</v>
      </c>
      <c r="B542" s="15">
        <v>2</v>
      </c>
      <c r="C542" s="31" t="str">
        <f t="shared" si="51"/>
        <v>2 (Pembukaan KC yg berasal dari peningkatan status kantor kas)</v>
      </c>
      <c r="D542" s="3"/>
      <c r="E542" s="14" t="s">
        <v>2847</v>
      </c>
      <c r="F542" s="15"/>
      <c r="G542" s="16" t="str">
        <f t="shared" si="47"/>
        <v>---- (Provinsi Maluku Utara)</v>
      </c>
      <c r="H542" s="3"/>
      <c r="I542" s="16" t="s">
        <v>2848</v>
      </c>
      <c r="J542" s="52">
        <v>600645</v>
      </c>
      <c r="K542" s="16" t="str">
        <f t="shared" si="48"/>
        <v>600645 (PT. BPR Nusamba Adiwerna)</v>
      </c>
    </row>
    <row r="543" spans="1:11" ht="12.75" customHeight="1" x14ac:dyDescent="0.35">
      <c r="A543" s="16" t="s">
        <v>2849</v>
      </c>
      <c r="B543" s="15">
        <v>3</v>
      </c>
      <c r="C543" s="31" t="str">
        <f t="shared" si="51"/>
        <v>3 (Pemindahan alamat)</v>
      </c>
      <c r="D543" s="3"/>
      <c r="E543" s="16" t="s">
        <v>2850</v>
      </c>
      <c r="F543" s="15">
        <v>8302</v>
      </c>
      <c r="G543" s="16" t="str">
        <f t="shared" si="47"/>
        <v>8302 (Kab. Halmahera Tengah)</v>
      </c>
      <c r="H543" s="3"/>
      <c r="I543" s="16" t="s">
        <v>2851</v>
      </c>
      <c r="J543" s="52">
        <v>600648</v>
      </c>
      <c r="K543" s="16" t="str">
        <f t="shared" si="48"/>
        <v>600648 (PT. BPR Sahabat Tata)</v>
      </c>
    </row>
    <row r="544" spans="1:11" ht="12.75" customHeight="1" x14ac:dyDescent="0.35">
      <c r="A544" s="16" t="s">
        <v>2818</v>
      </c>
      <c r="B544" s="15">
        <v>4</v>
      </c>
      <c r="C544" s="31" t="str">
        <f t="shared" si="51"/>
        <v>4 (Tidak berubah)</v>
      </c>
      <c r="D544" s="3"/>
      <c r="E544" s="16" t="s">
        <v>2852</v>
      </c>
      <c r="F544" s="15">
        <v>8303</v>
      </c>
      <c r="G544" s="16" t="str">
        <f t="shared" si="47"/>
        <v>8303 (Kab. Halmahera Utara)</v>
      </c>
      <c r="H544" s="3"/>
      <c r="I544" s="16" t="s">
        <v>2853</v>
      </c>
      <c r="J544" s="52">
        <v>600649</v>
      </c>
      <c r="K544" s="16" t="str">
        <f t="shared" si="48"/>
        <v>600649 (PD. BPR BKK Purworejo)</v>
      </c>
    </row>
    <row r="545" spans="1:11" ht="12.75" customHeight="1" x14ac:dyDescent="0.35">
      <c r="A545" s="62" t="s">
        <v>2854</v>
      </c>
      <c r="B545" s="63">
        <v>5</v>
      </c>
      <c r="C545" s="62" t="str">
        <f t="shared" si="51"/>
        <v>5 (Pembukaan KC yg berasal dari peningkatan status sentra keuangan khusus)</v>
      </c>
      <c r="D545" s="3"/>
      <c r="E545" s="16" t="s">
        <v>2855</v>
      </c>
      <c r="F545" s="15">
        <v>8304</v>
      </c>
      <c r="G545" s="16" t="str">
        <f t="shared" si="47"/>
        <v>8304 (Kab. Halmahera Timur)</v>
      </c>
      <c r="H545" s="3"/>
      <c r="I545" s="16" t="s">
        <v>2856</v>
      </c>
      <c r="J545" s="52">
        <v>600650</v>
      </c>
      <c r="K545" s="16" t="str">
        <f t="shared" si="48"/>
        <v>600650 (PT. BPR Nusumma Jateng)</v>
      </c>
    </row>
    <row r="546" spans="1:11" ht="12.75" customHeight="1" x14ac:dyDescent="0.35">
      <c r="A546" s="3"/>
      <c r="B546" s="2"/>
      <c r="C546" s="3"/>
      <c r="D546" s="3"/>
      <c r="E546" s="16" t="s">
        <v>2857</v>
      </c>
      <c r="F546" s="15">
        <v>8305</v>
      </c>
      <c r="G546" s="16" t="str">
        <f t="shared" si="47"/>
        <v>8305 (Kab. Halmahera Barat)</v>
      </c>
      <c r="H546" s="3"/>
      <c r="I546" s="16" t="s">
        <v>2858</v>
      </c>
      <c r="J546" s="52">
        <v>600658</v>
      </c>
      <c r="K546" s="16" t="str">
        <f t="shared" si="48"/>
        <v>600658 (PT. BPR Bina Sejahtera Insani)</v>
      </c>
    </row>
    <row r="547" spans="1:11" ht="12.75" customHeight="1" x14ac:dyDescent="0.35">
      <c r="A547" s="9" t="s">
        <v>2859</v>
      </c>
      <c r="B547" s="9" t="s">
        <v>2</v>
      </c>
      <c r="C547" s="10" t="s">
        <v>3</v>
      </c>
      <c r="D547" s="3"/>
      <c r="E547" s="16" t="s">
        <v>2860</v>
      </c>
      <c r="F547" s="15">
        <v>8306</v>
      </c>
      <c r="G547" s="16" t="str">
        <f t="shared" si="47"/>
        <v>8306 (Kab. Halmahera Selatan)</v>
      </c>
      <c r="H547" s="3"/>
      <c r="I547" s="16" t="s">
        <v>2861</v>
      </c>
      <c r="J547" s="52">
        <v>600660</v>
      </c>
      <c r="K547" s="16" t="str">
        <f t="shared" si="48"/>
        <v>600660 (PT. BPR Bank Desa Guna Daya)</v>
      </c>
    </row>
    <row r="548" spans="1:11" ht="12.75" customHeight="1" x14ac:dyDescent="0.35">
      <c r="A548" s="16" t="s">
        <v>2862</v>
      </c>
      <c r="B548" s="15">
        <v>1</v>
      </c>
      <c r="C548" s="31" t="str">
        <f t="shared" ref="C548:C550" si="52">CONCATENATE(B548," (",A548,")")</f>
        <v>1 (Pengunduran diri)</v>
      </c>
      <c r="D548" s="3"/>
      <c r="E548" s="16" t="s">
        <v>2863</v>
      </c>
      <c r="F548" s="15">
        <v>8307</v>
      </c>
      <c r="G548" s="16" t="str">
        <f t="shared" si="47"/>
        <v>8307 (Kab. Kepulauan Sula)</v>
      </c>
      <c r="H548" s="3"/>
      <c r="I548" s="16" t="s">
        <v>2864</v>
      </c>
      <c r="J548" s="52">
        <v>600664</v>
      </c>
      <c r="K548" s="16" t="str">
        <f t="shared" si="48"/>
        <v>600664 (PT. BP Gunung Lawu)</v>
      </c>
    </row>
    <row r="549" spans="1:11" ht="12.75" customHeight="1" x14ac:dyDescent="0.35">
      <c r="A549" s="16" t="s">
        <v>2865</v>
      </c>
      <c r="B549" s="15">
        <v>2</v>
      </c>
      <c r="C549" s="31" t="str">
        <f t="shared" si="52"/>
        <v>2 (Pemberhentian)</v>
      </c>
      <c r="D549" s="3"/>
      <c r="E549" s="16" t="s">
        <v>2866</v>
      </c>
      <c r="F549" s="15">
        <v>8308</v>
      </c>
      <c r="G549" s="16" t="str">
        <f t="shared" si="47"/>
        <v>8308 (Kab. Pulau Morotai)</v>
      </c>
      <c r="H549" s="3"/>
      <c r="I549" s="16" t="s">
        <v>2867</v>
      </c>
      <c r="J549" s="52">
        <v>600666</v>
      </c>
      <c r="K549" s="16" t="str">
        <f t="shared" si="48"/>
        <v>600666 (PD BPR Bank Boyolali)</v>
      </c>
    </row>
    <row r="550" spans="1:11" ht="12.75" customHeight="1" x14ac:dyDescent="0.35">
      <c r="A550" s="16" t="s">
        <v>2868</v>
      </c>
      <c r="B550" s="15">
        <v>3</v>
      </c>
      <c r="C550" s="31" t="str">
        <f t="shared" si="52"/>
        <v>3 (Meninggal dunia)</v>
      </c>
      <c r="D550" s="3"/>
      <c r="E550" s="16" t="s">
        <v>2869</v>
      </c>
      <c r="F550" s="15">
        <v>8390</v>
      </c>
      <c r="G550" s="16" t="str">
        <f t="shared" si="47"/>
        <v>8390 (Kota Ternate)</v>
      </c>
      <c r="H550" s="3"/>
      <c r="I550" s="16" t="s">
        <v>2870</v>
      </c>
      <c r="J550" s="52">
        <v>600668</v>
      </c>
      <c r="K550" s="16" t="str">
        <f t="shared" si="48"/>
        <v>600668 (PD. BPR Bank Daerah Karanganyar)</v>
      </c>
    </row>
    <row r="551" spans="1:11" ht="12.75" customHeight="1" x14ac:dyDescent="0.35">
      <c r="A551" s="3"/>
      <c r="B551" s="2"/>
      <c r="C551" s="3"/>
      <c r="D551" s="3"/>
      <c r="E551" s="16" t="s">
        <v>2871</v>
      </c>
      <c r="F551" s="15">
        <v>8391</v>
      </c>
      <c r="G551" s="16" t="str">
        <f t="shared" si="47"/>
        <v>8391 (Kota Tidore Kepulauan)</v>
      </c>
      <c r="H551" s="3"/>
      <c r="I551" s="16" t="s">
        <v>2872</v>
      </c>
      <c r="J551" s="52">
        <v>600670</v>
      </c>
      <c r="K551" s="16" t="str">
        <f t="shared" si="48"/>
        <v>600670 (PD BPR Bank Klaten)</v>
      </c>
    </row>
    <row r="552" spans="1:11" ht="12.75" customHeight="1" x14ac:dyDescent="0.35">
      <c r="A552" s="3" t="s">
        <v>2873</v>
      </c>
      <c r="B552" s="2"/>
      <c r="C552" s="3"/>
      <c r="D552" s="3"/>
      <c r="E552" s="16" t="s">
        <v>381</v>
      </c>
      <c r="F552" s="15">
        <v>8388</v>
      </c>
      <c r="G552" s="16" t="str">
        <f t="shared" si="47"/>
        <v>8388 (Kab./Kota Lainnya)</v>
      </c>
      <c r="H552" s="3"/>
      <c r="I552" s="16" t="s">
        <v>2874</v>
      </c>
      <c r="J552" s="52">
        <v>600672</v>
      </c>
      <c r="K552" s="16" t="str">
        <f t="shared" si="48"/>
        <v>600672 (PD. BP Kabupaten Dati II Sukoharjo)</v>
      </c>
    </row>
    <row r="553" spans="1:11" ht="12.75" customHeight="1" x14ac:dyDescent="0.35">
      <c r="A553" s="9" t="s">
        <v>2875</v>
      </c>
      <c r="B553" s="9" t="s">
        <v>2</v>
      </c>
      <c r="C553" s="10" t="s">
        <v>3</v>
      </c>
      <c r="D553" s="3"/>
      <c r="E553" s="14" t="s">
        <v>2876</v>
      </c>
      <c r="F553" s="15"/>
      <c r="G553" s="16" t="str">
        <f t="shared" si="47"/>
        <v>---- (Provinsi Irian Jaya Barat)</v>
      </c>
      <c r="H553" s="3"/>
      <c r="I553" s="16" t="s">
        <v>2877</v>
      </c>
      <c r="J553" s="52">
        <v>600674</v>
      </c>
      <c r="K553" s="16" t="str">
        <f t="shared" si="48"/>
        <v>600674 (PD.BPR Bank Solo)</v>
      </c>
    </row>
    <row r="554" spans="1:11" ht="12.75" customHeight="1" x14ac:dyDescent="0.35">
      <c r="A554" s="16" t="s">
        <v>2878</v>
      </c>
      <c r="B554" s="24" t="s">
        <v>10</v>
      </c>
      <c r="C554" s="31" t="str">
        <f t="shared" ref="C554:C562" si="53">CONCATENATE(B554," (",A554,")")</f>
        <v>01 (Kantor Cabang)</v>
      </c>
      <c r="D554" s="3"/>
      <c r="E554" s="16" t="s">
        <v>2879</v>
      </c>
      <c r="F554" s="15">
        <v>8401</v>
      </c>
      <c r="G554" s="16" t="str">
        <f t="shared" si="47"/>
        <v>8401 (Kab. Sorong)</v>
      </c>
      <c r="H554" s="3"/>
      <c r="I554" s="16" t="s">
        <v>2880</v>
      </c>
      <c r="J554" s="52">
        <v>600677</v>
      </c>
      <c r="K554" s="16" t="str">
        <f t="shared" si="48"/>
        <v>600677 (KOP. BP Patma)</v>
      </c>
    </row>
    <row r="555" spans="1:11" ht="12.75" customHeight="1" x14ac:dyDescent="0.35">
      <c r="A555" s="16" t="s">
        <v>2881</v>
      </c>
      <c r="B555" s="24" t="s">
        <v>27</v>
      </c>
      <c r="C555" s="31" t="str">
        <f t="shared" si="53"/>
        <v>02 (Kantor Kas)</v>
      </c>
      <c r="D555" s="3"/>
      <c r="E555" s="16" t="s">
        <v>2882</v>
      </c>
      <c r="F555" s="15">
        <v>8402</v>
      </c>
      <c r="G555" s="16" t="str">
        <f t="shared" si="47"/>
        <v>8402 (Kab. Fak-Fak)</v>
      </c>
      <c r="H555" s="3"/>
      <c r="I555" s="16" t="s">
        <v>2883</v>
      </c>
      <c r="J555" s="52">
        <v>600679</v>
      </c>
      <c r="K555" s="16" t="str">
        <f t="shared" si="48"/>
        <v>600679 (PT. BPR Rejeki Insani)</v>
      </c>
    </row>
    <row r="556" spans="1:11" ht="12.75" customHeight="1" x14ac:dyDescent="0.35">
      <c r="A556" s="16" t="s">
        <v>2884</v>
      </c>
      <c r="B556" s="24" t="s">
        <v>41</v>
      </c>
      <c r="C556" s="31" t="str">
        <f t="shared" si="53"/>
        <v>03 (Kas Keliling)</v>
      </c>
      <c r="D556" s="3"/>
      <c r="E556" s="16" t="s">
        <v>2885</v>
      </c>
      <c r="F556" s="15">
        <v>8403</v>
      </c>
      <c r="G556" s="16" t="str">
        <f t="shared" si="47"/>
        <v>8403 (Kab. Manokwari)</v>
      </c>
      <c r="H556" s="3"/>
      <c r="I556" s="16" t="s">
        <v>2886</v>
      </c>
      <c r="J556" s="52">
        <v>600681</v>
      </c>
      <c r="K556" s="16" t="str">
        <f t="shared" si="48"/>
        <v>600681 (PT. BPR Solobaru Permai)</v>
      </c>
    </row>
    <row r="557" spans="1:11" ht="12.75" customHeight="1" x14ac:dyDescent="0.35">
      <c r="A557" s="16" t="s">
        <v>2887</v>
      </c>
      <c r="B557" s="24" t="s">
        <v>52</v>
      </c>
      <c r="C557" s="31" t="str">
        <f t="shared" si="53"/>
        <v>04 (Titik Pembayaran)</v>
      </c>
      <c r="D557" s="3"/>
      <c r="E557" s="16" t="s">
        <v>2888</v>
      </c>
      <c r="F557" s="15">
        <v>8404</v>
      </c>
      <c r="G557" s="16" t="str">
        <f t="shared" si="47"/>
        <v>8404 (Kab. Sorong Selatan)</v>
      </c>
      <c r="H557" s="3"/>
      <c r="I557" s="16" t="s">
        <v>2889</v>
      </c>
      <c r="J557" s="52">
        <v>600683</v>
      </c>
      <c r="K557" s="16" t="str">
        <f t="shared" si="48"/>
        <v>600683 (PT. BPR Sukadana)</v>
      </c>
    </row>
    <row r="558" spans="1:11" ht="12.75" customHeight="1" x14ac:dyDescent="0.35">
      <c r="A558" s="16" t="s">
        <v>2890</v>
      </c>
      <c r="B558" s="24" t="s">
        <v>109</v>
      </c>
      <c r="C558" s="31" t="str">
        <f t="shared" si="53"/>
        <v>05 (ATM)</v>
      </c>
      <c r="D558" s="3"/>
      <c r="E558" s="16" t="s">
        <v>2891</v>
      </c>
      <c r="F558" s="15">
        <v>8405</v>
      </c>
      <c r="G558" s="16" t="str">
        <f t="shared" si="47"/>
        <v>8405 (Kab. Raja Ampat)</v>
      </c>
      <c r="H558" s="3"/>
      <c r="I558" s="16" t="s">
        <v>2892</v>
      </c>
      <c r="J558" s="52">
        <v>600685</v>
      </c>
      <c r="K558" s="16" t="str">
        <f t="shared" si="48"/>
        <v>600685 (PT. BPR Nusamba Ampel)</v>
      </c>
    </row>
    <row r="559" spans="1:11" ht="12.75" customHeight="1" x14ac:dyDescent="0.35">
      <c r="A559" s="64" t="s">
        <v>2893</v>
      </c>
      <c r="B559" s="24" t="s">
        <v>123</v>
      </c>
      <c r="C559" s="31" t="str">
        <f t="shared" si="53"/>
        <v>06 (EDC)</v>
      </c>
      <c r="D559" s="3"/>
      <c r="E559" s="16" t="s">
        <v>2894</v>
      </c>
      <c r="F559" s="15">
        <v>8406</v>
      </c>
      <c r="G559" s="16" t="str">
        <f t="shared" si="47"/>
        <v>8406 (Kab. Kaimana)</v>
      </c>
      <c r="H559" s="3"/>
      <c r="I559" s="16" t="s">
        <v>2895</v>
      </c>
      <c r="J559" s="52">
        <v>600686</v>
      </c>
      <c r="K559" s="16" t="str">
        <f t="shared" si="48"/>
        <v>600686 (PD. BPR BKK Kota Magelang)</v>
      </c>
    </row>
    <row r="560" spans="1:11" ht="12.75" customHeight="1" x14ac:dyDescent="0.35">
      <c r="A560" s="41" t="s">
        <v>2896</v>
      </c>
      <c r="B560" s="65" t="s">
        <v>136</v>
      </c>
      <c r="C560" s="40" t="str">
        <f t="shared" si="53"/>
        <v>07 (Kantor Wilayah)</v>
      </c>
      <c r="D560" s="3"/>
      <c r="E560" s="16" t="s">
        <v>2897</v>
      </c>
      <c r="F560" s="15">
        <v>8407</v>
      </c>
      <c r="G560" s="16" t="str">
        <f t="shared" si="47"/>
        <v>8407 (Kab. Teluk Bintuni)</v>
      </c>
      <c r="H560" s="3"/>
      <c r="I560" s="16" t="s">
        <v>2898</v>
      </c>
      <c r="J560" s="52">
        <v>600687</v>
      </c>
      <c r="K560" s="16" t="str">
        <f t="shared" si="48"/>
        <v>600687 (PT. BPR Delanggu Raya)</v>
      </c>
    </row>
    <row r="561" spans="1:11" ht="12.75" customHeight="1" x14ac:dyDescent="0.35">
      <c r="A561" s="41" t="s">
        <v>2899</v>
      </c>
      <c r="B561" s="65" t="s">
        <v>150</v>
      </c>
      <c r="C561" s="40" t="str">
        <f t="shared" si="53"/>
        <v>08 (Sentra Keuangan Khusus)</v>
      </c>
      <c r="D561" s="3"/>
      <c r="E561" s="16" t="s">
        <v>2900</v>
      </c>
      <c r="F561" s="15">
        <v>8408</v>
      </c>
      <c r="G561" s="16" t="str">
        <f t="shared" si="47"/>
        <v>8408 (Kab. Teluk Wondama)</v>
      </c>
      <c r="H561" s="3"/>
      <c r="I561" s="16" t="s">
        <v>2901</v>
      </c>
      <c r="J561" s="52">
        <v>600689</v>
      </c>
      <c r="K561" s="16" t="str">
        <f t="shared" si="48"/>
        <v>600689 (PT BPR Ceper)</v>
      </c>
    </row>
    <row r="562" spans="1:11" ht="12.75" customHeight="1" x14ac:dyDescent="0.35">
      <c r="A562" s="66" t="s">
        <v>331</v>
      </c>
      <c r="B562" s="15">
        <v>99</v>
      </c>
      <c r="C562" s="31" t="str">
        <f t="shared" si="53"/>
        <v>99 (Lainnya)</v>
      </c>
      <c r="D562" s="3"/>
      <c r="E562" s="16" t="s">
        <v>2902</v>
      </c>
      <c r="F562" s="15">
        <v>8409</v>
      </c>
      <c r="G562" s="16" t="str">
        <f t="shared" si="47"/>
        <v>8409 (Kab. Tembrauw)</v>
      </c>
      <c r="H562" s="3"/>
      <c r="I562" s="16" t="s">
        <v>2903</v>
      </c>
      <c r="J562" s="52">
        <v>600691</v>
      </c>
      <c r="K562" s="16" t="str">
        <f t="shared" si="48"/>
        <v>600691 (PT. BPR Cita Dewi)</v>
      </c>
    </row>
    <row r="563" spans="1:11" ht="12.75" customHeight="1" x14ac:dyDescent="0.35">
      <c r="A563" s="3"/>
      <c r="B563" s="2"/>
      <c r="C563" s="1"/>
      <c r="D563" s="3"/>
      <c r="E563" s="16" t="s">
        <v>2904</v>
      </c>
      <c r="F563" s="15">
        <v>8410</v>
      </c>
      <c r="G563" s="16" t="str">
        <f t="shared" si="47"/>
        <v>8410 (Kab. Maybrat)</v>
      </c>
      <c r="H563" s="3"/>
      <c r="I563" s="16" t="s">
        <v>2905</v>
      </c>
      <c r="J563" s="52">
        <v>600693</v>
      </c>
      <c r="K563" s="16" t="str">
        <f t="shared" si="48"/>
        <v>600693 (PT. BPR Restu Artha Abadi)</v>
      </c>
    </row>
    <row r="564" spans="1:11" ht="12.75" customHeight="1" x14ac:dyDescent="0.35">
      <c r="A564" s="3" t="s">
        <v>2906</v>
      </c>
      <c r="B564" s="2"/>
      <c r="C564" s="3"/>
      <c r="D564" s="3"/>
      <c r="E564" s="16" t="s">
        <v>2907</v>
      </c>
      <c r="F564" s="15">
        <v>8491</v>
      </c>
      <c r="G564" s="16" t="str">
        <f t="shared" si="47"/>
        <v>8491 (Kota Sorong)</v>
      </c>
      <c r="H564" s="3"/>
      <c r="I564" s="16" t="s">
        <v>2908</v>
      </c>
      <c r="J564" s="52">
        <v>600695</v>
      </c>
      <c r="K564" s="16" t="str">
        <f t="shared" si="48"/>
        <v>600695 (PT. BPR Dana Mitra Sakti)</v>
      </c>
    </row>
    <row r="565" spans="1:11" ht="12.75" customHeight="1" x14ac:dyDescent="0.35">
      <c r="A565" s="9" t="s">
        <v>2909</v>
      </c>
      <c r="B565" s="9" t="s">
        <v>2</v>
      </c>
      <c r="C565" s="10" t="s">
        <v>3</v>
      </c>
      <c r="D565" s="3"/>
      <c r="E565" s="16" t="s">
        <v>381</v>
      </c>
      <c r="F565" s="15">
        <v>8488</v>
      </c>
      <c r="G565" s="16" t="str">
        <f t="shared" si="47"/>
        <v>8488 (Kab./Kota Lainnya)</v>
      </c>
      <c r="H565" s="3"/>
      <c r="I565" s="16" t="s">
        <v>2910</v>
      </c>
      <c r="J565" s="52">
        <v>600697</v>
      </c>
      <c r="K565" s="16" t="str">
        <f t="shared" si="48"/>
        <v>600697 (PT. BPR Danamas Pratama)</v>
      </c>
    </row>
    <row r="566" spans="1:11" ht="12.75" customHeight="1" x14ac:dyDescent="0.35">
      <c r="A566" s="32" t="s">
        <v>2911</v>
      </c>
      <c r="B566" s="67">
        <v>1</v>
      </c>
      <c r="C566" s="32" t="str">
        <f t="shared" ref="C566:C572" si="54">CONCATENATE(B566," (",A566,")")</f>
        <v>1 (Pembukaan kantor wilayah, kantor kas atau sentra keuangan khusus, pelaksanaan kas keliling, pelaksanaan titik pembayaran, dan/atau penggunaan/penambahan TPE yang dikelola sendiri. )</v>
      </c>
      <c r="D566" s="3"/>
      <c r="E566" s="16" t="s">
        <v>2912</v>
      </c>
      <c r="F566" s="15">
        <v>9999</v>
      </c>
      <c r="G566" s="16" t="str">
        <f t="shared" si="47"/>
        <v>9999 (DI LUAR INDONESIA)</v>
      </c>
      <c r="H566" s="3"/>
      <c r="I566" s="16" t="s">
        <v>2913</v>
      </c>
      <c r="J566" s="52">
        <v>600699</v>
      </c>
      <c r="K566" s="16" t="str">
        <f t="shared" si="48"/>
        <v>600699 (PT BPR Arta Utama)</v>
      </c>
    </row>
    <row r="567" spans="1:11" ht="12.75" customHeight="1" x14ac:dyDescent="0.35">
      <c r="A567" s="32" t="s">
        <v>2914</v>
      </c>
      <c r="B567" s="67">
        <v>2</v>
      </c>
      <c r="C567" s="32" t="str">
        <f t="shared" si="54"/>
        <v>2 (Pembukaan kantor kas yang berasal dari penurunan status kantor cabang. )</v>
      </c>
      <c r="D567" s="3"/>
      <c r="E567" s="3"/>
      <c r="F567" s="3"/>
      <c r="G567" s="3"/>
      <c r="H567" s="3"/>
      <c r="I567" s="16" t="s">
        <v>2915</v>
      </c>
      <c r="J567" s="52">
        <v>600701</v>
      </c>
      <c r="K567" s="16" t="str">
        <f t="shared" si="48"/>
        <v>600701 (PT. BPR Kusuma Sumbing)</v>
      </c>
    </row>
    <row r="568" spans="1:11" ht="12.75" customHeight="1" x14ac:dyDescent="0.35">
      <c r="A568" s="32" t="s">
        <v>2916</v>
      </c>
      <c r="B568" s="67">
        <v>3</v>
      </c>
      <c r="C568" s="32" t="str">
        <f t="shared" si="54"/>
        <v>3 (Pemindahan alamat kantor wilayah, kantor kas atau sentra keuangan khusus, titik pembayaran, dan/atau lokasi TPE. )</v>
      </c>
      <c r="D568" s="3"/>
      <c r="E568" s="68" t="s">
        <v>2367</v>
      </c>
      <c r="F568" s="3"/>
      <c r="G568" s="3"/>
      <c r="H568" s="3"/>
      <c r="I568" s="16" t="s">
        <v>2917</v>
      </c>
      <c r="J568" s="52">
        <v>600703</v>
      </c>
      <c r="K568" s="16" t="str">
        <f t="shared" si="48"/>
        <v>600703 (PT. BPR Mertoyudan Makmur)</v>
      </c>
    </row>
    <row r="569" spans="1:11" ht="12.75" customHeight="1" x14ac:dyDescent="0.35">
      <c r="A569" s="7" t="s">
        <v>2818</v>
      </c>
      <c r="B569" s="67">
        <v>4</v>
      </c>
      <c r="C569" s="32" t="str">
        <f t="shared" si="54"/>
        <v>4 (Tidak berubah)</v>
      </c>
      <c r="D569" s="3"/>
      <c r="E569" s="69" t="s">
        <v>2918</v>
      </c>
      <c r="F569" s="9" t="s">
        <v>2</v>
      </c>
      <c r="G569" s="10" t="s">
        <v>3</v>
      </c>
      <c r="H569" s="3"/>
      <c r="I569" s="16" t="s">
        <v>2919</v>
      </c>
      <c r="J569" s="52">
        <v>600705</v>
      </c>
      <c r="K569" s="16" t="str">
        <f t="shared" si="48"/>
        <v>600705 (PT. BPR Ulima Djumpa Marom)</v>
      </c>
    </row>
    <row r="570" spans="1:11" ht="12.75" customHeight="1" x14ac:dyDescent="0.35">
      <c r="A570" s="33" t="s">
        <v>2920</v>
      </c>
      <c r="B570" s="70">
        <v>5</v>
      </c>
      <c r="C570" s="33" t="str">
        <f t="shared" si="54"/>
        <v>5 (Pembukaan kantor kas yang berasal dari penurunan status sentra keuangan khusus. )</v>
      </c>
      <c r="D570" s="3"/>
      <c r="E570" s="31" t="s">
        <v>2921</v>
      </c>
      <c r="F570" s="15" t="s">
        <v>2922</v>
      </c>
      <c r="G570" s="31" t="str">
        <f t="shared" ref="G570:G739" si="55">CONCATENATE(F570," (",E570,")")</f>
        <v>011110 (Pertanian Padi)</v>
      </c>
      <c r="H570" s="3"/>
      <c r="I570" s="16" t="s">
        <v>2923</v>
      </c>
      <c r="J570" s="52">
        <v>600706</v>
      </c>
      <c r="K570" s="16" t="str">
        <f t="shared" si="48"/>
        <v>600706 (PD. BPR BKK Kebumen)</v>
      </c>
    </row>
    <row r="571" spans="1:11" ht="12.75" customHeight="1" x14ac:dyDescent="0.35">
      <c r="A571" s="33" t="s">
        <v>2924</v>
      </c>
      <c r="B571" s="70">
        <v>6</v>
      </c>
      <c r="C571" s="33" t="str">
        <f t="shared" si="54"/>
        <v>6 (Pembukaan sentra keuangan khusus yang berasal dari peningkatan kantor kas)</v>
      </c>
      <c r="D571" s="3"/>
      <c r="E571" s="31" t="s">
        <v>2925</v>
      </c>
      <c r="F571" s="15" t="s">
        <v>2926</v>
      </c>
      <c r="G571" s="31" t="str">
        <f t="shared" si="55"/>
        <v>011121 (Pertanian Palawija Jagung)</v>
      </c>
      <c r="H571" s="3"/>
      <c r="I571" s="16" t="s">
        <v>2927</v>
      </c>
      <c r="J571" s="52">
        <v>600707</v>
      </c>
      <c r="K571" s="16" t="str">
        <f t="shared" si="48"/>
        <v>600707 (PT. BPR Lugano)</v>
      </c>
    </row>
    <row r="572" spans="1:11" ht="12.75" customHeight="1" x14ac:dyDescent="0.35">
      <c r="A572" s="33" t="s">
        <v>2928</v>
      </c>
      <c r="B572" s="70">
        <v>7</v>
      </c>
      <c r="C572" s="33" t="str">
        <f t="shared" si="54"/>
        <v>7 (Pembukaan sentra keuangan khusus yang berasal dari penurunan kantor cabang)</v>
      </c>
      <c r="D572" s="3"/>
      <c r="E572" s="31" t="s">
        <v>2929</v>
      </c>
      <c r="F572" s="15" t="s">
        <v>2930</v>
      </c>
      <c r="G572" s="31" t="str">
        <f t="shared" si="55"/>
        <v>011122 (Pertanian Palawija Ketela pohon)</v>
      </c>
      <c r="H572" s="3"/>
      <c r="I572" s="16" t="s">
        <v>2931</v>
      </c>
      <c r="J572" s="52">
        <v>600709</v>
      </c>
      <c r="K572" s="16" t="str">
        <f t="shared" si="48"/>
        <v>600709 (PT. BPR Sumber Ekonomi)</v>
      </c>
    </row>
    <row r="573" spans="1:11" ht="12.75" customHeight="1" x14ac:dyDescent="0.35">
      <c r="A573" s="3"/>
      <c r="B573" s="2"/>
      <c r="C573" s="3"/>
      <c r="D573" s="3"/>
      <c r="E573" s="31" t="s">
        <v>2932</v>
      </c>
      <c r="F573" s="15" t="s">
        <v>2933</v>
      </c>
      <c r="G573" s="31" t="str">
        <f t="shared" si="55"/>
        <v>011123 (Pertanian Palawija Ubi  jalar)</v>
      </c>
      <c r="H573" s="3"/>
      <c r="I573" s="16" t="s">
        <v>2934</v>
      </c>
      <c r="J573" s="52">
        <v>600712</v>
      </c>
      <c r="K573" s="16" t="str">
        <f t="shared" si="48"/>
        <v>600712 (PT. BPR Kedung Arto)</v>
      </c>
    </row>
    <row r="574" spans="1:11" ht="12.75" customHeight="1" x14ac:dyDescent="0.35">
      <c r="A574" s="43" t="s">
        <v>2935</v>
      </c>
      <c r="B574" s="2"/>
      <c r="C574" s="3"/>
      <c r="D574" s="3"/>
      <c r="E574" s="31" t="s">
        <v>2936</v>
      </c>
      <c r="F574" s="15" t="s">
        <v>2937</v>
      </c>
      <c r="G574" s="31" t="str">
        <f t="shared" si="55"/>
        <v>011124 (Pertanian Palawija Umbi-umbian lainnya)</v>
      </c>
      <c r="H574" s="3"/>
      <c r="I574" s="16" t="s">
        <v>2938</v>
      </c>
      <c r="J574" s="52">
        <v>600715</v>
      </c>
      <c r="K574" s="16" t="str">
        <f t="shared" si="48"/>
        <v>600715 (PT. BPR Bhakti Daya Ekonomi)</v>
      </c>
    </row>
    <row r="575" spans="1:11" ht="12.75" customHeight="1" x14ac:dyDescent="0.35">
      <c r="A575" s="3" t="s">
        <v>2281</v>
      </c>
      <c r="B575" s="2"/>
      <c r="C575" s="3"/>
      <c r="D575" s="3"/>
      <c r="E575" s="31" t="s">
        <v>2939</v>
      </c>
      <c r="F575" s="15" t="s">
        <v>2940</v>
      </c>
      <c r="G575" s="31" t="str">
        <f t="shared" si="55"/>
        <v>011125 (Pertanian Palawija Kacang tanah)</v>
      </c>
      <c r="H575" s="3"/>
      <c r="I575" s="16" t="s">
        <v>2941</v>
      </c>
      <c r="J575" s="52">
        <v>600717</v>
      </c>
      <c r="K575" s="16" t="str">
        <f t="shared" si="48"/>
        <v>600717 (PT BPR Madani Sejahtera Abadi)</v>
      </c>
    </row>
    <row r="576" spans="1:11" ht="12.75" customHeight="1" x14ac:dyDescent="0.35">
      <c r="A576" s="8" t="s">
        <v>2284</v>
      </c>
      <c r="B576" s="9" t="s">
        <v>2</v>
      </c>
      <c r="C576" s="10" t="s">
        <v>3</v>
      </c>
      <c r="D576" s="3"/>
      <c r="E576" s="31" t="s">
        <v>2942</v>
      </c>
      <c r="F576" s="15" t="s">
        <v>2943</v>
      </c>
      <c r="G576" s="31" t="str">
        <f t="shared" si="55"/>
        <v>011126 (Pertanian Palawija Kedele)</v>
      </c>
      <c r="H576" s="3"/>
      <c r="I576" s="16" t="s">
        <v>2944</v>
      </c>
      <c r="J576" s="52">
        <v>600719</v>
      </c>
      <c r="K576" s="16" t="str">
        <f t="shared" si="48"/>
        <v>600719 (PD. BPR Bank Bantul)</v>
      </c>
    </row>
    <row r="577" spans="1:11" ht="12.75" customHeight="1" x14ac:dyDescent="0.35">
      <c r="A577" s="16" t="s">
        <v>2287</v>
      </c>
      <c r="B577" s="15">
        <v>10</v>
      </c>
      <c r="C577" s="31" t="str">
        <f t="shared" ref="C577:C585" si="56">CONCATENATE(B577," (",A577,")")</f>
        <v>10 (Giro)</v>
      </c>
      <c r="D577" s="3"/>
      <c r="E577" s="31" t="s">
        <v>2945</v>
      </c>
      <c r="F577" s="15" t="s">
        <v>2946</v>
      </c>
      <c r="G577" s="31" t="str">
        <f t="shared" si="55"/>
        <v>011129 (Pertanian Palawija Kacang-kacangan lainnya)</v>
      </c>
      <c r="H577" s="3"/>
      <c r="I577" s="16" t="s">
        <v>2947</v>
      </c>
      <c r="J577" s="52">
        <v>600721</v>
      </c>
      <c r="K577" s="16" t="str">
        <f t="shared" si="48"/>
        <v>600721 (PD BPR Bank Daerah Gunungkidul)</v>
      </c>
    </row>
    <row r="578" spans="1:11" ht="12.75" customHeight="1" x14ac:dyDescent="0.35">
      <c r="A578" s="16" t="s">
        <v>2290</v>
      </c>
      <c r="B578" s="15">
        <v>20</v>
      </c>
      <c r="C578" s="31" t="str">
        <f t="shared" si="56"/>
        <v>20 (Tabungan Umum)</v>
      </c>
      <c r="D578" s="3"/>
      <c r="E578" s="31" t="s">
        <v>2948</v>
      </c>
      <c r="F578" s="15" t="s">
        <v>2949</v>
      </c>
      <c r="G578" s="31" t="str">
        <f t="shared" si="55"/>
        <v>011130 (Perkebunan Tebu dan Tanaman Pemanis Lainnya)</v>
      </c>
      <c r="H578" s="3"/>
      <c r="I578" s="16" t="s">
        <v>2950</v>
      </c>
      <c r="J578" s="52">
        <v>600723</v>
      </c>
      <c r="K578" s="16" t="str">
        <f t="shared" si="48"/>
        <v>600723 (PD. BPR BP Kulon Progo)</v>
      </c>
    </row>
    <row r="579" spans="1:11" ht="12.75" customHeight="1" x14ac:dyDescent="0.35">
      <c r="A579" s="16" t="s">
        <v>2951</v>
      </c>
      <c r="B579" s="15">
        <v>25</v>
      </c>
      <c r="C579" s="31" t="str">
        <f t="shared" si="56"/>
        <v>25 (Tabungan Khusus pada Lembaga Pengayom)</v>
      </c>
      <c r="D579" s="3"/>
      <c r="E579" s="31" t="s">
        <v>2952</v>
      </c>
      <c r="F579" s="15" t="s">
        <v>2953</v>
      </c>
      <c r="G579" s="31" t="str">
        <f t="shared" si="55"/>
        <v>011140 (Perkebunan Tembakau)</v>
      </c>
      <c r="H579" s="3"/>
      <c r="I579" s="16" t="s">
        <v>2954</v>
      </c>
      <c r="J579" s="52">
        <v>600725</v>
      </c>
      <c r="K579" s="16" t="str">
        <f t="shared" si="48"/>
        <v>600725 (PD. BPR Bank Sleman)</v>
      </c>
    </row>
    <row r="580" spans="1:11" ht="12.75" customHeight="1" x14ac:dyDescent="0.35">
      <c r="A580" s="16" t="s">
        <v>2955</v>
      </c>
      <c r="B580" s="15">
        <v>26</v>
      </c>
      <c r="C580" s="31" t="str">
        <f t="shared" si="56"/>
        <v>26 (Tabungan Khusus pada BPR dan/atau BPRS Lain Untuk Penanggulangan Permasalahan Likuiditas)</v>
      </c>
      <c r="D580" s="3"/>
      <c r="E580" s="31" t="s">
        <v>2956</v>
      </c>
      <c r="F580" s="15" t="s">
        <v>2957</v>
      </c>
      <c r="G580" s="31" t="str">
        <f t="shared" si="55"/>
        <v>011150 (Perkebunan Karet dan Penghasil Getah Lainnya)</v>
      </c>
      <c r="H580" s="3"/>
      <c r="I580" s="16" t="s">
        <v>2958</v>
      </c>
      <c r="J580" s="52">
        <v>600727</v>
      </c>
      <c r="K580" s="16" t="str">
        <f t="shared" si="48"/>
        <v>600727 (PD. BPR Bank Jogja Kota Yogyakarta)</v>
      </c>
    </row>
    <row r="581" spans="1:11" ht="12.75" customHeight="1" x14ac:dyDescent="0.35">
      <c r="A581" s="16" t="s">
        <v>2296</v>
      </c>
      <c r="B581" s="15">
        <v>30</v>
      </c>
      <c r="C581" s="31" t="str">
        <f t="shared" si="56"/>
        <v>30 (Deposito Umum)</v>
      </c>
      <c r="D581" s="3"/>
      <c r="E581" s="31" t="s">
        <v>2959</v>
      </c>
      <c r="F581" s="15" t="s">
        <v>2960</v>
      </c>
      <c r="G581" s="31" t="str">
        <f t="shared" si="55"/>
        <v>011160 (Perkebunan Tanaman Bahan Baku Tekstil dan Sejenisnya)</v>
      </c>
      <c r="H581" s="3"/>
      <c r="I581" s="16" t="s">
        <v>2961</v>
      </c>
      <c r="J581" s="52">
        <v>600729</v>
      </c>
      <c r="K581" s="16" t="str">
        <f t="shared" si="48"/>
        <v>600729 (PT BPR Lestari Darmo Mulyo)</v>
      </c>
    </row>
    <row r="582" spans="1:11" ht="12.75" customHeight="1" x14ac:dyDescent="0.35">
      <c r="A582" s="16" t="s">
        <v>2962</v>
      </c>
      <c r="B582" s="15">
        <v>35</v>
      </c>
      <c r="C582" s="31" t="str">
        <f t="shared" si="56"/>
        <v>35 (Deposito Khusus pada Lembaga Pengayom)</v>
      </c>
      <c r="D582" s="3"/>
      <c r="E582" s="31" t="s">
        <v>2963</v>
      </c>
      <c r="F582" s="15" t="s">
        <v>2964</v>
      </c>
      <c r="G582" s="31" t="str">
        <f t="shared" si="55"/>
        <v>011170 (Perkebunan Tanaman Obat/Bahan Farmasi)</v>
      </c>
      <c r="H582" s="3"/>
      <c r="I582" s="16" t="s">
        <v>2965</v>
      </c>
      <c r="J582" s="52">
        <v>600731</v>
      </c>
      <c r="K582" s="16" t="str">
        <f t="shared" si="48"/>
        <v>600731 (PT. BPR Shinta Daya)</v>
      </c>
    </row>
    <row r="583" spans="1:11" ht="12.75" customHeight="1" x14ac:dyDescent="0.35">
      <c r="A583" s="16" t="s">
        <v>2966</v>
      </c>
      <c r="B583" s="15">
        <v>36</v>
      </c>
      <c r="C583" s="31" t="str">
        <f t="shared" si="56"/>
        <v>36 (Deposito Khusus pada BPR dan/atau BPRS Lain Untuk Penanggulangan Permasalahan Likuiditas)</v>
      </c>
      <c r="D583" s="3"/>
      <c r="E583" s="31" t="s">
        <v>2967</v>
      </c>
      <c r="F583" s="15" t="s">
        <v>2968</v>
      </c>
      <c r="G583" s="31" t="str">
        <f t="shared" si="55"/>
        <v>011180 (Perkebunan Tanaman Minyak Atsiri)</v>
      </c>
      <c r="H583" s="3"/>
      <c r="I583" s="16" t="s">
        <v>2969</v>
      </c>
      <c r="J583" s="52">
        <v>600734</v>
      </c>
      <c r="K583" s="16" t="str">
        <f t="shared" si="48"/>
        <v>600734 (PT. BPR Nusamba Banguntapan)</v>
      </c>
    </row>
    <row r="584" spans="1:11" ht="12.75" customHeight="1" x14ac:dyDescent="0.35">
      <c r="A584" s="16" t="s">
        <v>2302</v>
      </c>
      <c r="B584" s="15">
        <v>40</v>
      </c>
      <c r="C584" s="31" t="str">
        <f t="shared" si="56"/>
        <v>40 (Sertifikat Deposito)</v>
      </c>
      <c r="D584" s="3"/>
      <c r="E584" s="31" t="s">
        <v>2970</v>
      </c>
      <c r="F584" s="15" t="s">
        <v>2971</v>
      </c>
      <c r="G584" s="31" t="str">
        <f t="shared" si="55"/>
        <v>011190 (Perkebunan Tanaman Lainnya yang Tidak Diklasifikasikan di Tempat Lain)</v>
      </c>
      <c r="H584" s="3"/>
      <c r="I584" s="16" t="s">
        <v>2972</v>
      </c>
      <c r="J584" s="52">
        <v>600736</v>
      </c>
      <c r="K584" s="16" t="str">
        <f t="shared" si="48"/>
        <v>600736 (PT. BPR Nusamba Temon)</v>
      </c>
    </row>
    <row r="585" spans="1:11" ht="12.75" customHeight="1" x14ac:dyDescent="0.35">
      <c r="A585" s="7" t="s">
        <v>2973</v>
      </c>
      <c r="B585" s="67">
        <v>50</v>
      </c>
      <c r="C585" s="32" t="str">
        <f t="shared" si="56"/>
        <v>50 (Penempatan Dana Sementara Dalam Rangka Kerja Sama Dengan Penyelenggara Layanan Pinjam Meminjam Uang Berbasis Teknologi Informasi (LPMUBTI)/Fintech Peer-to-Peer Lending (P2PL))</v>
      </c>
      <c r="D585" s="3"/>
      <c r="E585" s="31" t="s">
        <v>2974</v>
      </c>
      <c r="F585" s="15" t="s">
        <v>2975</v>
      </c>
      <c r="G585" s="31" t="str">
        <f t="shared" si="55"/>
        <v>011211 (Pertanian Hortikultura Sayuran yang dipanen Sekali Bawang Merah)</v>
      </c>
      <c r="H585" s="3"/>
      <c r="I585" s="16" t="s">
        <v>2976</v>
      </c>
      <c r="J585" s="52">
        <v>600737</v>
      </c>
      <c r="K585" s="16" t="str">
        <f t="shared" si="48"/>
        <v>600737 (PT BPR Natasha Bintang Anugrah)</v>
      </c>
    </row>
    <row r="586" spans="1:11" ht="12.75" customHeight="1" x14ac:dyDescent="0.35">
      <c r="A586" s="3"/>
      <c r="B586" s="2"/>
      <c r="C586" s="3"/>
      <c r="D586" s="3"/>
      <c r="E586" s="31" t="s">
        <v>2977</v>
      </c>
      <c r="F586" s="15" t="s">
        <v>2978</v>
      </c>
      <c r="G586" s="31" t="str">
        <f t="shared" si="55"/>
        <v>011219 (Pertanian Hortikultura Sayuran yang dipanen Sekali Lainnya)</v>
      </c>
      <c r="H586" s="3"/>
      <c r="I586" s="16" t="s">
        <v>2979</v>
      </c>
      <c r="J586" s="52">
        <v>600738</v>
      </c>
      <c r="K586" s="16" t="str">
        <f t="shared" si="48"/>
        <v>600738 (PT. BPR Profidana Paramitra)</v>
      </c>
    </row>
    <row r="587" spans="1:11" ht="12.75" customHeight="1" x14ac:dyDescent="0.35">
      <c r="A587" s="3"/>
      <c r="B587" s="2"/>
      <c r="C587" s="3"/>
      <c r="D587" s="3"/>
      <c r="E587" s="31" t="s">
        <v>2980</v>
      </c>
      <c r="F587" s="15" t="s">
        <v>2981</v>
      </c>
      <c r="G587" s="31" t="str">
        <f t="shared" si="55"/>
        <v>011220 (Pertanian Hortikultura Sayuran yang dipanen Lebih dari Sekali)</v>
      </c>
      <c r="H587" s="3"/>
      <c r="I587" s="16" t="s">
        <v>2982</v>
      </c>
      <c r="J587" s="52">
        <v>600739</v>
      </c>
      <c r="K587" s="16" t="str">
        <f t="shared" si="48"/>
        <v>600739 (PT. BPR Danagung Bakti)</v>
      </c>
    </row>
    <row r="588" spans="1:11" ht="12.75" customHeight="1" x14ac:dyDescent="0.35">
      <c r="A588" s="3" t="s">
        <v>2629</v>
      </c>
      <c r="B588" s="2"/>
      <c r="C588" s="3"/>
      <c r="D588" s="3"/>
      <c r="E588" s="31" t="s">
        <v>2983</v>
      </c>
      <c r="F588" s="15" t="s">
        <v>2984</v>
      </c>
      <c r="G588" s="31" t="str">
        <f t="shared" si="55"/>
        <v>011231 (Pertanian Hortikultura Bunga-bungaan Anggrek)</v>
      </c>
      <c r="H588" s="3"/>
      <c r="I588" s="16" t="s">
        <v>2985</v>
      </c>
      <c r="J588" s="52">
        <v>600740</v>
      </c>
      <c r="K588" s="16" t="str">
        <f t="shared" si="48"/>
        <v>600740 (PT BPR Nusumma Jogja)</v>
      </c>
    </row>
    <row r="589" spans="1:11" ht="12.75" customHeight="1" x14ac:dyDescent="0.35">
      <c r="A589" s="8" t="s">
        <v>2632</v>
      </c>
      <c r="B589" s="9" t="s">
        <v>2</v>
      </c>
      <c r="C589" s="10" t="s">
        <v>3</v>
      </c>
      <c r="D589" s="3"/>
      <c r="E589" s="31" t="s">
        <v>2986</v>
      </c>
      <c r="F589" s="15" t="s">
        <v>2987</v>
      </c>
      <c r="G589" s="31" t="str">
        <f t="shared" si="55"/>
        <v>011239 (Pertanian Hortikultura Bunga-bungaan Lainnya)</v>
      </c>
      <c r="H589" s="3"/>
      <c r="I589" s="16" t="s">
        <v>2988</v>
      </c>
      <c r="J589" s="52">
        <v>600742</v>
      </c>
      <c r="K589" s="16" t="str">
        <f t="shared" si="48"/>
        <v>600742 (PT. BPR Arga Tata)</v>
      </c>
    </row>
    <row r="590" spans="1:11" ht="12.75" customHeight="1" x14ac:dyDescent="0.35">
      <c r="A590" s="16" t="s">
        <v>2635</v>
      </c>
      <c r="B590" s="24" t="s">
        <v>10</v>
      </c>
      <c r="C590" s="31" t="str">
        <f t="shared" ref="C590:C593" si="57">CONCATENATE(B590," (",A590,")")</f>
        <v>01 (Tabungan)</v>
      </c>
      <c r="D590" s="3"/>
      <c r="E590" s="31" t="s">
        <v>2989</v>
      </c>
      <c r="F590" s="15" t="s">
        <v>2990</v>
      </c>
      <c r="G590" s="31" t="str">
        <f t="shared" si="55"/>
        <v>011240 (Pertanian Tanaman Hias Lainnya)</v>
      </c>
      <c r="H590" s="3"/>
      <c r="I590" s="16" t="s">
        <v>2991</v>
      </c>
      <c r="J590" s="52">
        <v>600743</v>
      </c>
      <c r="K590" s="16" t="str">
        <f t="shared" si="48"/>
        <v>600743 (PT. BPR Wahana Sentra Artha)</v>
      </c>
    </row>
    <row r="591" spans="1:11" ht="12.75" customHeight="1" x14ac:dyDescent="0.35">
      <c r="A591" s="16" t="s">
        <v>2638</v>
      </c>
      <c r="B591" s="24" t="s">
        <v>27</v>
      </c>
      <c r="C591" s="31" t="str">
        <f t="shared" si="57"/>
        <v>02 (Deposito)</v>
      </c>
      <c r="D591" s="3"/>
      <c r="E591" s="31" t="s">
        <v>2992</v>
      </c>
      <c r="F591" s="15" t="s">
        <v>2993</v>
      </c>
      <c r="G591" s="31" t="str">
        <f t="shared" si="55"/>
        <v>011250 (Pembibitan dan Pembenihan Hortikultura Sayuran dan Bunga- bungaan)</v>
      </c>
      <c r="H591" s="3"/>
      <c r="I591" s="16" t="s">
        <v>2994</v>
      </c>
      <c r="J591" s="52">
        <v>600744</v>
      </c>
      <c r="K591" s="16" t="str">
        <f t="shared" si="48"/>
        <v>600744 (PT. BPR Wijayamulya Santosa)</v>
      </c>
    </row>
    <row r="592" spans="1:11" ht="12.75" customHeight="1" x14ac:dyDescent="0.35">
      <c r="A592" s="16" t="s">
        <v>2995</v>
      </c>
      <c r="B592" s="15">
        <v>11</v>
      </c>
      <c r="C592" s="31" t="str">
        <f t="shared" si="57"/>
        <v>11 (Tabungan khusus dari BPR lain untuk penanggulangan permasalahan likuditas)</v>
      </c>
      <c r="D592" s="3"/>
      <c r="E592" s="31" t="s">
        <v>2996</v>
      </c>
      <c r="F592" s="15" t="s">
        <v>2997</v>
      </c>
      <c r="G592" s="31" t="str">
        <f t="shared" si="55"/>
        <v>011311 (Pertanian Buah-buahan Musiman Jeruk)</v>
      </c>
      <c r="H592" s="3"/>
      <c r="I592" s="16" t="s">
        <v>2998</v>
      </c>
      <c r="J592" s="52">
        <v>600745</v>
      </c>
      <c r="K592" s="16" t="str">
        <f t="shared" si="48"/>
        <v>600745 (PT BPR Arthaguna Mandiri)</v>
      </c>
    </row>
    <row r="593" spans="1:11" ht="12.75" customHeight="1" x14ac:dyDescent="0.35">
      <c r="A593" s="16" t="s">
        <v>2999</v>
      </c>
      <c r="B593" s="15">
        <v>12</v>
      </c>
      <c r="C593" s="31" t="str">
        <f t="shared" si="57"/>
        <v>12 (Deposito khusus dari BPR lain untuk rangka penanggulangan permasalahan likuditas)</v>
      </c>
      <c r="D593" s="3"/>
      <c r="E593" s="31" t="s">
        <v>3000</v>
      </c>
      <c r="F593" s="15" t="s">
        <v>3001</v>
      </c>
      <c r="G593" s="31" t="str">
        <f t="shared" si="55"/>
        <v>011319 (Pertanian Buah-buahan Musiman Lainnya)</v>
      </c>
      <c r="H593" s="3"/>
      <c r="I593" s="16" t="s">
        <v>3002</v>
      </c>
      <c r="J593" s="52">
        <v>600746</v>
      </c>
      <c r="K593" s="16" t="str">
        <f t="shared" si="48"/>
        <v>600746 (PT. BPR Bhumikarya Pala)</v>
      </c>
    </row>
    <row r="594" spans="1:11" ht="12.75" customHeight="1" x14ac:dyDescent="0.35">
      <c r="A594" s="3"/>
      <c r="B594" s="2"/>
      <c r="C594" s="3"/>
      <c r="D594" s="3"/>
      <c r="E594" s="31" t="s">
        <v>3003</v>
      </c>
      <c r="F594" s="15" t="s">
        <v>3004</v>
      </c>
      <c r="G594" s="31" t="str">
        <f t="shared" si="55"/>
        <v>011321 (Pertanian Buah-buahan Sepanjang Tahun Pisang)</v>
      </c>
      <c r="H594" s="3"/>
      <c r="I594" s="16" t="s">
        <v>3005</v>
      </c>
      <c r="J594" s="52">
        <v>600747</v>
      </c>
      <c r="K594" s="16" t="str">
        <f t="shared" si="48"/>
        <v>600747 (PT. BPR Citrahalim Persada)</v>
      </c>
    </row>
    <row r="595" spans="1:11" ht="12.75" customHeight="1" x14ac:dyDescent="0.35">
      <c r="A595" s="3"/>
      <c r="B595" s="2"/>
      <c r="C595" s="3"/>
      <c r="D595" s="3"/>
      <c r="E595" s="31" t="s">
        <v>3006</v>
      </c>
      <c r="F595" s="15" t="s">
        <v>3007</v>
      </c>
      <c r="G595" s="31" t="str">
        <f t="shared" si="55"/>
        <v>011329 (Pertanian Buah-buahan Sepanjang Tahun Lainnya)</v>
      </c>
      <c r="H595" s="3"/>
      <c r="I595" s="16" t="s">
        <v>3008</v>
      </c>
      <c r="J595" s="52">
        <v>600748</v>
      </c>
      <c r="K595" s="16" t="str">
        <f t="shared" si="48"/>
        <v>600748 (PT. BPR Danagung Ramulti)</v>
      </c>
    </row>
    <row r="596" spans="1:11" ht="12.75" customHeight="1" x14ac:dyDescent="0.35">
      <c r="A596" s="3" t="s">
        <v>2367</v>
      </c>
      <c r="B596" s="2"/>
      <c r="C596" s="3"/>
      <c r="D596" s="3"/>
      <c r="E596" s="31" t="s">
        <v>3009</v>
      </c>
      <c r="F596" s="15" t="s">
        <v>3010</v>
      </c>
      <c r="G596" s="31" t="str">
        <f t="shared" si="55"/>
        <v>011330 (Perkebunan Kelapa)</v>
      </c>
      <c r="H596" s="3"/>
      <c r="I596" s="16" t="s">
        <v>3011</v>
      </c>
      <c r="J596" s="52">
        <v>600749</v>
      </c>
      <c r="K596" s="16" t="str">
        <f t="shared" si="48"/>
        <v>600749 (PT. BPR Citrahalim Raharja)</v>
      </c>
    </row>
    <row r="597" spans="1:11" ht="12.75" customHeight="1" x14ac:dyDescent="0.35">
      <c r="A597" s="9" t="s">
        <v>2370</v>
      </c>
      <c r="B597" s="9" t="s">
        <v>2</v>
      </c>
      <c r="C597" s="10" t="s">
        <v>3</v>
      </c>
      <c r="D597" s="3"/>
      <c r="E597" s="31" t="s">
        <v>3012</v>
      </c>
      <c r="F597" s="15" t="s">
        <v>3013</v>
      </c>
      <c r="G597" s="31" t="str">
        <f t="shared" si="55"/>
        <v>011340 (Perkebunan Kelapa Sawit)</v>
      </c>
      <c r="H597" s="3"/>
      <c r="I597" s="16" t="s">
        <v>3014</v>
      </c>
      <c r="J597" s="52">
        <v>600750</v>
      </c>
      <c r="K597" s="16" t="str">
        <f t="shared" si="48"/>
        <v>600750 (PT. BPR Restu Mandiri Makmur)</v>
      </c>
    </row>
    <row r="598" spans="1:11" ht="12.75" customHeight="1" x14ac:dyDescent="0.35">
      <c r="A598" s="71" t="s">
        <v>3015</v>
      </c>
      <c r="B598" s="24" t="s">
        <v>10</v>
      </c>
      <c r="C598" s="31" t="str">
        <f t="shared" ref="C598:C603" si="58">CONCATENATE(B598," (",A598,")")</f>
        <v>01 (Pembiayaan bersama (sindikasi))</v>
      </c>
      <c r="D598" s="3"/>
      <c r="E598" s="31" t="s">
        <v>3016</v>
      </c>
      <c r="F598" s="15" t="s">
        <v>3017</v>
      </c>
      <c r="G598" s="31" t="str">
        <f t="shared" si="55"/>
        <v>011351 (Perkebunan Tanaman Kopi)</v>
      </c>
      <c r="H598" s="3"/>
      <c r="I598" s="16" t="s">
        <v>3018</v>
      </c>
      <c r="J598" s="52">
        <v>600752</v>
      </c>
      <c r="K598" s="16" t="str">
        <f t="shared" si="48"/>
        <v>600752 (KOP. BPR Jetis)</v>
      </c>
    </row>
    <row r="599" spans="1:11" ht="12.75" customHeight="1" x14ac:dyDescent="0.35">
      <c r="A599" s="71" t="s">
        <v>3019</v>
      </c>
      <c r="B599" s="24" t="s">
        <v>27</v>
      </c>
      <c r="C599" s="31" t="str">
        <f t="shared" si="58"/>
        <v>02 (Disalurkan melalui Bank Lain)</v>
      </c>
      <c r="D599" s="3"/>
      <c r="E599" s="31" t="s">
        <v>3020</v>
      </c>
      <c r="F599" s="15" t="s">
        <v>3021</v>
      </c>
      <c r="G599" s="31" t="str">
        <f t="shared" si="55"/>
        <v>011352 (Perkebunan Tanaman Teh)</v>
      </c>
      <c r="H599" s="3"/>
      <c r="I599" s="16" t="s">
        <v>3022</v>
      </c>
      <c r="J599" s="52">
        <v>600754</v>
      </c>
      <c r="K599" s="16" t="str">
        <f t="shared" si="48"/>
        <v>600754 (KOP. BPR Cahaya Bumi Artha)</v>
      </c>
    </row>
    <row r="600" spans="1:11" ht="12.75" customHeight="1" x14ac:dyDescent="0.35">
      <c r="A600" s="71" t="s">
        <v>2379</v>
      </c>
      <c r="B600" s="24" t="s">
        <v>41</v>
      </c>
      <c r="C600" s="31" t="str">
        <f t="shared" si="58"/>
        <v>03 (Langsung kepada debitur BPR yang bersangkutan)</v>
      </c>
      <c r="D600" s="3"/>
      <c r="E600" s="31" t="s">
        <v>3023</v>
      </c>
      <c r="F600" s="15" t="s">
        <v>3024</v>
      </c>
      <c r="G600" s="31" t="str">
        <f t="shared" si="55"/>
        <v>011353 (Perkebunan Tanaman Coklat (Kakao))</v>
      </c>
      <c r="H600" s="3"/>
      <c r="I600" s="16" t="s">
        <v>3025</v>
      </c>
      <c r="J600" s="52">
        <v>600756</v>
      </c>
      <c r="K600" s="16" t="str">
        <f t="shared" si="48"/>
        <v>600756 (PT BPR Arta Nawa)</v>
      </c>
    </row>
    <row r="601" spans="1:11" ht="12.75" customHeight="1" x14ac:dyDescent="0.35">
      <c r="A601" s="71" t="s">
        <v>3026</v>
      </c>
      <c r="B601" s="24" t="s">
        <v>52</v>
      </c>
      <c r="C601" s="31" t="str">
        <f t="shared" si="58"/>
        <v>04 (Kerjasama dengan lembaga keuangan non bank untuk disalurkan kembali kepada UMKM)</v>
      </c>
      <c r="D601" s="3"/>
      <c r="E601" s="31" t="s">
        <v>3027</v>
      </c>
      <c r="F601" s="15" t="s">
        <v>3028</v>
      </c>
      <c r="G601" s="31" t="str">
        <f t="shared" si="55"/>
        <v>011360 (Perkebunan Jambu Mete)</v>
      </c>
      <c r="H601" s="3"/>
      <c r="I601" s="16" t="s">
        <v>3029</v>
      </c>
      <c r="J601" s="52">
        <v>600759</v>
      </c>
      <c r="K601" s="16" t="str">
        <f t="shared" si="48"/>
        <v>600759 (PT. BPR Prima Kredit Utama)</v>
      </c>
    </row>
    <row r="602" spans="1:11" ht="12.75" customHeight="1" x14ac:dyDescent="0.35">
      <c r="A602" s="71" t="s">
        <v>3030</v>
      </c>
      <c r="B602" s="24" t="s">
        <v>109</v>
      </c>
      <c r="C602" s="31" t="str">
        <f t="shared" si="58"/>
        <v>05 (Disalurkan dalam rangka kerja sama dengan LPMUBTI/fintech P2PL)</v>
      </c>
      <c r="D602" s="3"/>
      <c r="E602" s="31" t="s">
        <v>3031</v>
      </c>
      <c r="F602" s="15" t="s">
        <v>3032</v>
      </c>
      <c r="G602" s="31" t="str">
        <f t="shared" si="55"/>
        <v>011370 (Perkebunan Lada)</v>
      </c>
      <c r="H602" s="3"/>
      <c r="I602" s="16" t="s">
        <v>3033</v>
      </c>
      <c r="J602" s="52">
        <v>600761</v>
      </c>
      <c r="K602" s="16" t="str">
        <f t="shared" si="48"/>
        <v>600761 (PT. BP Bhakti)</v>
      </c>
    </row>
    <row r="603" spans="1:11" ht="12.75" customHeight="1" x14ac:dyDescent="0.35">
      <c r="A603" s="71" t="s">
        <v>331</v>
      </c>
      <c r="B603" s="15">
        <v>99</v>
      </c>
      <c r="C603" s="31" t="str">
        <f t="shared" si="58"/>
        <v>99 (Lainnya)</v>
      </c>
      <c r="D603" s="3"/>
      <c r="E603" s="31" t="s">
        <v>3034</v>
      </c>
      <c r="F603" s="15" t="s">
        <v>3035</v>
      </c>
      <c r="G603" s="31" t="str">
        <f t="shared" si="55"/>
        <v>011380 (Perkebunan Cengkeh)</v>
      </c>
      <c r="H603" s="3"/>
      <c r="I603" s="16" t="s">
        <v>3036</v>
      </c>
      <c r="J603" s="52">
        <v>600762</v>
      </c>
      <c r="K603" s="16" t="str">
        <f t="shared" si="48"/>
        <v>600762 (PT. BPR Mega Artha Mustika)</v>
      </c>
    </row>
    <row r="604" spans="1:11" ht="12.75" customHeight="1" x14ac:dyDescent="0.35">
      <c r="A604" s="3"/>
      <c r="B604" s="2"/>
      <c r="C604" s="3"/>
      <c r="D604" s="3"/>
      <c r="E604" s="31" t="s">
        <v>3037</v>
      </c>
      <c r="F604" s="15" t="s">
        <v>3038</v>
      </c>
      <c r="G604" s="31" t="str">
        <f t="shared" si="55"/>
        <v>011391 (Perkebunan Tanaman Rempah Panili)</v>
      </c>
      <c r="H604" s="3"/>
      <c r="I604" s="16" t="s">
        <v>3039</v>
      </c>
      <c r="J604" s="52">
        <v>600763</v>
      </c>
      <c r="K604" s="16" t="str">
        <f t="shared" si="48"/>
        <v>600763 (PT. BPR Danamas)</v>
      </c>
    </row>
    <row r="605" spans="1:11" ht="12.75" customHeight="1" x14ac:dyDescent="0.35">
      <c r="A605" s="3"/>
      <c r="B605" s="2"/>
      <c r="C605" s="3"/>
      <c r="D605" s="3"/>
      <c r="E605" s="31" t="s">
        <v>3040</v>
      </c>
      <c r="F605" s="15" t="s">
        <v>3041</v>
      </c>
      <c r="G605" s="31" t="str">
        <f t="shared" si="55"/>
        <v>011392 (Perkebunan Tanaman Rempah Pala)</v>
      </c>
      <c r="H605" s="3"/>
      <c r="I605" s="16" t="s">
        <v>3042</v>
      </c>
      <c r="J605" s="52">
        <v>600764</v>
      </c>
      <c r="K605" s="16" t="str">
        <f t="shared" si="48"/>
        <v>600764 (PT. BP Guna Yatra)</v>
      </c>
    </row>
    <row r="606" spans="1:11" ht="12.75" customHeight="1" x14ac:dyDescent="0.35">
      <c r="A606" s="3" t="s">
        <v>3043</v>
      </c>
      <c r="B606" s="2"/>
      <c r="C606" s="3"/>
      <c r="D606" s="3"/>
      <c r="E606" s="31" t="s">
        <v>3044</v>
      </c>
      <c r="F606" s="15" t="s">
        <v>3045</v>
      </c>
      <c r="G606" s="31" t="str">
        <f t="shared" si="55"/>
        <v>011399 (Perkebunan Tanaman Rempah yang Tidak Diklasifikasikan di Tempat Lain)</v>
      </c>
      <c r="H606" s="3"/>
      <c r="I606" s="16" t="s">
        <v>3046</v>
      </c>
      <c r="J606" s="52">
        <v>600765</v>
      </c>
      <c r="K606" s="16" t="str">
        <f t="shared" si="48"/>
        <v>600765 (PT. BPR Bina Maju Usaha)</v>
      </c>
    </row>
    <row r="607" spans="1:11" ht="12.75" customHeight="1" x14ac:dyDescent="0.35">
      <c r="A607" s="72" t="s">
        <v>3047</v>
      </c>
      <c r="B607" s="2"/>
      <c r="C607" s="3"/>
      <c r="D607" s="3"/>
      <c r="E607" s="31" t="s">
        <v>3048</v>
      </c>
      <c r="F607" s="15" t="s">
        <v>3049</v>
      </c>
      <c r="G607" s="31" t="str">
        <f t="shared" si="55"/>
        <v>012110 (Pembibitan dan Budidaya Sapi Potong)</v>
      </c>
      <c r="H607" s="3"/>
      <c r="I607" s="16" t="s">
        <v>3050</v>
      </c>
      <c r="J607" s="52">
        <v>600766</v>
      </c>
      <c r="K607" s="16" t="str">
        <f t="shared" si="48"/>
        <v>600766 (PD BPR Bangkalan)</v>
      </c>
    </row>
    <row r="608" spans="1:11" ht="12.75" customHeight="1" x14ac:dyDescent="0.35">
      <c r="A608" s="16" t="s">
        <v>3051</v>
      </c>
      <c r="B608" s="2"/>
      <c r="C608" s="3"/>
      <c r="D608" s="3"/>
      <c r="E608" s="31" t="s">
        <v>3052</v>
      </c>
      <c r="F608" s="15" t="s">
        <v>3053</v>
      </c>
      <c r="G608" s="31" t="str">
        <f t="shared" si="55"/>
        <v>012191 (Pembibitan dan Budidaya Domba dan Kambing Potong)</v>
      </c>
      <c r="H608" s="3"/>
      <c r="I608" s="16" t="s">
        <v>3054</v>
      </c>
      <c r="J608" s="52">
        <v>600767</v>
      </c>
      <c r="K608" s="16" t="str">
        <f t="shared" si="48"/>
        <v>600767 (PD. BPR Kabupaten Dati II Gresik)</v>
      </c>
    </row>
    <row r="609" spans="1:11" ht="12.75" customHeight="1" x14ac:dyDescent="0.35">
      <c r="A609" s="16" t="s">
        <v>3055</v>
      </c>
      <c r="B609" s="2"/>
      <c r="C609" s="3"/>
      <c r="D609" s="3"/>
      <c r="E609" s="31" t="s">
        <v>3056</v>
      </c>
      <c r="F609" s="15" t="s">
        <v>3057</v>
      </c>
      <c r="G609" s="31" t="str">
        <f t="shared" si="55"/>
        <v>012192 (Pembibitan dan Budidaya Ternak Perah)</v>
      </c>
      <c r="H609" s="3"/>
      <c r="I609" s="16" t="s">
        <v>3058</v>
      </c>
      <c r="J609" s="52">
        <v>600768</v>
      </c>
      <c r="K609" s="16" t="str">
        <f t="shared" si="48"/>
        <v>600768 (PT. BPR Mitra Dana Utama)</v>
      </c>
    </row>
    <row r="610" spans="1:11" ht="12.75" customHeight="1" x14ac:dyDescent="0.35">
      <c r="A610" s="16" t="s">
        <v>3059</v>
      </c>
      <c r="B610" s="2"/>
      <c r="C610" s="3"/>
      <c r="D610" s="3"/>
      <c r="E610" s="31" t="s">
        <v>3060</v>
      </c>
      <c r="F610" s="15" t="s">
        <v>3061</v>
      </c>
      <c r="G610" s="31" t="str">
        <f t="shared" si="55"/>
        <v>012210 (Pembibitan dan Budidaya Babi)</v>
      </c>
      <c r="H610" s="3"/>
      <c r="I610" s="16" t="s">
        <v>3062</v>
      </c>
      <c r="J610" s="52">
        <v>600769</v>
      </c>
      <c r="K610" s="16" t="str">
        <f t="shared" si="48"/>
        <v>600769 (PD BPR Bank Daerah Lamongan)</v>
      </c>
    </row>
    <row r="611" spans="1:11" ht="12.75" customHeight="1" x14ac:dyDescent="0.35">
      <c r="A611" s="16" t="s">
        <v>3063</v>
      </c>
      <c r="B611" s="2"/>
      <c r="C611" s="3"/>
      <c r="D611" s="3"/>
      <c r="E611" s="31" t="s">
        <v>3064</v>
      </c>
      <c r="F611" s="15" t="s">
        <v>3065</v>
      </c>
      <c r="G611" s="31" t="str">
        <f t="shared" si="55"/>
        <v>012291 (Pembibitan dan Budidaya Unggas)</v>
      </c>
      <c r="H611" s="3"/>
      <c r="I611" s="16" t="s">
        <v>3066</v>
      </c>
      <c r="J611" s="52">
        <v>600770</v>
      </c>
      <c r="K611" s="16" t="str">
        <f t="shared" si="48"/>
        <v>600770 (PT. BPR Aswaja)</v>
      </c>
    </row>
    <row r="612" spans="1:11" ht="12.75" customHeight="1" x14ac:dyDescent="0.35">
      <c r="A612" s="3"/>
      <c r="B612" s="2"/>
      <c r="C612" s="3"/>
      <c r="D612" s="3"/>
      <c r="E612" s="31" t="s">
        <v>3067</v>
      </c>
      <c r="F612" s="15" t="s">
        <v>3068</v>
      </c>
      <c r="G612" s="31" t="str">
        <f t="shared" si="55"/>
        <v>013000 (Kombinasi Pertanian Atau Perkebunan Dengan Peternakan (Mixed Farming))</v>
      </c>
      <c r="H612" s="3"/>
      <c r="I612" s="16" t="s">
        <v>3069</v>
      </c>
      <c r="J612" s="52">
        <v>600771</v>
      </c>
      <c r="K612" s="16" t="str">
        <f t="shared" si="48"/>
        <v>600771 (PT BPR Majatama)</v>
      </c>
    </row>
    <row r="613" spans="1:11" ht="12.75" customHeight="1" x14ac:dyDescent="0.35">
      <c r="A613" s="3" t="s">
        <v>2367</v>
      </c>
      <c r="B613" s="2"/>
      <c r="C613" s="3"/>
      <c r="D613" s="3"/>
      <c r="E613" s="31" t="s">
        <v>3070</v>
      </c>
      <c r="F613" s="15" t="s">
        <v>3071</v>
      </c>
      <c r="G613" s="31" t="str">
        <f t="shared" si="55"/>
        <v>014000 (Jasa Pertanian, Perkebunan dan Peternakan)</v>
      </c>
      <c r="H613" s="3"/>
      <c r="I613" s="16" t="s">
        <v>3072</v>
      </c>
      <c r="J613" s="52">
        <v>600772</v>
      </c>
      <c r="K613" s="16" t="str">
        <f t="shared" si="48"/>
        <v>600772 (PT. BPR Trisurya Bumindo)</v>
      </c>
    </row>
    <row r="614" spans="1:11" ht="12.75" customHeight="1" x14ac:dyDescent="0.35">
      <c r="A614" s="9" t="s">
        <v>3073</v>
      </c>
      <c r="B614" s="9" t="s">
        <v>2</v>
      </c>
      <c r="C614" s="10" t="s">
        <v>3</v>
      </c>
      <c r="D614" s="3"/>
      <c r="E614" s="31" t="s">
        <v>3074</v>
      </c>
      <c r="F614" s="15" t="s">
        <v>3075</v>
      </c>
      <c r="G614" s="31" t="str">
        <f t="shared" si="55"/>
        <v>015000 (Perburuan Penangkapan dan Penangkaran Satwa Liar)</v>
      </c>
      <c r="H614" s="3"/>
      <c r="I614" s="16" t="s">
        <v>3076</v>
      </c>
      <c r="J614" s="52">
        <v>600773</v>
      </c>
      <c r="K614" s="16" t="str">
        <f t="shared" si="48"/>
        <v>600773 (PT. BP Kosanda)</v>
      </c>
    </row>
    <row r="615" spans="1:11" ht="12.75" customHeight="1" x14ac:dyDescent="0.35">
      <c r="A615" s="50" t="s">
        <v>3077</v>
      </c>
      <c r="B615" s="73">
        <v>10</v>
      </c>
      <c r="C615" s="33" t="str">
        <f t="shared" ref="C615:C623" si="59">CONCATENATE(B615," (",A615,")")</f>
        <v>10 (Kredit yang bukan merupakan kredit/pembiayaan dalam rangka program pemerintah)</v>
      </c>
      <c r="D615" s="3"/>
      <c r="E615" s="31" t="s">
        <v>3078</v>
      </c>
      <c r="F615" s="15" t="s">
        <v>3079</v>
      </c>
      <c r="G615" s="31" t="str">
        <f t="shared" si="55"/>
        <v>020100 (Pengusahaan Hutan Tanaman)</v>
      </c>
      <c r="H615" s="3"/>
      <c r="I615" s="16" t="s">
        <v>3080</v>
      </c>
      <c r="J615" s="52">
        <v>600774</v>
      </c>
      <c r="K615" s="16" t="str">
        <f t="shared" si="48"/>
        <v>600774 (PT. BPR Krian Nusantara)</v>
      </c>
    </row>
    <row r="616" spans="1:11" ht="12.75" customHeight="1" x14ac:dyDescent="0.35">
      <c r="A616" s="50" t="s">
        <v>3081</v>
      </c>
      <c r="B616" s="73">
        <v>20</v>
      </c>
      <c r="C616" s="33" t="str">
        <f t="shared" si="59"/>
        <v>20 (Kredit Program Pemerintah - Kredit Usaha Rakyat)</v>
      </c>
      <c r="D616" s="3"/>
      <c r="E616" s="31" t="s">
        <v>3082</v>
      </c>
      <c r="F616" s="15" t="s">
        <v>3083</v>
      </c>
      <c r="G616" s="31" t="str">
        <f t="shared" si="55"/>
        <v>020200 (Pengusahaan Hutan Alam)</v>
      </c>
      <c r="H616" s="3"/>
      <c r="I616" s="16" t="s">
        <v>3084</v>
      </c>
      <c r="J616" s="52">
        <v>600776</v>
      </c>
      <c r="K616" s="16" t="str">
        <f t="shared" si="48"/>
        <v>600776 (PD. BPR Kota Kediri)</v>
      </c>
    </row>
    <row r="617" spans="1:11" ht="12.75" customHeight="1" x14ac:dyDescent="0.35">
      <c r="A617" s="50" t="s">
        <v>3085</v>
      </c>
      <c r="B617" s="73">
        <v>21</v>
      </c>
      <c r="C617" s="33" t="str">
        <f t="shared" si="59"/>
        <v>21 (Kredit Program Pemerintah - Kredit Usaha Rakyat - Mikro)</v>
      </c>
      <c r="D617" s="3"/>
      <c r="E617" s="31" t="s">
        <v>3086</v>
      </c>
      <c r="F617" s="15" t="s">
        <v>3087</v>
      </c>
      <c r="G617" s="31" t="str">
        <f t="shared" si="55"/>
        <v>020300 (Pengusahaan Hasil Hutan Selain Kayu)</v>
      </c>
      <c r="H617" s="3"/>
      <c r="I617" s="16" t="s">
        <v>3088</v>
      </c>
      <c r="J617" s="52">
        <v>600777</v>
      </c>
      <c r="K617" s="16" t="str">
        <f t="shared" si="48"/>
        <v>600777 (PT. BP Kurnia Dadi Arta)</v>
      </c>
    </row>
    <row r="618" spans="1:11" ht="12.75" customHeight="1" x14ac:dyDescent="0.35">
      <c r="A618" s="50" t="s">
        <v>3089</v>
      </c>
      <c r="B618" s="73">
        <v>22</v>
      </c>
      <c r="C618" s="33" t="str">
        <f t="shared" si="59"/>
        <v>22 (Kredit Program Pemerintah - Kredit Usaha Rakyat - Kecil)</v>
      </c>
      <c r="D618" s="3"/>
      <c r="E618" s="31" t="s">
        <v>3090</v>
      </c>
      <c r="F618" s="15" t="s">
        <v>3091</v>
      </c>
      <c r="G618" s="31" t="str">
        <f t="shared" si="55"/>
        <v>020400 (Jasa Kehutanan)</v>
      </c>
      <c r="H618" s="3"/>
      <c r="I618" s="16" t="s">
        <v>3092</v>
      </c>
      <c r="J618" s="52">
        <v>600778</v>
      </c>
      <c r="K618" s="16" t="str">
        <f t="shared" si="48"/>
        <v>600778 (PT. BPR Mitra Mulia Persada)</v>
      </c>
    </row>
    <row r="619" spans="1:11" ht="12.75" customHeight="1" x14ac:dyDescent="0.35">
      <c r="A619" s="50" t="s">
        <v>3093</v>
      </c>
      <c r="B619" s="73">
        <v>23</v>
      </c>
      <c r="C619" s="33" t="str">
        <f t="shared" si="59"/>
        <v>23 (Kredit Program Pemerintah - Kredit Usaha Rakyat - Penempatan TKI)</v>
      </c>
      <c r="D619" s="3"/>
      <c r="E619" s="31" t="s">
        <v>3094</v>
      </c>
      <c r="F619" s="15" t="s">
        <v>3095</v>
      </c>
      <c r="G619" s="31" t="str">
        <f t="shared" si="55"/>
        <v>020500 (Usaha Kehutanan Lainnya)</v>
      </c>
      <c r="H619" s="3"/>
      <c r="I619" s="16" t="s">
        <v>3096</v>
      </c>
      <c r="J619" s="52">
        <v>600779</v>
      </c>
      <c r="K619" s="16" t="str">
        <f t="shared" si="48"/>
        <v>600779 (PT. BPR Argo Dana Ungaran)</v>
      </c>
    </row>
    <row r="620" spans="1:11" ht="12.75" customHeight="1" x14ac:dyDescent="0.35">
      <c r="A620" s="50" t="s">
        <v>3097</v>
      </c>
      <c r="B620" s="73">
        <v>24</v>
      </c>
      <c r="C620" s="33" t="str">
        <f t="shared" si="59"/>
        <v>24 (Kredit Program Pemerintah - Kredit Usaha Rakyat - KUR Khusus)</v>
      </c>
      <c r="D620" s="3"/>
      <c r="E620" s="31" t="s">
        <v>3098</v>
      </c>
      <c r="F620" s="15" t="s">
        <v>3099</v>
      </c>
      <c r="G620" s="31" t="str">
        <f t="shared" si="55"/>
        <v>050111 (Penangkapan Ikan Tuna)</v>
      </c>
      <c r="H620" s="3"/>
      <c r="I620" s="16" t="s">
        <v>3100</v>
      </c>
      <c r="J620" s="52">
        <v>600780</v>
      </c>
      <c r="K620" s="16" t="str">
        <f t="shared" si="48"/>
        <v>600780 (PT.BPR SRIEKAYA)</v>
      </c>
    </row>
    <row r="621" spans="1:11" ht="12.75" customHeight="1" x14ac:dyDescent="0.35">
      <c r="A621" s="50" t="s">
        <v>3101</v>
      </c>
      <c r="B621" s="73">
        <v>25</v>
      </c>
      <c r="C621" s="33" t="str">
        <f t="shared" si="59"/>
        <v>25 (Kredit Program Pemerintah - Kredit Usaha Rakyat - Super Mikro)</v>
      </c>
      <c r="D621" s="3"/>
      <c r="E621" s="31" t="s">
        <v>3102</v>
      </c>
      <c r="F621" s="15" t="s">
        <v>3103</v>
      </c>
      <c r="G621" s="31" t="str">
        <f t="shared" si="55"/>
        <v>050119 (Penangkapan Ikan Lainnya)</v>
      </c>
      <c r="H621" s="3"/>
      <c r="I621" s="16" t="s">
        <v>3104</v>
      </c>
      <c r="J621" s="52">
        <v>600781</v>
      </c>
      <c r="K621" s="16" t="str">
        <f t="shared" si="48"/>
        <v>600781 (PT. BPR Pitih Gumarang)</v>
      </c>
    </row>
    <row r="622" spans="1:11" ht="12.75" customHeight="1" x14ac:dyDescent="0.35">
      <c r="A622" s="40" t="s">
        <v>3105</v>
      </c>
      <c r="B622" s="73">
        <v>30</v>
      </c>
      <c r="C622" s="33" t="str">
        <f t="shared" si="59"/>
        <v>30 (Kredit Program Pemerintah - Kredit Pemilikan Rumah Bersubsidi)</v>
      </c>
      <c r="D622" s="3"/>
      <c r="E622" s="31" t="s">
        <v>3106</v>
      </c>
      <c r="F622" s="15" t="s">
        <v>3107</v>
      </c>
      <c r="G622" s="31" t="str">
        <f t="shared" si="55"/>
        <v>050121 (Penangkapan Udang Laut)</v>
      </c>
      <c r="H622" s="3"/>
      <c r="I622" s="16" t="s">
        <v>3108</v>
      </c>
      <c r="J622" s="52">
        <v>600782</v>
      </c>
      <c r="K622" s="16" t="str">
        <f t="shared" si="48"/>
        <v>600782 (PT BPR Artha Buana)</v>
      </c>
    </row>
    <row r="623" spans="1:11" ht="12.75" customHeight="1" x14ac:dyDescent="0.35">
      <c r="A623" s="40" t="s">
        <v>3109</v>
      </c>
      <c r="B623" s="73">
        <v>90</v>
      </c>
      <c r="C623" s="33" t="str">
        <f t="shared" si="59"/>
        <v>90 (Kredit Program Pemerintah - Lainnya)</v>
      </c>
      <c r="D623" s="3"/>
      <c r="E623" s="31" t="s">
        <v>3110</v>
      </c>
      <c r="F623" s="15" t="s">
        <v>3111</v>
      </c>
      <c r="G623" s="31" t="str">
        <f t="shared" si="55"/>
        <v>050122 (Penangkapan Crustacea Lainnya di Laut)</v>
      </c>
      <c r="H623" s="3"/>
      <c r="I623" s="16" t="s">
        <v>3112</v>
      </c>
      <c r="J623" s="52">
        <v>600783</v>
      </c>
      <c r="K623" s="16" t="str">
        <f t="shared" si="48"/>
        <v>600783 (PT. BPR Restu Artha Makmur)</v>
      </c>
    </row>
    <row r="624" spans="1:11" ht="12.75" customHeight="1" x14ac:dyDescent="0.35">
      <c r="A624" s="3"/>
      <c r="B624" s="2"/>
      <c r="C624" s="3"/>
      <c r="D624" s="3"/>
      <c r="E624" s="31" t="s">
        <v>3113</v>
      </c>
      <c r="F624" s="15" t="s">
        <v>3114</v>
      </c>
      <c r="G624" s="31" t="str">
        <f t="shared" si="55"/>
        <v>050190 (Perikanan Lainnya)</v>
      </c>
      <c r="H624" s="3"/>
      <c r="I624" s="16" t="s">
        <v>3115</v>
      </c>
      <c r="J624" s="52">
        <v>600784</v>
      </c>
      <c r="K624" s="16" t="str">
        <f t="shared" si="48"/>
        <v>600784 (PD. BPR Karimun)</v>
      </c>
    </row>
    <row r="625" spans="1:11" ht="12.75" customHeight="1" x14ac:dyDescent="0.35">
      <c r="A625" s="3" t="s">
        <v>2367</v>
      </c>
      <c r="B625" s="2"/>
      <c r="C625" s="3"/>
      <c r="D625" s="3"/>
      <c r="E625" s="31" t="s">
        <v>3116</v>
      </c>
      <c r="F625" s="15" t="s">
        <v>3117</v>
      </c>
      <c r="G625" s="31" t="str">
        <f t="shared" si="55"/>
        <v>050211 (Budidaya Biota Laut Udang)</v>
      </c>
      <c r="H625" s="3"/>
      <c r="I625" s="16" t="s">
        <v>3118</v>
      </c>
      <c r="J625" s="52">
        <v>600785</v>
      </c>
      <c r="K625" s="16" t="str">
        <f t="shared" si="48"/>
        <v>600785 (PT. BPR Dana Utama)</v>
      </c>
    </row>
    <row r="626" spans="1:11" ht="12.75" customHeight="1" x14ac:dyDescent="0.35">
      <c r="A626" s="9" t="s">
        <v>3119</v>
      </c>
      <c r="B626" s="9" t="s">
        <v>2</v>
      </c>
      <c r="C626" s="10" t="s">
        <v>3</v>
      </c>
      <c r="D626" s="3"/>
      <c r="E626" s="31" t="s">
        <v>3120</v>
      </c>
      <c r="F626" s="15" t="s">
        <v>3121</v>
      </c>
      <c r="G626" s="31" t="str">
        <f t="shared" si="55"/>
        <v>050212 (Budidaya Biota Laut Tuna)</v>
      </c>
      <c r="H626" s="3"/>
      <c r="I626" s="16" t="s">
        <v>3122</v>
      </c>
      <c r="J626" s="52">
        <v>600786</v>
      </c>
      <c r="K626" s="16" t="str">
        <f t="shared" si="48"/>
        <v>600786 (PT BPR Wijaya Prima)</v>
      </c>
    </row>
    <row r="627" spans="1:11" ht="12.75" customHeight="1" x14ac:dyDescent="0.35">
      <c r="A627" s="50" t="s">
        <v>3123</v>
      </c>
      <c r="B627" s="73">
        <v>10</v>
      </c>
      <c r="C627" s="33" t="str">
        <f t="shared" ref="C627:C635" si="60">CONCATENATE(B627," (",A627,")")</f>
        <v>10 (KUR sektor pariwisata)</v>
      </c>
      <c r="D627" s="3"/>
      <c r="E627" s="31" t="s">
        <v>3124</v>
      </c>
      <c r="F627" s="15" t="s">
        <v>3125</v>
      </c>
      <c r="G627" s="31" t="str">
        <f t="shared" si="55"/>
        <v>050213 (Budidaya Biota Laut Rumput Laut)</v>
      </c>
      <c r="H627" s="3"/>
      <c r="I627" s="16" t="s">
        <v>3126</v>
      </c>
      <c r="J627" s="52">
        <v>600787</v>
      </c>
      <c r="K627" s="16" t="str">
        <f t="shared" si="48"/>
        <v>600787 (PT. BPR Mandiri Artha Abadi)</v>
      </c>
    </row>
    <row r="628" spans="1:11" ht="12.75" customHeight="1" x14ac:dyDescent="0.35">
      <c r="A628" s="50" t="s">
        <v>3127</v>
      </c>
      <c r="B628" s="73">
        <v>11</v>
      </c>
      <c r="C628" s="33" t="str">
        <f t="shared" si="60"/>
        <v>11 (KUR untuk usaha pertambangan garam rakyat)</v>
      </c>
      <c r="D628" s="3"/>
      <c r="E628" s="31" t="s">
        <v>3128</v>
      </c>
      <c r="F628" s="15" t="s">
        <v>3129</v>
      </c>
      <c r="G628" s="31" t="str">
        <f t="shared" si="55"/>
        <v>050219 (Budidaya Biota Laut Lainnya)</v>
      </c>
      <c r="H628" s="3"/>
      <c r="I628" s="16" t="s">
        <v>3130</v>
      </c>
      <c r="J628" s="52">
        <v>600788</v>
      </c>
      <c r="K628" s="16" t="str">
        <f t="shared" si="48"/>
        <v>600788 (PT. BPR Bintang Mitra)</v>
      </c>
    </row>
    <row r="629" spans="1:11" ht="12.75" customHeight="1" x14ac:dyDescent="0.35">
      <c r="A629" s="50" t="s">
        <v>3131</v>
      </c>
      <c r="B629" s="73">
        <v>12</v>
      </c>
      <c r="C629" s="33" t="str">
        <f t="shared" si="60"/>
        <v>12 (KUR sektor pertanian, perburuan dan kehutanan)</v>
      </c>
      <c r="D629" s="3"/>
      <c r="E629" s="31" t="s">
        <v>3132</v>
      </c>
      <c r="F629" s="15" t="s">
        <v>3133</v>
      </c>
      <c r="G629" s="31" t="str">
        <f t="shared" si="55"/>
        <v>050220 (Pembenihan Biota Laut)</v>
      </c>
      <c r="H629" s="3"/>
      <c r="I629" s="16" t="s">
        <v>3134</v>
      </c>
      <c r="J629" s="52">
        <v>600789</v>
      </c>
      <c r="K629" s="16" t="str">
        <f t="shared" si="48"/>
        <v>600789 (PT. BPR Anugerah Harta Kaliwungu)</v>
      </c>
    </row>
    <row r="630" spans="1:11" ht="12.75" customHeight="1" x14ac:dyDescent="0.35">
      <c r="A630" s="50" t="s">
        <v>3135</v>
      </c>
      <c r="B630" s="73">
        <v>13</v>
      </c>
      <c r="C630" s="33" t="str">
        <f t="shared" si="60"/>
        <v>13 (KUR sektor kelautan dan perikanan;)</v>
      </c>
      <c r="D630" s="3"/>
      <c r="E630" s="31" t="s">
        <v>3136</v>
      </c>
      <c r="F630" s="15" t="s">
        <v>3137</v>
      </c>
      <c r="G630" s="31" t="str">
        <f t="shared" si="55"/>
        <v>050310 (Penangkapan Ikan di Perairan Umum)</v>
      </c>
      <c r="H630" s="3"/>
      <c r="I630" s="16" t="s">
        <v>3138</v>
      </c>
      <c r="J630" s="52">
        <v>600790</v>
      </c>
      <c r="K630" s="16" t="str">
        <f t="shared" si="48"/>
        <v>600790 (PT. BPR Nusamba Brondong)</v>
      </c>
    </row>
    <row r="631" spans="1:11" ht="12.75" customHeight="1" x14ac:dyDescent="0.35">
      <c r="A631" s="50" t="s">
        <v>3139</v>
      </c>
      <c r="B631" s="73">
        <v>14</v>
      </c>
      <c r="C631" s="33" t="str">
        <f t="shared" si="60"/>
        <v>14 (KUR sektor industri pengolahan)</v>
      </c>
      <c r="D631" s="3"/>
      <c r="E631" s="31" t="s">
        <v>3140</v>
      </c>
      <c r="F631" s="15" t="s">
        <v>3141</v>
      </c>
      <c r="G631" s="31" t="str">
        <f t="shared" si="55"/>
        <v>050320 (Penangkapan Crustacea, Mollusca, dan Biota Lainnya di Perairan Umum)</v>
      </c>
      <c r="H631" s="3"/>
      <c r="I631" s="16" t="s">
        <v>3142</v>
      </c>
      <c r="J631" s="52">
        <v>600791</v>
      </c>
      <c r="K631" s="16" t="str">
        <f t="shared" si="48"/>
        <v>600791 (PT. BPR Paro Tua)</v>
      </c>
    </row>
    <row r="632" spans="1:11" ht="12.75" customHeight="1" x14ac:dyDescent="0.35">
      <c r="A632" s="50" t="s">
        <v>3143</v>
      </c>
      <c r="B632" s="73">
        <v>15</v>
      </c>
      <c r="C632" s="33" t="str">
        <f t="shared" si="60"/>
        <v>15 (KUR sektor konstruksi)</v>
      </c>
      <c r="D632" s="3"/>
      <c r="E632" s="31" t="s">
        <v>3144</v>
      </c>
      <c r="F632" s="15" t="s">
        <v>3145</v>
      </c>
      <c r="G632" s="31" t="str">
        <f t="shared" si="55"/>
        <v>050411 (Budidaya Biota Air Tawar Udang)</v>
      </c>
      <c r="H632" s="3"/>
      <c r="I632" s="16" t="s">
        <v>3146</v>
      </c>
      <c r="J632" s="52">
        <v>600792</v>
      </c>
      <c r="K632" s="16" t="str">
        <f t="shared" si="48"/>
        <v>600792 (PT BPR Sejahtera Kendari )</v>
      </c>
    </row>
    <row r="633" spans="1:11" ht="12.75" customHeight="1" x14ac:dyDescent="0.35">
      <c r="A633" s="50" t="s">
        <v>3147</v>
      </c>
      <c r="B633" s="73">
        <v>16</v>
      </c>
      <c r="C633" s="33" t="str">
        <f t="shared" si="60"/>
        <v>16 (KUR sektor jasa produksi)</v>
      </c>
      <c r="D633" s="3"/>
      <c r="E633" s="31" t="s">
        <v>3148</v>
      </c>
      <c r="F633" s="15" t="s">
        <v>3149</v>
      </c>
      <c r="G633" s="31" t="str">
        <f t="shared" si="55"/>
        <v>050419 (Budidaya Biota Air Tawar Lainnya)</v>
      </c>
      <c r="H633" s="3"/>
      <c r="I633" s="16" t="s">
        <v>3150</v>
      </c>
      <c r="J633" s="52">
        <v>600793</v>
      </c>
      <c r="K633" s="16" t="str">
        <f t="shared" si="48"/>
        <v>600793 (PT. BPR Danakerja Putra)</v>
      </c>
    </row>
    <row r="634" spans="1:11" ht="12.75" customHeight="1" x14ac:dyDescent="0.35">
      <c r="A634" s="50" t="s">
        <v>3151</v>
      </c>
      <c r="B634" s="73">
        <v>17</v>
      </c>
      <c r="C634" s="33" t="str">
        <f t="shared" si="60"/>
        <v>17 (KUR sektor produksi lainnya)</v>
      </c>
      <c r="D634" s="3"/>
      <c r="E634" s="31" t="s">
        <v>3152</v>
      </c>
      <c r="F634" s="15" t="s">
        <v>3153</v>
      </c>
      <c r="G634" s="31" t="str">
        <f t="shared" si="55"/>
        <v>050421 (Budidaya Biota Air Payau  Udang)</v>
      </c>
      <c r="H634" s="3"/>
      <c r="I634" s="16" t="s">
        <v>3154</v>
      </c>
      <c r="J634" s="52">
        <v>600794</v>
      </c>
      <c r="K634" s="16" t="str">
        <f t="shared" si="48"/>
        <v>600794 (PT BPR Sejahtera Baubau)</v>
      </c>
    </row>
    <row r="635" spans="1:11" ht="12.75" customHeight="1" x14ac:dyDescent="0.35">
      <c r="A635" s="50" t="s">
        <v>3155</v>
      </c>
      <c r="B635" s="73">
        <v>99</v>
      </c>
      <c r="C635" s="33" t="str">
        <f t="shared" si="60"/>
        <v>99 (KUR kepada Sektor Lainnya)</v>
      </c>
      <c r="D635" s="3"/>
      <c r="E635" s="31" t="s">
        <v>3156</v>
      </c>
      <c r="F635" s="15" t="s">
        <v>3157</v>
      </c>
      <c r="G635" s="31" t="str">
        <f t="shared" si="55"/>
        <v>050429 (Budidaya Biota Air Payau  Lainnya)</v>
      </c>
      <c r="H635" s="3"/>
      <c r="I635" s="16" t="s">
        <v>3158</v>
      </c>
      <c r="J635" s="52">
        <v>600795</v>
      </c>
      <c r="K635" s="16" t="str">
        <f t="shared" si="48"/>
        <v>600795 (PT. BPR Arta Swasembada Mojokerto)</v>
      </c>
    </row>
    <row r="636" spans="1:11" ht="12.75" customHeight="1" x14ac:dyDescent="0.35">
      <c r="A636" s="3"/>
      <c r="B636" s="2"/>
      <c r="C636" s="3"/>
      <c r="D636" s="3"/>
      <c r="E636" s="31" t="s">
        <v>3159</v>
      </c>
      <c r="F636" s="15" t="s">
        <v>3160</v>
      </c>
      <c r="G636" s="31" t="str">
        <f t="shared" si="55"/>
        <v>050490 (Pembenihan Biota Air Tawar dan  Air Payau)</v>
      </c>
      <c r="H636" s="3"/>
      <c r="I636" s="16" t="s">
        <v>3161</v>
      </c>
      <c r="J636" s="52">
        <v>600798</v>
      </c>
      <c r="K636" s="16" t="str">
        <f t="shared" si="48"/>
        <v>600798 (PT. BPR Benta Tesa)</v>
      </c>
    </row>
    <row r="637" spans="1:11" ht="12.75" customHeight="1" x14ac:dyDescent="0.35">
      <c r="A637" s="3" t="s">
        <v>2268</v>
      </c>
      <c r="B637" s="2"/>
      <c r="C637" s="3"/>
      <c r="D637" s="3"/>
      <c r="E637" s="31" t="s">
        <v>3162</v>
      </c>
      <c r="F637" s="15" t="s">
        <v>3163</v>
      </c>
      <c r="G637" s="31" t="str">
        <f t="shared" si="55"/>
        <v>050510 (Jasa Sarana Produksi Perikanan Laut)</v>
      </c>
      <c r="H637" s="3"/>
      <c r="I637" s="16" t="s">
        <v>3164</v>
      </c>
      <c r="J637" s="52">
        <v>600799</v>
      </c>
      <c r="K637" s="16" t="str">
        <f t="shared" si="48"/>
        <v>600799 (PT. BPR Ukabima Lestari)</v>
      </c>
    </row>
    <row r="638" spans="1:11" ht="12.75" customHeight="1" x14ac:dyDescent="0.35">
      <c r="A638" s="9" t="s">
        <v>3165</v>
      </c>
      <c r="B638" s="9" t="s">
        <v>2</v>
      </c>
      <c r="C638" s="10" t="s">
        <v>3</v>
      </c>
      <c r="D638" s="3"/>
      <c r="E638" s="31" t="s">
        <v>3166</v>
      </c>
      <c r="F638" s="15" t="s">
        <v>3167</v>
      </c>
      <c r="G638" s="31" t="str">
        <f t="shared" si="55"/>
        <v>050580 (Jasa Sarana Produksi Perikanan Darat)</v>
      </c>
      <c r="H638" s="3"/>
      <c r="I638" s="16" t="s">
        <v>3168</v>
      </c>
      <c r="J638" s="52">
        <v>600800</v>
      </c>
      <c r="K638" s="16" t="str">
        <f t="shared" si="48"/>
        <v>600800 (PT. BPR Sumber Usahawan Bersama)</v>
      </c>
    </row>
    <row r="639" spans="1:11" ht="12.75" customHeight="1" x14ac:dyDescent="0.35">
      <c r="A639" s="41" t="s">
        <v>2312</v>
      </c>
      <c r="B639" s="28">
        <v>1</v>
      </c>
      <c r="C639" s="40" t="str">
        <f t="shared" ref="C639:C641" si="61">CONCATENATE(B639," (",A639,")")</f>
        <v>1 (Lancar)</v>
      </c>
      <c r="D639" s="3"/>
      <c r="E639" s="31" t="s">
        <v>3169</v>
      </c>
      <c r="F639" s="15" t="s">
        <v>3170</v>
      </c>
      <c r="G639" s="31" t="str">
        <f t="shared" si="55"/>
        <v>050590 (Jasa Perikanan Lainnya)</v>
      </c>
      <c r="H639" s="3"/>
      <c r="I639" s="16" t="s">
        <v>3171</v>
      </c>
      <c r="J639" s="52">
        <v>600801</v>
      </c>
      <c r="K639" s="16" t="str">
        <f t="shared" si="48"/>
        <v>600801 (PT. BPR Ronabasa)</v>
      </c>
    </row>
    <row r="640" spans="1:11" ht="12.75" customHeight="1" x14ac:dyDescent="0.35">
      <c r="A640" s="41" t="s">
        <v>2315</v>
      </c>
      <c r="B640" s="28">
        <v>3</v>
      </c>
      <c r="C640" s="40" t="str">
        <f t="shared" si="61"/>
        <v>3 (Kurang Lancar)</v>
      </c>
      <c r="D640" s="3"/>
      <c r="E640" s="31" t="s">
        <v>3172</v>
      </c>
      <c r="F640" s="15">
        <v>101000</v>
      </c>
      <c r="G640" s="31" t="str">
        <f t="shared" si="55"/>
        <v>101000 (Pertambangan Batubara, Penggalian Gambut, dan Gasifikasi Batubara)</v>
      </c>
      <c r="H640" s="3"/>
      <c r="I640" s="16" t="s">
        <v>3173</v>
      </c>
      <c r="J640" s="52">
        <v>600802</v>
      </c>
      <c r="K640" s="16" t="str">
        <f t="shared" si="48"/>
        <v>600802 (PT. BPR Taman Dhana)</v>
      </c>
    </row>
    <row r="641" spans="1:11" ht="12.75" customHeight="1" x14ac:dyDescent="0.35">
      <c r="A641" s="41" t="s">
        <v>2317</v>
      </c>
      <c r="B641" s="28">
        <v>5</v>
      </c>
      <c r="C641" s="40" t="str">
        <f t="shared" si="61"/>
        <v>5 (Macet)</v>
      </c>
      <c r="D641" s="3"/>
      <c r="E641" s="31" t="s">
        <v>3174</v>
      </c>
      <c r="F641" s="15">
        <v>102000</v>
      </c>
      <c r="G641" s="31" t="str">
        <f t="shared" si="55"/>
        <v>102000 (Pembuatan Briket Batubara)</v>
      </c>
      <c r="H641" s="3"/>
      <c r="I641" s="16" t="s">
        <v>3175</v>
      </c>
      <c r="J641" s="52">
        <v>600803</v>
      </c>
      <c r="K641" s="16" t="str">
        <f t="shared" si="48"/>
        <v>600803 (PT. BPR Paro Laba)</v>
      </c>
    </row>
    <row r="642" spans="1:11" ht="12.75" customHeight="1" x14ac:dyDescent="0.35">
      <c r="A642" s="3"/>
      <c r="B642" s="2"/>
      <c r="C642" s="3"/>
      <c r="D642" s="3"/>
      <c r="E642" s="31" t="s">
        <v>3176</v>
      </c>
      <c r="F642" s="15">
        <v>111010</v>
      </c>
      <c r="G642" s="31" t="str">
        <f t="shared" si="55"/>
        <v>111010 (Pertambangan Minyak dan Gas Bumi)</v>
      </c>
      <c r="H642" s="3"/>
      <c r="I642" s="16" t="s">
        <v>3177</v>
      </c>
      <c r="J642" s="52">
        <v>600804</v>
      </c>
      <c r="K642" s="16" t="str">
        <f t="shared" si="48"/>
        <v>600804 (PT. BPR Ganda Lata)</v>
      </c>
    </row>
    <row r="643" spans="1:11" ht="12.75" customHeight="1" x14ac:dyDescent="0.35">
      <c r="A643" s="3" t="s">
        <v>2268</v>
      </c>
      <c r="B643" s="2"/>
      <c r="C643" s="3"/>
      <c r="D643" s="3"/>
      <c r="E643" s="31" t="s">
        <v>3178</v>
      </c>
      <c r="F643" s="15">
        <v>111020</v>
      </c>
      <c r="G643" s="31" t="str">
        <f t="shared" si="55"/>
        <v>111020 (Pengusahaan Tenaga Panas Bumi)</v>
      </c>
      <c r="H643" s="3"/>
      <c r="I643" s="16" t="s">
        <v>3179</v>
      </c>
      <c r="J643" s="52">
        <v>600805</v>
      </c>
      <c r="K643" s="16" t="str">
        <f t="shared" si="48"/>
        <v>600805 (PT. BPR Surabaya Lestari)</v>
      </c>
    </row>
    <row r="644" spans="1:11" ht="12.75" customHeight="1" x14ac:dyDescent="0.35">
      <c r="A644" s="4" t="s">
        <v>3180</v>
      </c>
      <c r="B644" s="4" t="s">
        <v>2</v>
      </c>
      <c r="C644" s="4" t="s">
        <v>3</v>
      </c>
      <c r="D644" s="3"/>
      <c r="E644" s="31" t="s">
        <v>3181</v>
      </c>
      <c r="F644" s="15">
        <v>112000</v>
      </c>
      <c r="G644" s="31" t="str">
        <f t="shared" si="55"/>
        <v>112000 (Jasa Pertambangan Minyak dan Gas Bumi)</v>
      </c>
      <c r="H644" s="3"/>
      <c r="I644" s="16" t="s">
        <v>3182</v>
      </c>
      <c r="J644" s="52">
        <v>600806</v>
      </c>
      <c r="K644" s="16" t="str">
        <f t="shared" si="48"/>
        <v>600806 (PT. BPR Ratna Artha Pusaka)</v>
      </c>
    </row>
    <row r="645" spans="1:11" ht="12.75" customHeight="1" x14ac:dyDescent="0.35">
      <c r="A645" s="26" t="s">
        <v>3183</v>
      </c>
      <c r="B645" s="70">
        <v>1</v>
      </c>
      <c r="C645" s="33" t="str">
        <f t="shared" ref="C645:C647" si="62">CONCATENATE(B645," (",A645,")")</f>
        <v>1 (Surat Berharga yang diterbitkan Bank Indonesia)</v>
      </c>
      <c r="D645" s="3"/>
      <c r="E645" s="31" t="s">
        <v>3184</v>
      </c>
      <c r="F645" s="15">
        <v>120000</v>
      </c>
      <c r="G645" s="31" t="str">
        <f t="shared" si="55"/>
        <v>120000 (Pertambangan Bijih Uranium dan Thorium)</v>
      </c>
      <c r="H645" s="3"/>
      <c r="I645" s="16" t="s">
        <v>3185</v>
      </c>
      <c r="J645" s="52">
        <v>600807</v>
      </c>
      <c r="K645" s="16" t="str">
        <f t="shared" si="48"/>
        <v>600807 (PT. BPR Danamas Makmur)</v>
      </c>
    </row>
    <row r="646" spans="1:11" ht="12.75" customHeight="1" x14ac:dyDescent="0.35">
      <c r="A646" s="26" t="s">
        <v>3186</v>
      </c>
      <c r="B646" s="70">
        <v>2</v>
      </c>
      <c r="C646" s="33" t="str">
        <f t="shared" si="62"/>
        <v>2 (Surat Berharga yang diterbitkan Pemerintah)</v>
      </c>
      <c r="D646" s="3"/>
      <c r="E646" s="31" t="s">
        <v>3187</v>
      </c>
      <c r="F646" s="15">
        <v>131000</v>
      </c>
      <c r="G646" s="31" t="str">
        <f t="shared" si="55"/>
        <v>131000 (Pertambangan Pasir Besi dan Bijih Besi)</v>
      </c>
      <c r="H646" s="3"/>
      <c r="I646" s="16" t="s">
        <v>3188</v>
      </c>
      <c r="J646" s="52">
        <v>600809</v>
      </c>
      <c r="K646" s="16" t="str">
        <f t="shared" si="48"/>
        <v>600809 (PT. BPR Perdana Lintas Khatulistiwa)</v>
      </c>
    </row>
    <row r="647" spans="1:11" ht="12.75" customHeight="1" x14ac:dyDescent="0.35">
      <c r="A647" s="26" t="s">
        <v>3189</v>
      </c>
      <c r="B647" s="70">
        <v>3</v>
      </c>
      <c r="C647" s="33" t="str">
        <f t="shared" si="62"/>
        <v>3 (Surat Berharga yang diterbitkan Pemerintah Daerah)</v>
      </c>
      <c r="D647" s="3"/>
      <c r="E647" s="31" t="s">
        <v>3190</v>
      </c>
      <c r="F647" s="15">
        <v>132010</v>
      </c>
      <c r="G647" s="31" t="str">
        <f t="shared" si="55"/>
        <v>132010 (Pertambangan Bijih Timah)</v>
      </c>
      <c r="H647" s="3"/>
      <c r="I647" s="16" t="s">
        <v>3191</v>
      </c>
      <c r="J647" s="52">
        <v>600810</v>
      </c>
      <c r="K647" s="16" t="str">
        <f t="shared" si="48"/>
        <v>600810 (PT. BPR Arta Waru Surya)</v>
      </c>
    </row>
    <row r="648" spans="1:11" ht="12.75" customHeight="1" x14ac:dyDescent="0.35">
      <c r="A648" s="3"/>
      <c r="B648" s="2"/>
      <c r="C648" s="3"/>
      <c r="D648" s="3"/>
      <c r="E648" s="31" t="s">
        <v>3192</v>
      </c>
      <c r="F648" s="15">
        <v>132020</v>
      </c>
      <c r="G648" s="31" t="str">
        <f t="shared" si="55"/>
        <v>132020 (Pertambangan Bijih Bauksit)</v>
      </c>
      <c r="H648" s="3"/>
      <c r="I648" s="16" t="s">
        <v>3193</v>
      </c>
      <c r="J648" s="52">
        <v>600811</v>
      </c>
      <c r="K648" s="16" t="str">
        <f t="shared" si="48"/>
        <v>600811 (PT BPR Barelang Mandiri)</v>
      </c>
    </row>
    <row r="649" spans="1:11" ht="12.75" customHeight="1" x14ac:dyDescent="0.35">
      <c r="A649" s="3" t="s">
        <v>3194</v>
      </c>
      <c r="B649" s="2"/>
      <c r="C649" s="3"/>
      <c r="D649" s="3"/>
      <c r="E649" s="31" t="s">
        <v>3195</v>
      </c>
      <c r="F649" s="15">
        <v>132030</v>
      </c>
      <c r="G649" s="31" t="str">
        <f t="shared" si="55"/>
        <v>132030 (Pertambangan Bijih Tembaga)</v>
      </c>
      <c r="H649" s="3"/>
      <c r="I649" s="16" t="s">
        <v>3196</v>
      </c>
      <c r="J649" s="52">
        <v>600813</v>
      </c>
      <c r="K649" s="16" t="str">
        <f t="shared" si="48"/>
        <v>600813 (PT. BPR Danaputra Sakti)</v>
      </c>
    </row>
    <row r="650" spans="1:11" ht="12.75" customHeight="1" x14ac:dyDescent="0.35">
      <c r="A650" s="4" t="s">
        <v>3197</v>
      </c>
      <c r="B650" s="4" t="s">
        <v>2</v>
      </c>
      <c r="C650" s="4" t="s">
        <v>3</v>
      </c>
      <c r="D650" s="3"/>
      <c r="E650" s="31" t="s">
        <v>3198</v>
      </c>
      <c r="F650" s="15">
        <v>132040</v>
      </c>
      <c r="G650" s="31" t="str">
        <f t="shared" si="55"/>
        <v>132040 (Pertambangan Bijih Nikel)</v>
      </c>
      <c r="H650" s="3"/>
      <c r="I650" s="16" t="s">
        <v>3199</v>
      </c>
      <c r="J650" s="52">
        <v>600814</v>
      </c>
      <c r="K650" s="16" t="str">
        <f t="shared" si="48"/>
        <v>600814 (PT. BPR Semarang Margatama Gunadana)</v>
      </c>
    </row>
    <row r="651" spans="1:11" ht="12.75" customHeight="1" x14ac:dyDescent="0.35">
      <c r="A651" s="26" t="s">
        <v>15</v>
      </c>
      <c r="B651" s="70">
        <v>1</v>
      </c>
      <c r="C651" s="33" t="str">
        <f t="shared" ref="C651:C656" si="63">CONCATENATE(B651," (",A651,")")</f>
        <v>1 (Moody’s Investor Service)</v>
      </c>
      <c r="D651" s="3"/>
      <c r="E651" s="31" t="s">
        <v>3200</v>
      </c>
      <c r="F651" s="15">
        <v>132061</v>
      </c>
      <c r="G651" s="31" t="str">
        <f t="shared" si="55"/>
        <v>132061 (Pertambangan Emas)</v>
      </c>
      <c r="H651" s="3"/>
      <c r="I651" s="16" t="s">
        <v>3201</v>
      </c>
      <c r="J651" s="52">
        <v>600815</v>
      </c>
      <c r="K651" s="16" t="str">
        <f t="shared" si="48"/>
        <v>600815 (PT. BPR Pandaan Arta Jaya)</v>
      </c>
    </row>
    <row r="652" spans="1:11" ht="12.75" customHeight="1" x14ac:dyDescent="0.35">
      <c r="A652" s="26" t="s">
        <v>16</v>
      </c>
      <c r="B652" s="70">
        <v>2</v>
      </c>
      <c r="C652" s="33" t="str">
        <f t="shared" si="63"/>
        <v>2 (Standard and Poor’s)</v>
      </c>
      <c r="D652" s="3"/>
      <c r="E652" s="31" t="s">
        <v>3202</v>
      </c>
      <c r="F652" s="15">
        <v>132062</v>
      </c>
      <c r="G652" s="31" t="str">
        <f t="shared" si="55"/>
        <v>132062 (Pertambangan Perak)</v>
      </c>
      <c r="H652" s="3"/>
      <c r="I652" s="16" t="s">
        <v>3203</v>
      </c>
      <c r="J652" s="52">
        <v>600816</v>
      </c>
      <c r="K652" s="16" t="str">
        <f t="shared" si="48"/>
        <v>600816 (PT. BPR Olympindo Sejahtera)</v>
      </c>
    </row>
    <row r="653" spans="1:11" ht="12.75" customHeight="1" x14ac:dyDescent="0.35">
      <c r="A653" s="26" t="s">
        <v>17</v>
      </c>
      <c r="B653" s="70">
        <v>3</v>
      </c>
      <c r="C653" s="33" t="str">
        <f t="shared" si="63"/>
        <v>3 (Fitch Rating Internasional)</v>
      </c>
      <c r="D653" s="3"/>
      <c r="E653" s="31" t="s">
        <v>3204</v>
      </c>
      <c r="F653" s="15">
        <v>132090</v>
      </c>
      <c r="G653" s="31" t="str">
        <f t="shared" si="55"/>
        <v>132090 (Bahan Galian Lainnya yang Tidak Mengandung Bijih Besi)</v>
      </c>
      <c r="H653" s="3"/>
      <c r="I653" s="16" t="s">
        <v>3205</v>
      </c>
      <c r="J653" s="52">
        <v>600817</v>
      </c>
      <c r="K653" s="16" t="str">
        <f t="shared" si="48"/>
        <v>600817 (PD. BPR Tanggo Rajo)</v>
      </c>
    </row>
    <row r="654" spans="1:11" ht="12.75" customHeight="1" x14ac:dyDescent="0.35">
      <c r="A654" s="26" t="s">
        <v>18</v>
      </c>
      <c r="B654" s="70">
        <v>4</v>
      </c>
      <c r="C654" s="33" t="str">
        <f t="shared" si="63"/>
        <v>4 (Pemeringkat Efek Indonesia (Pefindo))</v>
      </c>
      <c r="D654" s="3"/>
      <c r="E654" s="31" t="s">
        <v>3206</v>
      </c>
      <c r="F654" s="15">
        <v>141000</v>
      </c>
      <c r="G654" s="31" t="str">
        <f t="shared" si="55"/>
        <v>141000 (Penggalian Batu-batuan, Tanah Liat  dan Pasir)</v>
      </c>
      <c r="H654" s="3"/>
      <c r="I654" s="16" t="s">
        <v>3207</v>
      </c>
      <c r="J654" s="52">
        <v>600819</v>
      </c>
      <c r="K654" s="16" t="str">
        <f t="shared" si="48"/>
        <v>600819 (PT. BPR Adil Jaya Artha)</v>
      </c>
    </row>
    <row r="655" spans="1:11" ht="12.75" customHeight="1" x14ac:dyDescent="0.35">
      <c r="A655" s="26" t="s">
        <v>19</v>
      </c>
      <c r="B655" s="70">
        <v>5</v>
      </c>
      <c r="C655" s="33" t="str">
        <f t="shared" ref="C655" si="64">CONCATENATE(B655," (",A655,")")</f>
        <v>5 (Fitch Rating Indonesia)</v>
      </c>
      <c r="D655" s="3"/>
      <c r="E655" s="31"/>
      <c r="F655" s="15"/>
      <c r="G655" s="31"/>
      <c r="H655" s="3"/>
      <c r="I655" s="16"/>
      <c r="J655" s="52"/>
      <c r="K655" s="16"/>
    </row>
    <row r="656" spans="1:11" ht="12.75" customHeight="1" x14ac:dyDescent="0.35">
      <c r="A656" s="26" t="s">
        <v>6098</v>
      </c>
      <c r="B656" s="70">
        <v>9</v>
      </c>
      <c r="C656" s="33" t="str">
        <f t="shared" si="63"/>
        <v>9 (Tidak memiliki peringkat atau memiliki peringkat yang diterbitkan oleh lembaga pemeringkat yang tidak diakui Otoritas Jasa Keuangan)</v>
      </c>
      <c r="D656" s="3"/>
      <c r="E656" s="31" t="s">
        <v>3208</v>
      </c>
      <c r="F656" s="15">
        <v>142100</v>
      </c>
      <c r="G656" s="31" t="str">
        <f t="shared" si="55"/>
        <v>142100 (Pertambangan Mineral, Bahan Kimia dan Bahan Pupuk)</v>
      </c>
      <c r="H656" s="3"/>
      <c r="I656" s="16" t="s">
        <v>3209</v>
      </c>
      <c r="J656" s="52">
        <v>600820</v>
      </c>
      <c r="K656" s="16" t="str">
        <f t="shared" si="48"/>
        <v>600820 (PT. BPR Surya Dana Karya)</v>
      </c>
    </row>
    <row r="657" spans="1:11" ht="12.75" customHeight="1" x14ac:dyDescent="0.35">
      <c r="A657" s="3"/>
      <c r="B657" s="2"/>
      <c r="C657" s="3"/>
      <c r="D657" s="3"/>
      <c r="E657" s="31" t="s">
        <v>3210</v>
      </c>
      <c r="F657" s="15">
        <v>142200</v>
      </c>
      <c r="G657" s="31" t="str">
        <f t="shared" si="55"/>
        <v>142200 (Ekstraksi Garam)</v>
      </c>
      <c r="H657" s="3"/>
      <c r="I657" s="16" t="s">
        <v>3211</v>
      </c>
      <c r="J657" s="52">
        <v>600821</v>
      </c>
      <c r="K657" s="16" t="str">
        <f t="shared" si="48"/>
        <v>600821 (PT. BPR Hara Lata Kolaka)</v>
      </c>
    </row>
    <row r="658" spans="1:11" ht="12.75" customHeight="1" x14ac:dyDescent="0.35">
      <c r="A658" s="3" t="s">
        <v>3212</v>
      </c>
      <c r="B658" s="2"/>
      <c r="C658" s="3"/>
      <c r="D658" s="3"/>
      <c r="E658" s="31" t="s">
        <v>3213</v>
      </c>
      <c r="F658" s="15">
        <v>142900</v>
      </c>
      <c r="G658" s="31" t="str">
        <f t="shared" si="55"/>
        <v>142900 (Pertambangan dan Penggalian Lainnya)</v>
      </c>
      <c r="H658" s="3"/>
      <c r="I658" s="16" t="s">
        <v>3214</v>
      </c>
      <c r="J658" s="52">
        <v>600822</v>
      </c>
      <c r="K658" s="16" t="str">
        <f t="shared" si="48"/>
        <v>600822 (PT. BPR Sepanjang Sumber Dharma Artha)</v>
      </c>
    </row>
    <row r="659" spans="1:11" ht="12.75" customHeight="1" x14ac:dyDescent="0.35">
      <c r="A659" s="4" t="s">
        <v>3215</v>
      </c>
      <c r="B659" s="4" t="s">
        <v>2</v>
      </c>
      <c r="C659" s="4" t="s">
        <v>3</v>
      </c>
      <c r="D659" s="3"/>
      <c r="E659" s="31" t="s">
        <v>3216</v>
      </c>
      <c r="F659" s="15">
        <v>151110</v>
      </c>
      <c r="G659" s="31" t="str">
        <f t="shared" si="55"/>
        <v>151110 (Industri Pemotongan Hewan)</v>
      </c>
      <c r="H659" s="3"/>
      <c r="I659" s="16" t="s">
        <v>3217</v>
      </c>
      <c r="J659" s="52">
        <v>600823</v>
      </c>
      <c r="K659" s="16" t="str">
        <f t="shared" si="48"/>
        <v>600823 (PT. BPR Sulawesi Mandiri)</v>
      </c>
    </row>
    <row r="660" spans="1:11" ht="12.75" customHeight="1" x14ac:dyDescent="0.35">
      <c r="A660" s="70" t="s">
        <v>3218</v>
      </c>
      <c r="B660" s="70">
        <v>10</v>
      </c>
      <c r="C660" s="51" t="str">
        <f t="shared" ref="C660:C661" si="65">CONCATENATE(B660," (",A660,")")</f>
        <v>10 (Tagihan Fraud)</v>
      </c>
      <c r="D660" s="3"/>
      <c r="E660" s="31" t="s">
        <v>3219</v>
      </c>
      <c r="F660" s="15">
        <v>151120</v>
      </c>
      <c r="G660" s="31" t="str">
        <f t="shared" si="55"/>
        <v>151120 (Industri Pengolahan dan Pengawetan Daging)</v>
      </c>
      <c r="H660" s="3"/>
      <c r="I660" s="16" t="s">
        <v>3220</v>
      </c>
      <c r="J660" s="52">
        <v>600824</v>
      </c>
      <c r="K660" s="16" t="str">
        <f t="shared" si="48"/>
        <v>600824 (PT. BPR Taman Adimakmur)</v>
      </c>
    </row>
    <row r="661" spans="1:11" ht="12.75" customHeight="1" x14ac:dyDescent="0.35">
      <c r="A661" s="70" t="s">
        <v>3221</v>
      </c>
      <c r="B661" s="70">
        <v>99</v>
      </c>
      <c r="C661" s="51" t="str">
        <f t="shared" si="65"/>
        <v>99 (Tagihan Lainnya)</v>
      </c>
      <c r="D661" s="3"/>
      <c r="E661" s="31" t="s">
        <v>3222</v>
      </c>
      <c r="F661" s="15">
        <v>151200</v>
      </c>
      <c r="G661" s="31" t="str">
        <f t="shared" si="55"/>
        <v>151200 (Industri Pengolahan dan Pengawetan Ikan dan Biota Perairan Lainnya)</v>
      </c>
      <c r="H661" s="3"/>
      <c r="I661" s="16" t="s">
        <v>3223</v>
      </c>
      <c r="J661" s="52">
        <v>600825</v>
      </c>
      <c r="K661" s="16" t="str">
        <f t="shared" si="48"/>
        <v>600825 (PT. BPR Danagung Abadi)</v>
      </c>
    </row>
    <row r="662" spans="1:11" ht="12.75" customHeight="1" x14ac:dyDescent="0.35">
      <c r="A662" s="3"/>
      <c r="B662" s="2"/>
      <c r="C662" s="3"/>
      <c r="D662" s="3"/>
      <c r="E662" s="31" t="s">
        <v>3224</v>
      </c>
      <c r="F662" s="15">
        <v>151300</v>
      </c>
      <c r="G662" s="31" t="str">
        <f t="shared" si="55"/>
        <v>151300 (Industri Pengolahan, Pengawetan Buah-buahan dan Sayuran)</v>
      </c>
      <c r="H662" s="3"/>
      <c r="I662" s="16" t="s">
        <v>3225</v>
      </c>
      <c r="J662" s="52">
        <v>600826</v>
      </c>
      <c r="K662" s="16" t="str">
        <f t="shared" si="48"/>
        <v>600826 (PT BPR Satyadhana Artha)</v>
      </c>
    </row>
    <row r="663" spans="1:11" ht="12.75" customHeight="1" x14ac:dyDescent="0.35">
      <c r="A663" s="3" t="s">
        <v>3226</v>
      </c>
      <c r="B663" s="2"/>
      <c r="C663" s="3"/>
      <c r="D663" s="3"/>
      <c r="E663" s="31" t="s">
        <v>3227</v>
      </c>
      <c r="F663" s="15">
        <v>151410</v>
      </c>
      <c r="G663" s="31" t="str">
        <f t="shared" si="55"/>
        <v>151410 (Industri Minyak Mentah (Minyak Makan) dari Nabati dan Hewani)</v>
      </c>
      <c r="H663" s="3"/>
      <c r="I663" s="16" t="s">
        <v>3228</v>
      </c>
      <c r="J663" s="52">
        <v>600827</v>
      </c>
      <c r="K663" s="16" t="str">
        <f t="shared" si="48"/>
        <v>600827 (PT. BPR Pemberdayaan Ekonomi Rakyat)</v>
      </c>
    </row>
    <row r="664" spans="1:11" ht="12.75" customHeight="1" x14ac:dyDescent="0.35">
      <c r="A664" s="4" t="s">
        <v>3229</v>
      </c>
      <c r="B664" s="4" t="s">
        <v>2</v>
      </c>
      <c r="C664" s="4" t="s">
        <v>3</v>
      </c>
      <c r="D664" s="3"/>
      <c r="E664" s="31" t="s">
        <v>3230</v>
      </c>
      <c r="F664" s="15">
        <v>151430</v>
      </c>
      <c r="G664" s="31" t="str">
        <f t="shared" si="55"/>
        <v>151430 (lndustri Minyak Goreng dari Kelapa)</v>
      </c>
      <c r="H664" s="3"/>
      <c r="I664" s="16" t="s">
        <v>3231</v>
      </c>
      <c r="J664" s="52">
        <v>600828</v>
      </c>
      <c r="K664" s="16" t="str">
        <f t="shared" si="48"/>
        <v>600828 (PT. BPR Buana Dana Makmur)</v>
      </c>
    </row>
    <row r="665" spans="1:11" ht="12.75" customHeight="1" x14ac:dyDescent="0.35">
      <c r="A665" s="70" t="s">
        <v>3232</v>
      </c>
      <c r="B665" s="70">
        <v>1</v>
      </c>
      <c r="C665" s="51" t="str">
        <f t="shared" ref="C665:C667" si="66">CONCATENATE(B665," (",A665,")")</f>
        <v>1 (Tanah)</v>
      </c>
      <c r="D665" s="3"/>
      <c r="E665" s="31" t="s">
        <v>3233</v>
      </c>
      <c r="F665" s="15">
        <v>151440</v>
      </c>
      <c r="G665" s="31" t="str">
        <f t="shared" si="55"/>
        <v>151440 (Industri Minyak Goreng dari Kelapa Sawit Mentah)</v>
      </c>
      <c r="H665" s="3"/>
      <c r="I665" s="16" t="s">
        <v>3234</v>
      </c>
      <c r="J665" s="52">
        <v>600829</v>
      </c>
      <c r="K665" s="16" t="str">
        <f t="shared" si="48"/>
        <v>600829 (PT. BPR Pundi Masyarakat)</v>
      </c>
    </row>
    <row r="666" spans="1:11" ht="12.75" customHeight="1" x14ac:dyDescent="0.35">
      <c r="A666" s="70" t="s">
        <v>3235</v>
      </c>
      <c r="B666" s="70">
        <v>2</v>
      </c>
      <c r="C666" s="51" t="str">
        <f t="shared" si="66"/>
        <v>2 (Bangunan)</v>
      </c>
      <c r="D666" s="3"/>
      <c r="E666" s="31" t="s">
        <v>3236</v>
      </c>
      <c r="F666" s="15">
        <v>151450</v>
      </c>
      <c r="G666" s="31" t="str">
        <f t="shared" si="55"/>
        <v>151450 (Industri Minyak Goreng dari Biji Kelapa Sawit)</v>
      </c>
      <c r="H666" s="3"/>
      <c r="I666" s="16" t="s">
        <v>3237</v>
      </c>
      <c r="J666" s="52">
        <v>600830</v>
      </c>
      <c r="K666" s="16" t="str">
        <f t="shared" si="48"/>
        <v>600830 (PT. BPR Sinardana Buana)</v>
      </c>
    </row>
    <row r="667" spans="1:11" ht="12.75" customHeight="1" x14ac:dyDescent="0.35">
      <c r="A667" s="70" t="s">
        <v>3238</v>
      </c>
      <c r="B667" s="70">
        <v>3</v>
      </c>
      <c r="C667" s="51" t="str">
        <f t="shared" si="66"/>
        <v>3 (Tanah dan Bangunan)</v>
      </c>
      <c r="D667" s="3"/>
      <c r="E667" s="31" t="s">
        <v>3239</v>
      </c>
      <c r="F667" s="15">
        <v>152000</v>
      </c>
      <c r="G667" s="31" t="str">
        <f t="shared" si="55"/>
        <v>152000 (Industri Susu dan Makanan dari Susu)</v>
      </c>
      <c r="H667" s="3"/>
      <c r="I667" s="16" t="s">
        <v>3240</v>
      </c>
      <c r="J667" s="52">
        <v>600831</v>
      </c>
      <c r="K667" s="16" t="str">
        <f t="shared" si="48"/>
        <v>600831 (PT. BPR Suar Data)</v>
      </c>
    </row>
    <row r="668" spans="1:11" ht="12.75" customHeight="1" x14ac:dyDescent="0.35">
      <c r="A668" s="3"/>
      <c r="B668" s="2"/>
      <c r="C668" s="3"/>
      <c r="D668" s="3"/>
      <c r="E668" s="31" t="s">
        <v>3241</v>
      </c>
      <c r="F668" s="15">
        <v>153110</v>
      </c>
      <c r="G668" s="31" t="str">
        <f t="shared" si="55"/>
        <v>153110 (Industri Penggilingan Padi dan Penyosohan Beras)</v>
      </c>
      <c r="H668" s="3"/>
      <c r="I668" s="16" t="s">
        <v>3242</v>
      </c>
      <c r="J668" s="52">
        <v>600832</v>
      </c>
      <c r="K668" s="16" t="str">
        <f t="shared" si="48"/>
        <v>600832 (PT. BPR Bumi Sanggabuana)</v>
      </c>
    </row>
    <row r="669" spans="1:11" ht="12.75" customHeight="1" x14ac:dyDescent="0.35">
      <c r="A669" s="3" t="s">
        <v>3243</v>
      </c>
      <c r="B669" s="2"/>
      <c r="C669" s="3"/>
      <c r="D669" s="3"/>
      <c r="E669" s="31" t="s">
        <v>3244</v>
      </c>
      <c r="F669" s="15">
        <v>153180</v>
      </c>
      <c r="G669" s="31" t="str">
        <f t="shared" si="55"/>
        <v>153180 (lndustri Kopra)</v>
      </c>
      <c r="H669" s="3"/>
      <c r="I669" s="16" t="s">
        <v>3245</v>
      </c>
      <c r="J669" s="52">
        <v>600833</v>
      </c>
      <c r="K669" s="16" t="str">
        <f t="shared" si="48"/>
        <v>600833 (PT. BPR Pataru Laba)</v>
      </c>
    </row>
    <row r="670" spans="1:11" ht="12.75" customHeight="1" x14ac:dyDescent="0.35">
      <c r="A670" s="4" t="s">
        <v>3246</v>
      </c>
      <c r="B670" s="4" t="s">
        <v>2</v>
      </c>
      <c r="C670" s="4" t="s">
        <v>3</v>
      </c>
      <c r="D670" s="3"/>
      <c r="E670" s="31" t="s">
        <v>3247</v>
      </c>
      <c r="F670" s="15">
        <v>153190</v>
      </c>
      <c r="G670" s="31" t="str">
        <f t="shared" si="55"/>
        <v>153190 (Industri Penggilingan Lainnya)</v>
      </c>
      <c r="H670" s="3"/>
      <c r="I670" s="16" t="s">
        <v>3248</v>
      </c>
      <c r="J670" s="52">
        <v>600834</v>
      </c>
      <c r="K670" s="16" t="str">
        <f t="shared" si="48"/>
        <v>600834 (PT. BPR Bandataman)</v>
      </c>
    </row>
    <row r="671" spans="1:11" ht="12.75" customHeight="1" x14ac:dyDescent="0.35">
      <c r="A671" s="70" t="s">
        <v>3249</v>
      </c>
      <c r="B671" s="70">
        <v>1</v>
      </c>
      <c r="C671" s="51" t="str">
        <f t="shared" ref="C671:C672" si="67">CONCATENATE(B671," (",A671,")")</f>
        <v>1 (Biaya Perolehan)</v>
      </c>
      <c r="D671" s="3"/>
      <c r="E671" s="31" t="s">
        <v>3250</v>
      </c>
      <c r="F671" s="15">
        <v>153200</v>
      </c>
      <c r="G671" s="31" t="str">
        <f t="shared" si="55"/>
        <v>153200 (Industri Tepung dan Pati)</v>
      </c>
      <c r="H671" s="3"/>
      <c r="I671" s="16" t="s">
        <v>3251</v>
      </c>
      <c r="J671" s="52">
        <v>600835</v>
      </c>
      <c r="K671" s="16" t="str">
        <f t="shared" si="48"/>
        <v>600835 (PT. BPR Citra Dana Mandiri)</v>
      </c>
    </row>
    <row r="672" spans="1:11" ht="12.75" customHeight="1" x14ac:dyDescent="0.35">
      <c r="A672" s="70" t="s">
        <v>3252</v>
      </c>
      <c r="B672" s="70">
        <v>2</v>
      </c>
      <c r="C672" s="51" t="str">
        <f t="shared" si="67"/>
        <v>2 (Metode Ekuitas)</v>
      </c>
      <c r="D672" s="3"/>
      <c r="E672" s="31" t="s">
        <v>3253</v>
      </c>
      <c r="F672" s="15">
        <v>153300</v>
      </c>
      <c r="G672" s="31" t="str">
        <f t="shared" si="55"/>
        <v>153300 (Industri Pakan Ternak)</v>
      </c>
      <c r="H672" s="3"/>
      <c r="I672" s="16" t="s">
        <v>3254</v>
      </c>
      <c r="J672" s="52">
        <v>600836</v>
      </c>
      <c r="K672" s="16" t="str">
        <f t="shared" si="48"/>
        <v>600836 (PT. BPR Sumber Arthawaru Agung)</v>
      </c>
    </row>
    <row r="673" spans="1:11" ht="12.75" customHeight="1" x14ac:dyDescent="0.35">
      <c r="A673" s="3"/>
      <c r="B673" s="2"/>
      <c r="C673" s="3"/>
      <c r="D673" s="3"/>
      <c r="E673" s="31" t="s">
        <v>3255</v>
      </c>
      <c r="F673" s="15">
        <v>154000</v>
      </c>
      <c r="G673" s="31" t="str">
        <f t="shared" si="55"/>
        <v>154000 (Industri Makanan Lainnya)</v>
      </c>
      <c r="H673" s="3"/>
      <c r="I673" s="16" t="s">
        <v>3256</v>
      </c>
      <c r="J673" s="52">
        <v>600837</v>
      </c>
      <c r="K673" s="16" t="str">
        <f t="shared" si="48"/>
        <v>600837 (PT. BPR Nusumma Jatim)</v>
      </c>
    </row>
    <row r="674" spans="1:11" ht="12.75" customHeight="1" x14ac:dyDescent="0.35">
      <c r="A674" s="3" t="s">
        <v>3243</v>
      </c>
      <c r="B674" s="2"/>
      <c r="C674" s="3"/>
      <c r="D674" s="3"/>
      <c r="E674" s="31" t="s">
        <v>3257</v>
      </c>
      <c r="F674" s="15">
        <v>154100</v>
      </c>
      <c r="G674" s="31" t="str">
        <f t="shared" si="55"/>
        <v>154100 (Industri Roti  dan Sejenisnya)</v>
      </c>
      <c r="H674" s="3"/>
      <c r="I674" s="16" t="s">
        <v>3258</v>
      </c>
      <c r="J674" s="52">
        <v>600838</v>
      </c>
      <c r="K674" s="16" t="str">
        <f t="shared" si="48"/>
        <v>600838 (PT BPR Utama Kita Mandiri)</v>
      </c>
    </row>
    <row r="675" spans="1:11" ht="12.75" customHeight="1" x14ac:dyDescent="0.35">
      <c r="A675" s="4" t="s">
        <v>3259</v>
      </c>
      <c r="B675" s="4" t="s">
        <v>2</v>
      </c>
      <c r="C675" s="4" t="s">
        <v>3</v>
      </c>
      <c r="D675" s="3"/>
      <c r="E675" s="31" t="s">
        <v>3260</v>
      </c>
      <c r="F675" s="15">
        <v>154200</v>
      </c>
      <c r="G675" s="31" t="str">
        <f t="shared" si="55"/>
        <v>154200 (Industri Gula dan Pengolahan Gula)</v>
      </c>
      <c r="H675" s="3"/>
      <c r="I675" s="16" t="s">
        <v>3261</v>
      </c>
      <c r="J675" s="52">
        <v>600839</v>
      </c>
      <c r="K675" s="16" t="str">
        <f t="shared" si="48"/>
        <v>600839 (PT. BPR Central Niaga)</v>
      </c>
    </row>
    <row r="676" spans="1:11" ht="12.75" customHeight="1" x14ac:dyDescent="0.35">
      <c r="A676" s="70" t="s">
        <v>2312</v>
      </c>
      <c r="B676" s="70">
        <v>1</v>
      </c>
      <c r="C676" s="51" t="str">
        <f t="shared" ref="C676:C679" si="68">CONCATENATE(B676," (",A676,")")</f>
        <v>1 (Lancar)</v>
      </c>
      <c r="D676" s="3"/>
      <c r="E676" s="31" t="s">
        <v>3262</v>
      </c>
      <c r="F676" s="15">
        <v>154300</v>
      </c>
      <c r="G676" s="31" t="str">
        <f t="shared" si="55"/>
        <v>154300 (Industri Coklat dan Kernbang Gula)</v>
      </c>
      <c r="H676" s="3"/>
      <c r="I676" s="16" t="s">
        <v>3263</v>
      </c>
      <c r="J676" s="52">
        <v>600840</v>
      </c>
      <c r="K676" s="16" t="str">
        <f t="shared" si="48"/>
        <v>600840 (PT. BPR Artha Senapati)</v>
      </c>
    </row>
    <row r="677" spans="1:11" ht="12.75" customHeight="1" x14ac:dyDescent="0.35">
      <c r="A677" s="70" t="s">
        <v>2315</v>
      </c>
      <c r="B677" s="70">
        <v>3</v>
      </c>
      <c r="C677" s="51" t="str">
        <f t="shared" si="68"/>
        <v>3 (Kurang Lancar)</v>
      </c>
      <c r="D677" s="3"/>
      <c r="E677" s="31" t="s">
        <v>3264</v>
      </c>
      <c r="F677" s="15">
        <v>154400</v>
      </c>
      <c r="G677" s="31" t="str">
        <f t="shared" si="55"/>
        <v>154400 (Industri Makaroni, Mie, Spagheti, Bihun, So'un dan Sejenisnya)</v>
      </c>
      <c r="H677" s="3"/>
      <c r="I677" s="16" t="s">
        <v>3265</v>
      </c>
      <c r="J677" s="52">
        <v>600841</v>
      </c>
      <c r="K677" s="16" t="str">
        <f t="shared" si="48"/>
        <v>600841 (PT. BPR Paro Dana)</v>
      </c>
    </row>
    <row r="678" spans="1:11" ht="12.75" customHeight="1" x14ac:dyDescent="0.35">
      <c r="A678" s="70" t="s">
        <v>2514</v>
      </c>
      <c r="B678" s="70">
        <v>4</v>
      </c>
      <c r="C678" s="51" t="str">
        <f t="shared" si="68"/>
        <v>4 (Diragukan)</v>
      </c>
      <c r="D678" s="3"/>
      <c r="E678" s="31" t="s">
        <v>3266</v>
      </c>
      <c r="F678" s="15">
        <v>154911</v>
      </c>
      <c r="G678" s="31" t="str">
        <f t="shared" si="55"/>
        <v>154911 (Industri Pengolahan Teh)</v>
      </c>
      <c r="H678" s="3"/>
      <c r="I678" s="16" t="s">
        <v>3267</v>
      </c>
      <c r="J678" s="52">
        <v>600842</v>
      </c>
      <c r="K678" s="16" t="str">
        <f t="shared" si="48"/>
        <v>600842 (PT. BPR Surasari Hutama)</v>
      </c>
    </row>
    <row r="679" spans="1:11" ht="12.75" customHeight="1" x14ac:dyDescent="0.35">
      <c r="A679" s="70" t="s">
        <v>2317</v>
      </c>
      <c r="B679" s="70">
        <v>5</v>
      </c>
      <c r="C679" s="51" t="str">
        <f t="shared" si="68"/>
        <v>5 (Macet)</v>
      </c>
      <c r="D679" s="3"/>
      <c r="E679" s="31" t="s">
        <v>3268</v>
      </c>
      <c r="F679" s="15">
        <v>154912</v>
      </c>
      <c r="G679" s="31" t="str">
        <f t="shared" si="55"/>
        <v>154912 (Industri Pengolahan  Kopi)</v>
      </c>
      <c r="H679" s="3"/>
      <c r="I679" s="16" t="s">
        <v>3269</v>
      </c>
      <c r="J679" s="52">
        <v>600843</v>
      </c>
      <c r="K679" s="16" t="str">
        <f t="shared" si="48"/>
        <v>600843 (PT. BPR Banksar Dana Loka)</v>
      </c>
    </row>
    <row r="680" spans="1:11" ht="12.75" customHeight="1" x14ac:dyDescent="0.35">
      <c r="A680" s="3"/>
      <c r="B680" s="2"/>
      <c r="C680" s="3"/>
      <c r="D680" s="3"/>
      <c r="E680" s="31" t="s">
        <v>3270</v>
      </c>
      <c r="F680" s="15">
        <v>154930</v>
      </c>
      <c r="G680" s="31" t="str">
        <f t="shared" si="55"/>
        <v>154930 (lndustri Kecap)</v>
      </c>
      <c r="H680" s="3"/>
      <c r="I680" s="16" t="s">
        <v>3271</v>
      </c>
      <c r="J680" s="52">
        <v>600844</v>
      </c>
      <c r="K680" s="16" t="str">
        <f t="shared" si="48"/>
        <v>600844 (PT. BPR G e n t e n g)</v>
      </c>
    </row>
    <row r="681" spans="1:11" ht="12.75" customHeight="1" x14ac:dyDescent="0.35">
      <c r="A681" s="3" t="s">
        <v>3243</v>
      </c>
      <c r="B681" s="2"/>
      <c r="C681" s="3"/>
      <c r="D681" s="3"/>
      <c r="E681" s="31" t="s">
        <v>3272</v>
      </c>
      <c r="F681" s="15">
        <v>154940</v>
      </c>
      <c r="G681" s="31" t="str">
        <f t="shared" si="55"/>
        <v>154940 (lndustri Tempe dan Tahu)</v>
      </c>
      <c r="H681" s="3"/>
      <c r="I681" s="16" t="s">
        <v>3273</v>
      </c>
      <c r="J681" s="52">
        <v>600845</v>
      </c>
      <c r="K681" s="16" t="str">
        <f t="shared" si="48"/>
        <v>600845 (PT. BPR Intidana Sukses Makmur)</v>
      </c>
    </row>
    <row r="682" spans="1:11" ht="12.75" customHeight="1" x14ac:dyDescent="0.35">
      <c r="A682" s="4" t="s">
        <v>3274</v>
      </c>
      <c r="B682" s="4" t="s">
        <v>2</v>
      </c>
      <c r="C682" s="4" t="s">
        <v>3</v>
      </c>
      <c r="D682" s="3"/>
      <c r="E682" s="31" t="s">
        <v>3275</v>
      </c>
      <c r="F682" s="15">
        <v>154990</v>
      </c>
      <c r="G682" s="31" t="str">
        <f t="shared" si="55"/>
        <v>154990 (lndustri Makanan yang Tidak Diklasifikasikan di Tempat Lain)</v>
      </c>
      <c r="H682" s="3"/>
      <c r="I682" s="16" t="s">
        <v>3276</v>
      </c>
      <c r="J682" s="52">
        <v>600846</v>
      </c>
      <c r="K682" s="16" t="str">
        <f t="shared" si="48"/>
        <v>600846 (PT. BPR Inti Danita)</v>
      </c>
    </row>
    <row r="683" spans="1:11" ht="12.75" customHeight="1" x14ac:dyDescent="0.35">
      <c r="A683" s="70" t="s">
        <v>3277</v>
      </c>
      <c r="B683" s="70">
        <v>1</v>
      </c>
      <c r="C683" s="51" t="str">
        <f t="shared" ref="C683:C684" si="69">CONCATENATE(B683," (",A683,")")</f>
        <v>1 (Dalam Rangka Investasi - Penyertaan pada Lembaga Penunjang)</v>
      </c>
      <c r="D683" s="3"/>
      <c r="E683" s="31" t="s">
        <v>3278</v>
      </c>
      <c r="F683" s="15">
        <v>155000</v>
      </c>
      <c r="G683" s="31" t="str">
        <f t="shared" si="55"/>
        <v>155000 (Industri Minuman)</v>
      </c>
      <c r="H683" s="3"/>
      <c r="I683" s="16" t="s">
        <v>3279</v>
      </c>
      <c r="J683" s="52">
        <v>600847</v>
      </c>
      <c r="K683" s="16" t="str">
        <f t="shared" si="48"/>
        <v>600847 (PT. BPR Restu Klaten Makmur)</v>
      </c>
    </row>
    <row r="684" spans="1:11" ht="12.75" customHeight="1" x14ac:dyDescent="0.35">
      <c r="A684" s="70" t="s">
        <v>331</v>
      </c>
      <c r="B684" s="70">
        <v>9</v>
      </c>
      <c r="C684" s="51" t="str">
        <f t="shared" si="69"/>
        <v>9 (Lainnya)</v>
      </c>
      <c r="D684" s="3"/>
      <c r="E684" s="31" t="s">
        <v>3280</v>
      </c>
      <c r="F684" s="15">
        <v>160010</v>
      </c>
      <c r="G684" s="31" t="str">
        <f t="shared" si="55"/>
        <v>160010 (lndustri Pengeringan dan Pengolahan Tembakau)</v>
      </c>
      <c r="H684" s="3"/>
      <c r="I684" s="16" t="s">
        <v>3281</v>
      </c>
      <c r="J684" s="52">
        <v>600848</v>
      </c>
      <c r="K684" s="16" t="str">
        <f t="shared" si="48"/>
        <v>600848 (PT. BPR Saranasukses Gemah Ripah)</v>
      </c>
    </row>
    <row r="685" spans="1:11" ht="12.75" customHeight="1" x14ac:dyDescent="0.35">
      <c r="A685" s="70"/>
      <c r="B685" s="70"/>
      <c r="C685" s="51"/>
      <c r="D685" s="3"/>
      <c r="E685" s="31" t="s">
        <v>3282</v>
      </c>
      <c r="F685" s="15">
        <v>160050</v>
      </c>
      <c r="G685" s="31" t="str">
        <f t="shared" si="55"/>
        <v>160050 (Industri Rokok)</v>
      </c>
      <c r="H685" s="3"/>
      <c r="I685" s="16" t="s">
        <v>3283</v>
      </c>
      <c r="J685" s="52">
        <v>600849</v>
      </c>
      <c r="K685" s="16" t="str">
        <f t="shared" si="48"/>
        <v>600849 (PT. BPR Payung Negeri Bestari)</v>
      </c>
    </row>
    <row r="686" spans="1:11" ht="12.75" customHeight="1" x14ac:dyDescent="0.35">
      <c r="A686" s="70"/>
      <c r="B686" s="70"/>
      <c r="C686" s="51"/>
      <c r="D686" s="3"/>
      <c r="E686" s="31" t="s">
        <v>3284</v>
      </c>
      <c r="F686" s="15">
        <v>160090</v>
      </c>
      <c r="G686" s="31" t="str">
        <f t="shared" si="55"/>
        <v>160090 (Industri Bumbu Rokok Serta Kelengkapan Rokok Lainnya)</v>
      </c>
      <c r="H686" s="3"/>
      <c r="I686" s="16" t="s">
        <v>3285</v>
      </c>
      <c r="J686" s="52">
        <v>600850</v>
      </c>
      <c r="K686" s="16" t="str">
        <f t="shared" si="48"/>
        <v>600850 (PT BPR Dhasatra Artha Sempurna)</v>
      </c>
    </row>
    <row r="687" spans="1:11" ht="12.75" customHeight="1" x14ac:dyDescent="0.35">
      <c r="A687" s="3"/>
      <c r="B687" s="2"/>
      <c r="C687" s="3"/>
      <c r="D687" s="3"/>
      <c r="E687" s="31" t="s">
        <v>3286</v>
      </c>
      <c r="F687" s="15">
        <v>171000</v>
      </c>
      <c r="G687" s="31" t="str">
        <f t="shared" si="55"/>
        <v>171000 (Industri Pemintalan, Pertenunan, Pengolahan Akhir Tekstil)</v>
      </c>
      <c r="H687" s="3"/>
      <c r="I687" s="16" t="s">
        <v>3287</v>
      </c>
      <c r="J687" s="52">
        <v>600851</v>
      </c>
      <c r="K687" s="16" t="str">
        <f t="shared" si="48"/>
        <v>600851 (PT. BPR Artha Tual)</v>
      </c>
    </row>
    <row r="688" spans="1:11" ht="12.75" customHeight="1" x14ac:dyDescent="0.35">
      <c r="A688" s="3" t="s">
        <v>3288</v>
      </c>
      <c r="B688" s="2"/>
      <c r="C688" s="3"/>
      <c r="D688" s="3"/>
      <c r="E688" s="31" t="s">
        <v>3289</v>
      </c>
      <c r="F688" s="15">
        <v>172000</v>
      </c>
      <c r="G688" s="31" t="str">
        <f t="shared" si="55"/>
        <v>172000 (Industri Barang Jadi Tekstil dan Permadani)</v>
      </c>
      <c r="H688" s="3"/>
      <c r="I688" s="16" t="s">
        <v>3290</v>
      </c>
      <c r="J688" s="52">
        <v>600852</v>
      </c>
      <c r="K688" s="16" t="str">
        <f t="shared" si="48"/>
        <v>600852 (PT. BPR Bintang Mas Maesan)</v>
      </c>
    </row>
    <row r="689" spans="1:11" ht="12.75" customHeight="1" x14ac:dyDescent="0.35">
      <c r="A689" s="4" t="s">
        <v>3291</v>
      </c>
      <c r="B689" s="4" t="s">
        <v>2</v>
      </c>
      <c r="C689" s="4" t="s">
        <v>3</v>
      </c>
      <c r="D689" s="3"/>
      <c r="E689" s="31" t="s">
        <v>3292</v>
      </c>
      <c r="F689" s="15">
        <v>173000</v>
      </c>
      <c r="G689" s="31" t="str">
        <f t="shared" si="55"/>
        <v>173000 (Industri Perajutan Industri Perajutan)</v>
      </c>
      <c r="H689" s="3"/>
      <c r="I689" s="16" t="s">
        <v>3293</v>
      </c>
      <c r="J689" s="52">
        <v>600853</v>
      </c>
      <c r="K689" s="16" t="str">
        <f t="shared" si="48"/>
        <v>600853 (PT. BPR Sumber Arta)</v>
      </c>
    </row>
    <row r="690" spans="1:11" ht="12.75" customHeight="1" x14ac:dyDescent="0.35">
      <c r="A690" s="70" t="s">
        <v>3294</v>
      </c>
      <c r="B690" s="70">
        <v>1</v>
      </c>
      <c r="C690" s="70" t="str">
        <f t="shared" ref="C690:C691" si="70">CONCATENATE(B690," (",A690,")")</f>
        <v>1 (Arranger)</v>
      </c>
      <c r="D690" s="3"/>
      <c r="E690" s="31" t="s">
        <v>3295</v>
      </c>
      <c r="F690" s="15">
        <v>174000</v>
      </c>
      <c r="G690" s="31" t="str">
        <f t="shared" si="55"/>
        <v>174000 (Industri Kapuk)</v>
      </c>
      <c r="H690" s="3"/>
      <c r="I690" s="16" t="s">
        <v>3296</v>
      </c>
      <c r="J690" s="52">
        <v>600854</v>
      </c>
      <c r="K690" s="16" t="str">
        <f t="shared" si="48"/>
        <v>600854 (PT. BPR Artha Mukti Santosa)</v>
      </c>
    </row>
    <row r="691" spans="1:11" ht="12.75" customHeight="1" x14ac:dyDescent="0.35">
      <c r="A691" s="70" t="s">
        <v>3297</v>
      </c>
      <c r="B691" s="70">
        <v>2</v>
      </c>
      <c r="C691" s="70" t="str">
        <f t="shared" si="70"/>
        <v>2 (Anggota Sindikasi)</v>
      </c>
      <c r="D691" s="3"/>
      <c r="E691" s="31" t="s">
        <v>3298</v>
      </c>
      <c r="F691" s="15">
        <v>181000</v>
      </c>
      <c r="G691" s="31" t="str">
        <f t="shared" si="55"/>
        <v>181000 (Industri Pakaian Jadi dan perlengkapannya, Kecuali Pakaian Jadi Berbulu)</v>
      </c>
      <c r="H691" s="3"/>
      <c r="I691" s="16" t="s">
        <v>3299</v>
      </c>
      <c r="J691" s="52">
        <v>600855</v>
      </c>
      <c r="K691" s="16" t="str">
        <f t="shared" si="48"/>
        <v>600855 (PT. BPR Jwalita)</v>
      </c>
    </row>
    <row r="692" spans="1:11" ht="12.75" customHeight="1" x14ac:dyDescent="0.35">
      <c r="A692" s="3"/>
      <c r="B692" s="2"/>
      <c r="C692" s="3"/>
      <c r="D692" s="3"/>
      <c r="E692" s="31" t="s">
        <v>3300</v>
      </c>
      <c r="F692" s="15">
        <v>182000</v>
      </c>
      <c r="G692" s="31" t="str">
        <f t="shared" si="55"/>
        <v>182000 (Industri Pakaian Jadi Barang Jadi dari Kulit Berbulu dan Pencelupan Bulu)</v>
      </c>
      <c r="H692" s="3"/>
      <c r="I692" s="16" t="s">
        <v>3301</v>
      </c>
      <c r="J692" s="52">
        <v>600856</v>
      </c>
      <c r="K692" s="16" t="str">
        <f t="shared" si="48"/>
        <v>600856 (PT. BPR Porong Lestari)</v>
      </c>
    </row>
    <row r="693" spans="1:11" ht="12.75" customHeight="1" x14ac:dyDescent="0.35">
      <c r="A693" s="3" t="s">
        <v>3302</v>
      </c>
      <c r="B693" s="2"/>
      <c r="C693" s="3"/>
      <c r="D693" s="3"/>
      <c r="E693" s="31" t="s">
        <v>3303</v>
      </c>
      <c r="F693" s="15">
        <v>191000</v>
      </c>
      <c r="G693" s="31" t="str">
        <f t="shared" si="55"/>
        <v>191000 (Industri Kulit dan Barang dari Kulit (Termasuk Kulit Buatan))</v>
      </c>
      <c r="H693" s="3"/>
      <c r="I693" s="16" t="s">
        <v>3304</v>
      </c>
      <c r="J693" s="52">
        <v>600857</v>
      </c>
      <c r="K693" s="16" t="str">
        <f t="shared" si="48"/>
        <v>600857 (PT. BPR Artha Tanah Mas)</v>
      </c>
    </row>
    <row r="694" spans="1:11" ht="12.75" customHeight="1" x14ac:dyDescent="0.35">
      <c r="A694" s="4" t="s">
        <v>3305</v>
      </c>
      <c r="B694" s="4" t="s">
        <v>2</v>
      </c>
      <c r="C694" s="4" t="s">
        <v>3</v>
      </c>
      <c r="D694" s="3"/>
      <c r="E694" s="31" t="s">
        <v>3306</v>
      </c>
      <c r="F694" s="15">
        <v>192000</v>
      </c>
      <c r="G694" s="31" t="str">
        <f t="shared" si="55"/>
        <v>192000 (Industri Alas Kaki)</v>
      </c>
      <c r="H694" s="3"/>
      <c r="I694" s="16" t="s">
        <v>3307</v>
      </c>
      <c r="J694" s="52">
        <v>600858</v>
      </c>
      <c r="K694" s="16" t="str">
        <f t="shared" si="48"/>
        <v>600858 (PT. BPR Mitra Arta Mulia)</v>
      </c>
    </row>
    <row r="695" spans="1:11" ht="12.75" customHeight="1" x14ac:dyDescent="0.35">
      <c r="A695" s="70" t="s">
        <v>3308</v>
      </c>
      <c r="B695" s="70">
        <v>1</v>
      </c>
      <c r="C695" s="70" t="str">
        <f t="shared" ref="C695:C696" si="71">CONCATENATE(B695," (",A695,")")</f>
        <v>1 (PEP)</v>
      </c>
      <c r="D695" s="3"/>
      <c r="E695" s="31" t="s">
        <v>3309</v>
      </c>
      <c r="F695" s="15">
        <v>201000</v>
      </c>
      <c r="G695" s="31" t="str">
        <f t="shared" si="55"/>
        <v>201000 (Industri Penggergajian dan Pengawetan Kayu, Rotan, Bambu, dan Sejenisnya)</v>
      </c>
      <c r="H695" s="3"/>
      <c r="I695" s="16" t="s">
        <v>3310</v>
      </c>
      <c r="J695" s="52">
        <v>600859</v>
      </c>
      <c r="K695" s="16" t="str">
        <f t="shared" si="48"/>
        <v>600859 (PT. BPR Mitra Niaga Banggai)</v>
      </c>
    </row>
    <row r="696" spans="1:11" ht="12.75" customHeight="1" x14ac:dyDescent="0.35">
      <c r="A696" s="70" t="s">
        <v>3311</v>
      </c>
      <c r="B696" s="70">
        <v>2</v>
      </c>
      <c r="C696" s="70" t="str">
        <f t="shared" si="71"/>
        <v>2 (Bukan PEP)</v>
      </c>
      <c r="D696" s="3"/>
      <c r="E696" s="31" t="s">
        <v>3312</v>
      </c>
      <c r="F696" s="15">
        <v>202100</v>
      </c>
      <c r="G696" s="31" t="str">
        <f t="shared" si="55"/>
        <v>202100 (Industri Kayu Lapis, Veneer, dan Sejenisnya)</v>
      </c>
      <c r="H696" s="3"/>
      <c r="I696" s="16" t="s">
        <v>3313</v>
      </c>
      <c r="J696" s="52">
        <v>600860</v>
      </c>
      <c r="K696" s="16" t="str">
        <f t="shared" si="48"/>
        <v>600860 (PT. BPR Danumas Binadhana)</v>
      </c>
    </row>
    <row r="697" spans="1:11" ht="12.75" customHeight="1" x14ac:dyDescent="0.35">
      <c r="A697" s="3"/>
      <c r="B697" s="2"/>
      <c r="C697" s="3"/>
      <c r="D697" s="3"/>
      <c r="E697" s="31" t="s">
        <v>3314</v>
      </c>
      <c r="F697" s="15">
        <v>202900</v>
      </c>
      <c r="G697" s="31" t="str">
        <f t="shared" si="55"/>
        <v>202900 (Industri Anyam-anyaman, Kerajinan, Ukiran dari Kayu, dan Industri Barang Lain dari Kayu)</v>
      </c>
      <c r="H697" s="3"/>
      <c r="I697" s="16" t="s">
        <v>3315</v>
      </c>
      <c r="J697" s="52">
        <v>600861</v>
      </c>
      <c r="K697" s="16" t="str">
        <f t="shared" si="48"/>
        <v>600861 (PT. BPR Nova Trijaya)</v>
      </c>
    </row>
    <row r="698" spans="1:11" ht="12.75" customHeight="1" x14ac:dyDescent="0.35">
      <c r="A698" s="3" t="s">
        <v>3302</v>
      </c>
      <c r="B698" s="2"/>
      <c r="C698" s="3"/>
      <c r="D698" s="3"/>
      <c r="E698" s="31" t="s">
        <v>3316</v>
      </c>
      <c r="F698" s="15">
        <v>210100</v>
      </c>
      <c r="G698" s="31" t="str">
        <f t="shared" si="55"/>
        <v>210100 (Industri Bubur Kertas (Pulp), Kertas dan Karton/Paper Board)</v>
      </c>
      <c r="H698" s="3"/>
      <c r="I698" s="16" t="s">
        <v>3317</v>
      </c>
      <c r="J698" s="52">
        <v>600862</v>
      </c>
      <c r="K698" s="16" t="str">
        <f t="shared" si="48"/>
        <v>600862 (PT. BPR Intan Kita)</v>
      </c>
    </row>
    <row r="699" spans="1:11" ht="12.75" customHeight="1" x14ac:dyDescent="0.35">
      <c r="A699" s="4" t="s">
        <v>3318</v>
      </c>
      <c r="B699" s="4" t="s">
        <v>2</v>
      </c>
      <c r="C699" s="4" t="s">
        <v>3</v>
      </c>
      <c r="D699" s="3"/>
      <c r="E699" s="31" t="s">
        <v>3319</v>
      </c>
      <c r="F699" s="15">
        <v>210200</v>
      </c>
      <c r="G699" s="31" t="str">
        <f t="shared" si="55"/>
        <v>210200 (Industri Kemasan dan Kotak dari Kertas dan Karton)</v>
      </c>
      <c r="H699" s="3"/>
      <c r="I699" s="16" t="s">
        <v>3320</v>
      </c>
      <c r="J699" s="52">
        <v>600863</v>
      </c>
      <c r="K699" s="16" t="str">
        <f t="shared" si="48"/>
        <v>600863 (PT. BPR Mitra Central Dana)</v>
      </c>
    </row>
    <row r="700" spans="1:11" ht="12.75" customHeight="1" x14ac:dyDescent="0.35">
      <c r="A700" s="70" t="s">
        <v>3321</v>
      </c>
      <c r="B700" s="70">
        <v>1</v>
      </c>
      <c r="C700" s="70" t="str">
        <f t="shared" ref="C700:C702" si="72">CONCATENATE(B700," (",A700,")")</f>
        <v>1 (Rendah)</v>
      </c>
      <c r="D700" s="3"/>
      <c r="E700" s="31" t="s">
        <v>3322</v>
      </c>
      <c r="F700" s="15">
        <v>210900</v>
      </c>
      <c r="G700" s="31" t="str">
        <f t="shared" si="55"/>
        <v>210900 (Industri Barang dari Kertas dan Kartan yang Tidak Diklasifikasikan di Tempat Lain)</v>
      </c>
      <c r="H700" s="3"/>
      <c r="I700" s="16" t="s">
        <v>3323</v>
      </c>
      <c r="J700" s="52">
        <v>600864</v>
      </c>
      <c r="K700" s="16" t="str">
        <f t="shared" si="48"/>
        <v>600864 (PT. BPR Parlaungan)</v>
      </c>
    </row>
    <row r="701" spans="1:11" ht="12.75" customHeight="1" x14ac:dyDescent="0.35">
      <c r="A701" s="70" t="s">
        <v>3324</v>
      </c>
      <c r="B701" s="70">
        <v>2</v>
      </c>
      <c r="C701" s="70" t="str">
        <f t="shared" si="72"/>
        <v>2 (Sedang)</v>
      </c>
      <c r="D701" s="3"/>
      <c r="E701" s="31" t="s">
        <v>3325</v>
      </c>
      <c r="F701" s="15">
        <v>221000</v>
      </c>
      <c r="G701" s="31" t="str">
        <f t="shared" si="55"/>
        <v>221000 (Industri Penerbitan)</v>
      </c>
      <c r="H701" s="3"/>
      <c r="I701" s="16" t="s">
        <v>3326</v>
      </c>
      <c r="J701" s="52">
        <v>600865</v>
      </c>
      <c r="K701" s="16" t="str">
        <f t="shared" si="48"/>
        <v>600865 (PT. BPR Artha Karya Perdana)</v>
      </c>
    </row>
    <row r="702" spans="1:11" ht="12.75" customHeight="1" x14ac:dyDescent="0.35">
      <c r="A702" s="70" t="s">
        <v>3327</v>
      </c>
      <c r="B702" s="70">
        <v>3</v>
      </c>
      <c r="C702" s="70" t="str">
        <f t="shared" si="72"/>
        <v>3 (Tinggi)</v>
      </c>
      <c r="D702" s="3"/>
      <c r="E702" s="31" t="s">
        <v>3328</v>
      </c>
      <c r="F702" s="15">
        <v>222000</v>
      </c>
      <c r="G702" s="31" t="str">
        <f t="shared" si="55"/>
        <v>222000 (Industri Percetakan dan Kegiatan yang Berkaitan Dengan Pencetakan Termasuk Reproduksi / Cetak Ulang))</v>
      </c>
      <c r="H702" s="3"/>
      <c r="I702" s="16" t="s">
        <v>3329</v>
      </c>
      <c r="J702" s="52">
        <v>600866</v>
      </c>
      <c r="K702" s="16" t="str">
        <f t="shared" si="48"/>
        <v>600866 (PT. BPR Kota Pasuruan)</v>
      </c>
    </row>
    <row r="703" spans="1:11" ht="12.75" customHeight="1" x14ac:dyDescent="0.35">
      <c r="A703" s="3"/>
      <c r="B703" s="2"/>
      <c r="C703" s="3"/>
      <c r="D703" s="3"/>
      <c r="E703" s="31" t="s">
        <v>3330</v>
      </c>
      <c r="F703" s="15">
        <v>223000</v>
      </c>
      <c r="G703" s="31" t="str">
        <f t="shared" si="55"/>
        <v>223000 (Reproduksi Media Rekaman, Film, dan Video)</v>
      </c>
      <c r="H703" s="3"/>
      <c r="I703" s="16" t="s">
        <v>3331</v>
      </c>
      <c r="J703" s="52">
        <v>600867</v>
      </c>
      <c r="K703" s="16" t="str">
        <f t="shared" si="48"/>
        <v>600867 (PT. BPR Putera Dana)</v>
      </c>
    </row>
    <row r="704" spans="1:11" ht="12.75" customHeight="1" x14ac:dyDescent="0.35">
      <c r="A704" s="3" t="s">
        <v>3302</v>
      </c>
      <c r="B704" s="2"/>
      <c r="C704" s="3"/>
      <c r="D704" s="3"/>
      <c r="E704" s="31" t="s">
        <v>3332</v>
      </c>
      <c r="F704" s="15">
        <v>231000</v>
      </c>
      <c r="G704" s="31" t="str">
        <f t="shared" si="55"/>
        <v>231000 (Industri Barang-barang dari Batubara)</v>
      </c>
      <c r="H704" s="3"/>
      <c r="I704" s="16" t="s">
        <v>3333</v>
      </c>
      <c r="J704" s="52">
        <v>600868</v>
      </c>
      <c r="K704" s="16" t="str">
        <f t="shared" si="48"/>
        <v>600868 (PT. BPR Bumi Masyarakat Sejahtera)</v>
      </c>
    </row>
    <row r="705" spans="1:11" ht="12.75" customHeight="1" x14ac:dyDescent="0.35">
      <c r="A705" s="4" t="s">
        <v>3334</v>
      </c>
      <c r="B705" s="4" t="s">
        <v>2</v>
      </c>
      <c r="C705" s="4" t="s">
        <v>3</v>
      </c>
      <c r="D705" s="3"/>
      <c r="E705" s="31" t="s">
        <v>3335</v>
      </c>
      <c r="F705" s="15">
        <v>232000</v>
      </c>
      <c r="G705" s="31" t="str">
        <f t="shared" si="55"/>
        <v>232000 (Industri Pengilangan Minyak Bumi, Pengolahan Gas Bumi, dan Industri Barang-barang dari Hasil Pengilangan Minyak Bumi)</v>
      </c>
      <c r="H705" s="3"/>
      <c r="I705" s="16" t="s">
        <v>3336</v>
      </c>
      <c r="J705" s="52">
        <v>600869</v>
      </c>
      <c r="K705" s="16" t="str">
        <f t="shared" si="48"/>
        <v>600869 (PT. BPR Multi Artha Mas Sejahtera)</v>
      </c>
    </row>
    <row r="706" spans="1:11" ht="12.75" customHeight="1" x14ac:dyDescent="0.35">
      <c r="A706" s="70" t="s">
        <v>3337</v>
      </c>
      <c r="B706" s="70">
        <v>1</v>
      </c>
      <c r="C706" s="70" t="str">
        <f t="shared" ref="C706:C707" si="73">CONCATENATE(B706," (",A706,")")</f>
        <v>1 (Terdapat pengkinian di bulan berjalan)</v>
      </c>
      <c r="D706" s="3"/>
      <c r="E706" s="31" t="s">
        <v>3338</v>
      </c>
      <c r="F706" s="15">
        <v>233000</v>
      </c>
      <c r="G706" s="31" t="str">
        <f t="shared" si="55"/>
        <v>233000 (Pengolahan Bahan Bakar Nuklir (Nuclear Fuel))</v>
      </c>
      <c r="H706" s="3"/>
      <c r="I706" s="16" t="s">
        <v>3339</v>
      </c>
      <c r="J706" s="52">
        <v>600871</v>
      </c>
      <c r="K706" s="16" t="str">
        <f t="shared" si="48"/>
        <v>600871 (PT. BPR Central Pitoby)</v>
      </c>
    </row>
    <row r="707" spans="1:11" ht="12.75" customHeight="1" x14ac:dyDescent="0.35">
      <c r="A707" s="70" t="s">
        <v>3340</v>
      </c>
      <c r="B707" s="70">
        <v>2</v>
      </c>
      <c r="C707" s="70" t="str">
        <f t="shared" si="73"/>
        <v>2 (Tidak terdapat pengkinian di bulan berjalan)</v>
      </c>
      <c r="D707" s="3"/>
      <c r="E707" s="31" t="s">
        <v>3341</v>
      </c>
      <c r="F707" s="15">
        <v>241100</v>
      </c>
      <c r="G707" s="31" t="str">
        <f t="shared" si="55"/>
        <v>241100 (Industri Kimia Dasar, Kecuali Pupuk)</v>
      </c>
      <c r="H707" s="3"/>
      <c r="I707" s="16" t="s">
        <v>3342</v>
      </c>
      <c r="J707" s="52">
        <v>600872</v>
      </c>
      <c r="K707" s="16" t="str">
        <f t="shared" si="48"/>
        <v>600872 (PT. BPR Pamekasan Purapersada)</v>
      </c>
    </row>
    <row r="708" spans="1:11" ht="12.75" customHeight="1" x14ac:dyDescent="0.35">
      <c r="A708" s="3"/>
      <c r="B708" s="2"/>
      <c r="C708" s="3"/>
      <c r="D708" s="3"/>
      <c r="E708" s="31" t="s">
        <v>3343</v>
      </c>
      <c r="F708" s="15">
        <v>241200</v>
      </c>
      <c r="G708" s="31" t="str">
        <f t="shared" si="55"/>
        <v>241200 (Industri Pupuk)</v>
      </c>
      <c r="H708" s="3"/>
      <c r="I708" s="16" t="s">
        <v>3344</v>
      </c>
      <c r="J708" s="52">
        <v>600873</v>
      </c>
      <c r="K708" s="16" t="str">
        <f t="shared" si="48"/>
        <v>600873 (PT. BPR Dinamika Bangun Arta)</v>
      </c>
    </row>
    <row r="709" spans="1:11" ht="12.75" customHeight="1" x14ac:dyDescent="0.35">
      <c r="A709" s="3" t="s">
        <v>3345</v>
      </c>
      <c r="B709" s="2"/>
      <c r="C709" s="3"/>
      <c r="D709" s="3"/>
      <c r="E709" s="31" t="s">
        <v>3346</v>
      </c>
      <c r="F709" s="15">
        <v>241300</v>
      </c>
      <c r="G709" s="31" t="str">
        <f t="shared" si="55"/>
        <v>241300 (Industri Plastik dan Karet Buatan)</v>
      </c>
      <c r="H709" s="3"/>
      <c r="I709" s="16" t="s">
        <v>3347</v>
      </c>
      <c r="J709" s="52">
        <v>600874</v>
      </c>
      <c r="K709" s="16" t="str">
        <f t="shared" si="48"/>
        <v>600874 (PT. BPR Artha Swasembada Mojosari)</v>
      </c>
    </row>
    <row r="710" spans="1:11" ht="12.75" customHeight="1" x14ac:dyDescent="0.35">
      <c r="A710" s="4" t="s">
        <v>3348</v>
      </c>
      <c r="B710" s="4" t="s">
        <v>2</v>
      </c>
      <c r="C710" s="4" t="s">
        <v>3</v>
      </c>
      <c r="D710" s="3"/>
      <c r="E710" s="31" t="s">
        <v>3349</v>
      </c>
      <c r="F710" s="15">
        <v>242100</v>
      </c>
      <c r="G710" s="31" t="str">
        <f t="shared" si="55"/>
        <v>242100 (Industri Bahan Baku Pemberantas Hama dan Pemberantas Hama Termasuk Zat  Pengatur Tumbuh)</v>
      </c>
      <c r="H710" s="3"/>
      <c r="I710" s="16" t="s">
        <v>3350</v>
      </c>
      <c r="J710" s="52">
        <v>600875</v>
      </c>
      <c r="K710" s="16" t="str">
        <f t="shared" si="48"/>
        <v>600875 (PT. BPR Catur Artha Jaya)</v>
      </c>
    </row>
    <row r="711" spans="1:11" ht="12.75" customHeight="1" x14ac:dyDescent="0.35">
      <c r="A711" s="70" t="s">
        <v>3351</v>
      </c>
      <c r="B711" s="70">
        <v>1</v>
      </c>
      <c r="C711" s="70" t="str">
        <f t="shared" ref="C711:C715" si="74">CONCATENATE(B711," (",A711,")")</f>
        <v>1 (Penambahan Baru)</v>
      </c>
      <c r="D711" s="3"/>
      <c r="E711" s="31" t="s">
        <v>3352</v>
      </c>
      <c r="F711" s="15">
        <v>242200</v>
      </c>
      <c r="G711" s="31" t="str">
        <f t="shared" si="55"/>
        <v>242200 (Industri Cat, Pernis dan Lak)</v>
      </c>
      <c r="H711" s="3"/>
      <c r="I711" s="16" t="s">
        <v>3353</v>
      </c>
      <c r="J711" s="52">
        <v>600876</v>
      </c>
      <c r="K711" s="16" t="str">
        <f t="shared" si="48"/>
        <v>600876 (PT BPR Artha Anugrah Kencana)</v>
      </c>
    </row>
    <row r="712" spans="1:11" ht="12.75" customHeight="1" x14ac:dyDescent="0.35">
      <c r="A712" s="70" t="s">
        <v>3354</v>
      </c>
      <c r="B712" s="70">
        <v>2</v>
      </c>
      <c r="C712" s="70" t="str">
        <f t="shared" si="74"/>
        <v>2 (Perubahan Modal Dasar)</v>
      </c>
      <c r="D712" s="3"/>
      <c r="E712" s="31" t="s">
        <v>3355</v>
      </c>
      <c r="F712" s="15">
        <v>242300</v>
      </c>
      <c r="G712" s="31" t="str">
        <f t="shared" si="55"/>
        <v>242300 (Industri Farmasi dan Jamu)</v>
      </c>
      <c r="H712" s="3"/>
      <c r="I712" s="16" t="s">
        <v>3356</v>
      </c>
      <c r="J712" s="52">
        <v>600878</v>
      </c>
      <c r="K712" s="16" t="str">
        <f t="shared" si="48"/>
        <v>600878 (PT. BPR Arta Muktigraha)</v>
      </c>
    </row>
    <row r="713" spans="1:11" ht="12.75" customHeight="1" x14ac:dyDescent="0.35">
      <c r="A713" s="70" t="s">
        <v>3357</v>
      </c>
      <c r="B713" s="70">
        <v>3</v>
      </c>
      <c r="C713" s="70" t="str">
        <f t="shared" si="74"/>
        <v>3 (Perubahan yang mengakibatkan PSP)</v>
      </c>
      <c r="D713" s="3"/>
      <c r="E713" s="31" t="s">
        <v>3358</v>
      </c>
      <c r="F713" s="15">
        <v>242400</v>
      </c>
      <c r="G713" s="31" t="str">
        <f t="shared" si="55"/>
        <v>242400 (Industri Sabun dan Bahan Pembersih Keperluan Rumah Tangga, Kosmetik dan Sejenisnya)</v>
      </c>
      <c r="H713" s="3"/>
      <c r="I713" s="16" t="s">
        <v>3359</v>
      </c>
      <c r="J713" s="52">
        <v>600879</v>
      </c>
      <c r="K713" s="16" t="str">
        <f t="shared" si="48"/>
        <v>600879 (PT. BPR Abrin Centra Artha)</v>
      </c>
    </row>
    <row r="714" spans="1:11" ht="12.75" customHeight="1" x14ac:dyDescent="0.35">
      <c r="A714" s="70" t="s">
        <v>3360</v>
      </c>
      <c r="B714" s="70">
        <v>4</v>
      </c>
      <c r="C714" s="70" t="str">
        <f t="shared" si="74"/>
        <v>4 (Perubahan yang tidak mengakibatkan PSP)</v>
      </c>
      <c r="D714" s="3"/>
      <c r="E714" s="31" t="s">
        <v>3361</v>
      </c>
      <c r="F714" s="15">
        <v>242940</v>
      </c>
      <c r="G714" s="31" t="str">
        <f t="shared" si="55"/>
        <v>242940 (Industri Minyak Atsiri)</v>
      </c>
      <c r="H714" s="3"/>
      <c r="I714" s="16" t="s">
        <v>3362</v>
      </c>
      <c r="J714" s="52">
        <v>600880</v>
      </c>
      <c r="K714" s="16" t="str">
        <f t="shared" si="48"/>
        <v>600880 (PT. BPR Damata Arthanugraha)</v>
      </c>
    </row>
    <row r="715" spans="1:11" ht="12.75" customHeight="1" x14ac:dyDescent="0.35">
      <c r="A715" s="70" t="s">
        <v>3363</v>
      </c>
      <c r="B715" s="70">
        <v>9</v>
      </c>
      <c r="C715" s="70" t="str">
        <f t="shared" si="74"/>
        <v>9 (Tidak Berubah)</v>
      </c>
      <c r="D715" s="3"/>
      <c r="E715" s="31" t="s">
        <v>3364</v>
      </c>
      <c r="F715" s="15">
        <v>242990</v>
      </c>
      <c r="G715" s="31" t="str">
        <f t="shared" si="55"/>
        <v>242990 (Industri Bahan Kimia dan Barang Kimia Lainnya)</v>
      </c>
      <c r="H715" s="3"/>
      <c r="I715" s="16" t="s">
        <v>3365</v>
      </c>
      <c r="J715" s="52">
        <v>600881</v>
      </c>
      <c r="K715" s="16" t="str">
        <f t="shared" si="48"/>
        <v>600881 (PT. BPR Intan Surya)</v>
      </c>
    </row>
    <row r="716" spans="1:11" ht="12.75" customHeight="1" x14ac:dyDescent="0.35">
      <c r="A716" s="3"/>
      <c r="B716" s="2"/>
      <c r="C716" s="3"/>
      <c r="D716" s="3"/>
      <c r="E716" s="31" t="s">
        <v>3366</v>
      </c>
      <c r="F716" s="15">
        <v>243000</v>
      </c>
      <c r="G716" s="31" t="str">
        <f t="shared" si="55"/>
        <v>243000 (Industri Serat Buatan)</v>
      </c>
      <c r="H716" s="3"/>
      <c r="I716" s="16" t="s">
        <v>3367</v>
      </c>
      <c r="J716" s="52">
        <v>600882</v>
      </c>
      <c r="K716" s="16" t="str">
        <f t="shared" si="48"/>
        <v>600882 (PT BPR Armindo Kencana)</v>
      </c>
    </row>
    <row r="717" spans="1:11" ht="12.75" customHeight="1" x14ac:dyDescent="0.35">
      <c r="A717" s="3"/>
      <c r="B717" s="2"/>
      <c r="C717" s="3"/>
      <c r="D717" s="3"/>
      <c r="E717" s="31" t="s">
        <v>3368</v>
      </c>
      <c r="F717" s="15">
        <v>251210</v>
      </c>
      <c r="G717" s="31" t="str">
        <f t="shared" si="55"/>
        <v>251210 (Industri Pengasapan Karet)</v>
      </c>
      <c r="H717" s="3"/>
      <c r="I717" s="16" t="s">
        <v>3369</v>
      </c>
      <c r="J717" s="52">
        <v>600883</v>
      </c>
      <c r="K717" s="16" t="str">
        <f t="shared" si="48"/>
        <v>600883 (PT. BPR Kencana Graha)</v>
      </c>
    </row>
    <row r="718" spans="1:11" ht="12.75" customHeight="1" x14ac:dyDescent="0.35">
      <c r="A718" s="3"/>
      <c r="B718" s="2"/>
      <c r="C718" s="3"/>
      <c r="D718" s="3"/>
      <c r="E718" s="31" t="s">
        <v>3370</v>
      </c>
      <c r="F718" s="15">
        <v>251220</v>
      </c>
      <c r="G718" s="31" t="str">
        <f t="shared" si="55"/>
        <v>251220 (Industri Remilling Karet)</v>
      </c>
      <c r="H718" s="3"/>
      <c r="I718" s="16" t="s">
        <v>3371</v>
      </c>
      <c r="J718" s="52">
        <v>600884</v>
      </c>
      <c r="K718" s="16" t="str">
        <f t="shared" si="48"/>
        <v>600884 (PT. BPR Sumber Dhana Makmur)</v>
      </c>
    </row>
    <row r="719" spans="1:11" ht="12.75" customHeight="1" x14ac:dyDescent="0.35">
      <c r="A719" s="3" t="s">
        <v>8</v>
      </c>
      <c r="B719" s="2"/>
      <c r="C719" s="3"/>
      <c r="D719" s="3"/>
      <c r="E719" s="31" t="s">
        <v>3372</v>
      </c>
      <c r="F719" s="15">
        <v>251230</v>
      </c>
      <c r="G719" s="31" t="str">
        <f t="shared" si="55"/>
        <v>251230 (Industri Karet Remah (Crumb Rubber))</v>
      </c>
      <c r="H719" s="3"/>
      <c r="I719" s="16" t="s">
        <v>3373</v>
      </c>
      <c r="J719" s="52">
        <v>600885</v>
      </c>
      <c r="K719" s="16" t="str">
        <f t="shared" si="48"/>
        <v>600885 (PT. BPR Mitra Lestari)</v>
      </c>
    </row>
    <row r="720" spans="1:11" ht="12.75" customHeight="1" x14ac:dyDescent="0.35">
      <c r="A720" s="4" t="s">
        <v>3374</v>
      </c>
      <c r="B720" s="4" t="s">
        <v>2</v>
      </c>
      <c r="C720" s="4" t="s">
        <v>3</v>
      </c>
      <c r="D720" s="3"/>
      <c r="E720" s="31" t="s">
        <v>3375</v>
      </c>
      <c r="F720" s="15">
        <v>251900</v>
      </c>
      <c r="G720" s="31" t="str">
        <f t="shared" si="55"/>
        <v>251900 (Industri Barang-barang lain dari Karet)</v>
      </c>
      <c r="H720" s="3"/>
      <c r="I720" s="16" t="s">
        <v>3376</v>
      </c>
      <c r="J720" s="52">
        <v>600886</v>
      </c>
      <c r="K720" s="16" t="str">
        <f t="shared" si="48"/>
        <v>600886 (PT. BPR Dharma Indra)</v>
      </c>
    </row>
    <row r="721" spans="1:11" ht="12.75" customHeight="1" x14ac:dyDescent="0.35">
      <c r="A721" s="70" t="s">
        <v>3377</v>
      </c>
      <c r="B721" s="70">
        <v>1</v>
      </c>
      <c r="C721" s="70" t="str">
        <f t="shared" ref="C721:C724" si="75">CONCATENATE(B721," (",A721,")")</f>
        <v>1 (Kartu Tanda Penduduk)</v>
      </c>
      <c r="D721" s="3"/>
      <c r="E721" s="31" t="s">
        <v>3378</v>
      </c>
      <c r="F721" s="15">
        <v>252000</v>
      </c>
      <c r="G721" s="31" t="str">
        <f t="shared" si="55"/>
        <v>252000 (Industri Barang dari Plastik)</v>
      </c>
      <c r="H721" s="3"/>
      <c r="I721" s="16" t="s">
        <v>3379</v>
      </c>
      <c r="J721" s="52">
        <v>600887</v>
      </c>
      <c r="K721" s="16" t="str">
        <f t="shared" si="48"/>
        <v>600887 (PT. BPR Buana Agribisnis)</v>
      </c>
    </row>
    <row r="722" spans="1:11" ht="12.75" customHeight="1" x14ac:dyDescent="0.35">
      <c r="A722" s="70" t="s">
        <v>3380</v>
      </c>
      <c r="B722" s="70">
        <v>2</v>
      </c>
      <c r="C722" s="70" t="str">
        <f t="shared" si="75"/>
        <v>2 (Paspor)</v>
      </c>
      <c r="D722" s="3"/>
      <c r="E722" s="31" t="s">
        <v>3381</v>
      </c>
      <c r="F722" s="15">
        <v>261000</v>
      </c>
      <c r="G722" s="31" t="str">
        <f t="shared" si="55"/>
        <v>261000 (Industri Gelas dan Barang dari Gelas)</v>
      </c>
      <c r="H722" s="3"/>
      <c r="I722" s="16" t="s">
        <v>3382</v>
      </c>
      <c r="J722" s="52">
        <v>600888</v>
      </c>
      <c r="K722" s="16" t="str">
        <f t="shared" si="48"/>
        <v>600888 (PT. BPR Arta Taman Dayu)</v>
      </c>
    </row>
    <row r="723" spans="1:11" ht="12.75" customHeight="1" x14ac:dyDescent="0.35">
      <c r="A723" s="70" t="s">
        <v>3383</v>
      </c>
      <c r="B723" s="70">
        <v>3</v>
      </c>
      <c r="C723" s="70" t="str">
        <f t="shared" si="75"/>
        <v>3 (Kartu Izin Tinggal Terbatas/Kartu Izin Tinggal Tetap)</v>
      </c>
      <c r="D723" s="3"/>
      <c r="E723" s="31" t="s">
        <v>3384</v>
      </c>
      <c r="F723" s="15">
        <v>262000</v>
      </c>
      <c r="G723" s="31" t="str">
        <f t="shared" si="55"/>
        <v>262000 (Industri Barang-barang dari Porselin)</v>
      </c>
      <c r="H723" s="3"/>
      <c r="I723" s="16" t="s">
        <v>3385</v>
      </c>
      <c r="J723" s="52">
        <v>600889</v>
      </c>
      <c r="K723" s="16" t="str">
        <f t="shared" si="48"/>
        <v>600889 (PT. BPR Duta Kepulauan Riau)</v>
      </c>
    </row>
    <row r="724" spans="1:11" ht="12.75" customHeight="1" x14ac:dyDescent="0.35">
      <c r="A724" s="70" t="s">
        <v>3386</v>
      </c>
      <c r="B724" s="70">
        <v>4</v>
      </c>
      <c r="C724" s="70" t="str">
        <f t="shared" si="75"/>
        <v>4 (Kartu Keluarga)</v>
      </c>
      <c r="D724" s="3"/>
      <c r="E724" s="31" t="s">
        <v>3387</v>
      </c>
      <c r="F724" s="15">
        <v>263000</v>
      </c>
      <c r="G724" s="31" t="str">
        <f t="shared" si="55"/>
        <v>263000 (Industri Pengolahan Tanah Liat  / Keramik)</v>
      </c>
      <c r="H724" s="3"/>
      <c r="I724" s="16" t="s">
        <v>3388</v>
      </c>
      <c r="J724" s="52">
        <v>600890</v>
      </c>
      <c r="K724" s="16" t="str">
        <f t="shared" si="48"/>
        <v>600890 (PT. BPR Harapan Sejahtera Malili)</v>
      </c>
    </row>
    <row r="725" spans="1:11" ht="12.75" customHeight="1" x14ac:dyDescent="0.35">
      <c r="A725" s="3"/>
      <c r="B725" s="2"/>
      <c r="C725" s="3"/>
      <c r="D725" s="3"/>
      <c r="E725" s="31" t="s">
        <v>3389</v>
      </c>
      <c r="F725" s="15">
        <v>264000</v>
      </c>
      <c r="G725" s="31" t="str">
        <f t="shared" si="55"/>
        <v>264000 (Industri Semen, Kapur dan Gips, Serta Barang-barang dari Semen, dan Kapur)</v>
      </c>
      <c r="H725" s="3"/>
      <c r="I725" s="16" t="s">
        <v>3390</v>
      </c>
      <c r="J725" s="52">
        <v>600891</v>
      </c>
      <c r="K725" s="16" t="str">
        <f t="shared" si="48"/>
        <v>600891 (PT. BPR Bhaskara Pakto)</v>
      </c>
    </row>
    <row r="726" spans="1:11" ht="12.75" customHeight="1" x14ac:dyDescent="0.35">
      <c r="A726" s="3"/>
      <c r="B726" s="2"/>
      <c r="C726" s="3"/>
      <c r="D726" s="3"/>
      <c r="E726" s="31" t="s">
        <v>3391</v>
      </c>
      <c r="F726" s="15">
        <v>265000</v>
      </c>
      <c r="G726" s="31" t="str">
        <f t="shared" si="55"/>
        <v>265000 (Industri Barang-barang dari Batu)</v>
      </c>
      <c r="H726" s="3"/>
      <c r="I726" s="16" t="s">
        <v>3392</v>
      </c>
      <c r="J726" s="52">
        <v>600892</v>
      </c>
      <c r="K726" s="16" t="str">
        <f t="shared" si="48"/>
        <v>600892 (PT. BPR Dana Sanggau Mandiri)</v>
      </c>
    </row>
    <row r="727" spans="1:11" ht="12.75" customHeight="1" x14ac:dyDescent="0.35">
      <c r="A727" s="3" t="s">
        <v>8</v>
      </c>
      <c r="B727" s="2"/>
      <c r="C727" s="3"/>
      <c r="D727" s="3"/>
      <c r="E727" s="31" t="s">
        <v>3393</v>
      </c>
      <c r="F727" s="15">
        <v>266000</v>
      </c>
      <c r="G727" s="31" t="str">
        <f t="shared" si="55"/>
        <v>266000 (Industri Barang-barang dari Asbes)</v>
      </c>
      <c r="H727" s="3"/>
      <c r="I727" s="16" t="s">
        <v>3394</v>
      </c>
      <c r="J727" s="52">
        <v>600893</v>
      </c>
      <c r="K727" s="16" t="str">
        <f t="shared" si="48"/>
        <v>600893 (PT. BPR Eka Dana Utama)</v>
      </c>
    </row>
    <row r="728" spans="1:11" ht="12.75" customHeight="1" x14ac:dyDescent="0.35">
      <c r="A728" s="4" t="s">
        <v>3395</v>
      </c>
      <c r="B728" s="4" t="s">
        <v>2</v>
      </c>
      <c r="C728" s="4" t="s">
        <v>3</v>
      </c>
      <c r="D728" s="3"/>
      <c r="E728" s="31" t="s">
        <v>3396</v>
      </c>
      <c r="F728" s="15">
        <v>269000</v>
      </c>
      <c r="G728" s="31" t="str">
        <f t="shared" si="55"/>
        <v>269000 (Industri Barang-barang  Galian Bukan Logam Lainnya)</v>
      </c>
      <c r="H728" s="3"/>
      <c r="I728" s="16" t="s">
        <v>3397</v>
      </c>
      <c r="J728" s="52">
        <v>600894</v>
      </c>
      <c r="K728" s="16" t="str">
        <f t="shared" si="48"/>
        <v>600894 (PT. BPR Bromo Mandiri)</v>
      </c>
    </row>
    <row r="729" spans="1:11" ht="12.75" customHeight="1" x14ac:dyDescent="0.35">
      <c r="A729" s="70" t="s">
        <v>3398</v>
      </c>
      <c r="B729" s="70">
        <v>1</v>
      </c>
      <c r="C729" s="70" t="str">
        <f t="shared" ref="C729:C730" si="76">CONCATENATE(B729," (",A729,")")</f>
        <v>1 (Laki-Laki)</v>
      </c>
      <c r="D729" s="3"/>
      <c r="E729" s="31" t="s">
        <v>3399</v>
      </c>
      <c r="F729" s="15">
        <v>271000</v>
      </c>
      <c r="G729" s="31" t="str">
        <f t="shared" si="55"/>
        <v>271000 (Industri Logam Dasar Besi dan Baja)</v>
      </c>
      <c r="H729" s="3"/>
      <c r="I729" s="16" t="s">
        <v>3400</v>
      </c>
      <c r="J729" s="52">
        <v>600895</v>
      </c>
      <c r="K729" s="16" t="str">
        <f t="shared" si="48"/>
        <v>600895 (PT. BPR Estetika Artha Guna)</v>
      </c>
    </row>
    <row r="730" spans="1:11" ht="12.75" customHeight="1" x14ac:dyDescent="0.35">
      <c r="A730" s="70" t="s">
        <v>3401</v>
      </c>
      <c r="B730" s="70">
        <v>2</v>
      </c>
      <c r="C730" s="70" t="str">
        <f t="shared" si="76"/>
        <v>2 (Perempuan)</v>
      </c>
      <c r="D730" s="3"/>
      <c r="E730" s="31" t="s">
        <v>3402</v>
      </c>
      <c r="F730" s="15">
        <v>272000</v>
      </c>
      <c r="G730" s="31" t="str">
        <f t="shared" si="55"/>
        <v>272000 (Industri Logam Dasar Bukan Besi)</v>
      </c>
      <c r="H730" s="3"/>
      <c r="I730" s="16" t="s">
        <v>3403</v>
      </c>
      <c r="J730" s="52">
        <v>600897</v>
      </c>
      <c r="K730" s="16" t="str">
        <f t="shared" si="48"/>
        <v>600897 (PT. BPR Duta Adiarta)</v>
      </c>
    </row>
    <row r="731" spans="1:11" ht="12.75" customHeight="1" x14ac:dyDescent="0.35">
      <c r="A731" s="3"/>
      <c r="B731" s="2"/>
      <c r="C731" s="3"/>
      <c r="D731" s="3"/>
      <c r="E731" s="31" t="s">
        <v>3404</v>
      </c>
      <c r="F731" s="15">
        <v>273100</v>
      </c>
      <c r="G731" s="31" t="str">
        <f t="shared" si="55"/>
        <v>273100 (Industri Pengecoran Besi dan Baja)</v>
      </c>
      <c r="H731" s="3"/>
      <c r="I731" s="16" t="s">
        <v>3405</v>
      </c>
      <c r="J731" s="52">
        <v>600898</v>
      </c>
      <c r="K731" s="16" t="str">
        <f t="shared" si="48"/>
        <v>600898 (PT. BPR Dampit)</v>
      </c>
    </row>
    <row r="732" spans="1:11" ht="12.75" customHeight="1" x14ac:dyDescent="0.35">
      <c r="A732" s="3" t="s">
        <v>2367</v>
      </c>
      <c r="B732" s="2"/>
      <c r="C732" s="3"/>
      <c r="D732" s="3"/>
      <c r="E732" s="31" t="s">
        <v>3406</v>
      </c>
      <c r="F732" s="15">
        <v>273200</v>
      </c>
      <c r="G732" s="31" t="str">
        <f t="shared" si="55"/>
        <v>273200 (Industri pengecoran Logam Bukan Besi dan Baja)</v>
      </c>
      <c r="H732" s="3"/>
      <c r="I732" s="16" t="s">
        <v>3407</v>
      </c>
      <c r="J732" s="52">
        <v>600899</v>
      </c>
      <c r="K732" s="16" t="str">
        <f t="shared" si="48"/>
        <v>600899 (PT. BPR Eka Dana Mandiri)</v>
      </c>
    </row>
    <row r="733" spans="1:11" ht="12.75" customHeight="1" x14ac:dyDescent="0.35">
      <c r="A733" s="4" t="s">
        <v>3408</v>
      </c>
      <c r="B733" s="4" t="s">
        <v>2</v>
      </c>
      <c r="C733" s="4" t="s">
        <v>3</v>
      </c>
      <c r="D733" s="3"/>
      <c r="E733" s="31" t="s">
        <v>3409</v>
      </c>
      <c r="F733" s="15">
        <v>281000</v>
      </c>
      <c r="G733" s="31" t="str">
        <f t="shared" si="55"/>
        <v>281000 (Industri Barang-barang  Logam Siap Pasang Untuk Bangunan, Pembuatan Tangki, dan Generator Uap)</v>
      </c>
      <c r="H733" s="3"/>
      <c r="I733" s="16" t="s">
        <v>3410</v>
      </c>
      <c r="J733" s="52">
        <v>600900</v>
      </c>
      <c r="K733" s="16" t="str">
        <f t="shared" si="48"/>
        <v>600900 (PT. BPR Gunung Arjuna)</v>
      </c>
    </row>
    <row r="734" spans="1:11" ht="12.75" customHeight="1" x14ac:dyDescent="0.35">
      <c r="A734" s="70" t="s">
        <v>3411</v>
      </c>
      <c r="B734" s="70">
        <v>2</v>
      </c>
      <c r="C734" s="70" t="str">
        <f t="shared" ref="C734:C735" si="77">CONCATENATE(B734," (",A734,")")</f>
        <v>2 (Pengambilalihan piutang)</v>
      </c>
      <c r="D734" s="3"/>
      <c r="E734" s="31" t="s">
        <v>3412</v>
      </c>
      <c r="F734" s="15">
        <v>289300</v>
      </c>
      <c r="G734" s="31" t="str">
        <f t="shared" si="55"/>
        <v>289300 (Industri Alat-alat Pertanian, Pertukangan, Pemotong, dan Peralatan lainnya dari Logam)</v>
      </c>
      <c r="H734" s="3"/>
      <c r="I734" s="16" t="s">
        <v>3413</v>
      </c>
      <c r="J734" s="52">
        <v>600901</v>
      </c>
      <c r="K734" s="16" t="str">
        <f t="shared" si="48"/>
        <v>600901 (PT. BPR Tresna Niaga)</v>
      </c>
    </row>
    <row r="735" spans="1:11" ht="12.75" customHeight="1" x14ac:dyDescent="0.35">
      <c r="A735" s="70" t="s">
        <v>331</v>
      </c>
      <c r="B735" s="70">
        <v>9</v>
      </c>
      <c r="C735" s="70" t="str">
        <f t="shared" si="77"/>
        <v>9 (Lainnya)</v>
      </c>
      <c r="D735" s="3"/>
      <c r="E735" s="31" t="s">
        <v>3414</v>
      </c>
      <c r="F735" s="15">
        <v>289900</v>
      </c>
      <c r="G735" s="31" t="str">
        <f t="shared" si="55"/>
        <v>289900 (Industri Barang Logam yang Tidak Diklasifikasikan di Tempat Lain)</v>
      </c>
      <c r="H735" s="3"/>
      <c r="I735" s="16" t="s">
        <v>3415</v>
      </c>
      <c r="J735" s="52">
        <v>600902</v>
      </c>
      <c r="K735" s="16" t="str">
        <f t="shared" si="48"/>
        <v>600902 (PT BPR Lestari Jatim )</v>
      </c>
    </row>
    <row r="736" spans="1:11" ht="12.75" customHeight="1" x14ac:dyDescent="0.35">
      <c r="A736" s="3"/>
      <c r="B736" s="2"/>
      <c r="C736" s="3"/>
      <c r="D736" s="3"/>
      <c r="E736" s="31" t="s">
        <v>3416</v>
      </c>
      <c r="F736" s="15">
        <v>291000</v>
      </c>
      <c r="G736" s="31" t="str">
        <f t="shared" si="55"/>
        <v>291000 (Industri Mesin-mesin Umum)</v>
      </c>
      <c r="H736" s="3"/>
      <c r="I736" s="16" t="s">
        <v>3417</v>
      </c>
      <c r="J736" s="52">
        <v>600903</v>
      </c>
      <c r="K736" s="16" t="str">
        <f t="shared" si="48"/>
        <v>600903 (PT. BPR Haneda Mitra Usaha)</v>
      </c>
    </row>
    <row r="737" spans="1:11" ht="12.75" customHeight="1" x14ac:dyDescent="0.35">
      <c r="A737" s="3" t="s">
        <v>3243</v>
      </c>
      <c r="B737" s="2"/>
      <c r="C737" s="3"/>
      <c r="D737" s="3"/>
      <c r="E737" s="31" t="s">
        <v>3418</v>
      </c>
      <c r="F737" s="15">
        <v>292100</v>
      </c>
      <c r="G737" s="31" t="str">
        <f t="shared" si="55"/>
        <v>292100 (Industri Mesin Pertanian dan Kehutanan, Serta Jasa Penunjang Pemeliharaan dan Perbaikannya)</v>
      </c>
      <c r="H737" s="3"/>
      <c r="I737" s="16" t="s">
        <v>3419</v>
      </c>
      <c r="J737" s="52">
        <v>600904</v>
      </c>
      <c r="K737" s="16" t="str">
        <f t="shared" si="48"/>
        <v>600904 (PT. BPR Gunung Ringgit)</v>
      </c>
    </row>
    <row r="738" spans="1:11" ht="12.75" customHeight="1" x14ac:dyDescent="0.35">
      <c r="A738" s="4" t="s">
        <v>3420</v>
      </c>
      <c r="B738" s="4" t="s">
        <v>2</v>
      </c>
      <c r="C738" s="4" t="s">
        <v>3</v>
      </c>
      <c r="D738" s="3"/>
      <c r="E738" s="31" t="s">
        <v>3421</v>
      </c>
      <c r="F738" s="15">
        <v>292400</v>
      </c>
      <c r="G738" s="31" t="str">
        <f t="shared" si="55"/>
        <v>292400 (Industri Mesin-mesin Untuk Pertambangan, Penggalian dan Konstruksi)</v>
      </c>
      <c r="H738" s="3"/>
      <c r="I738" s="16" t="s">
        <v>3422</v>
      </c>
      <c r="J738" s="52">
        <v>600905</v>
      </c>
      <c r="K738" s="16" t="str">
        <f t="shared" si="48"/>
        <v>600905 (PT. BPR Artha Kanjuruan Pemkab Malang)</v>
      </c>
    </row>
    <row r="739" spans="1:11" ht="12.75" customHeight="1" x14ac:dyDescent="0.35">
      <c r="A739" s="70" t="s">
        <v>5438</v>
      </c>
      <c r="B739" s="70">
        <v>1</v>
      </c>
      <c r="C739" s="70" t="str">
        <f t="shared" ref="C739:C743" si="78">CONCATENATE(B739," (",A739,")")</f>
        <v>1 (Surat Berharga)</v>
      </c>
      <c r="D739" s="3"/>
      <c r="E739" s="31" t="s">
        <v>3424</v>
      </c>
      <c r="F739" s="15">
        <v>292500</v>
      </c>
      <c r="G739" s="31" t="str">
        <f t="shared" si="55"/>
        <v>292500 (lndustri Mesin Untuk Pengolahan Makanan, Minuman dan Tembakau)</v>
      </c>
      <c r="H739" s="3"/>
      <c r="I739" s="16" t="s">
        <v>3425</v>
      </c>
      <c r="J739" s="52">
        <v>600906</v>
      </c>
      <c r="K739" s="16" t="str">
        <f t="shared" si="48"/>
        <v>600906 (PT. BPR Mandiri Artha Niaga Prima)</v>
      </c>
    </row>
    <row r="740" spans="1:11" ht="12.75" customHeight="1" x14ac:dyDescent="0.35">
      <c r="A740" s="70" t="s">
        <v>3426</v>
      </c>
      <c r="B740" s="70">
        <v>2</v>
      </c>
      <c r="C740" s="70" t="str">
        <f t="shared" si="78"/>
        <v>2 (Penempatan Pada Bank Lain)</v>
      </c>
      <c r="D740" s="3"/>
      <c r="E740" s="31" t="s">
        <v>3427</v>
      </c>
      <c r="F740" s="15">
        <v>292600</v>
      </c>
      <c r="G740" s="31" t="str">
        <f t="shared" ref="G740:G771" si="79">CONCATENATE(F740," (",E740,")")</f>
        <v>292600 (Industri Mesin-mesin Tekstil, Produk Tekstil, dan Barang-barang dari Kulit)</v>
      </c>
      <c r="H740" s="3"/>
      <c r="I740" s="16" t="s">
        <v>3428</v>
      </c>
      <c r="J740" s="52">
        <v>600907</v>
      </c>
      <c r="K740" s="16" t="str">
        <f t="shared" ref="K740:K769" si="80">CONCATENATE(J740," (",SUBSTITUTE(I740,"  ",""),")")</f>
        <v>600907 (PD. BPR BP Kab. Dati II Lumajang)</v>
      </c>
    </row>
    <row r="741" spans="1:11" ht="12.75" customHeight="1" x14ac:dyDescent="0.35">
      <c r="A741" s="70" t="s">
        <v>3423</v>
      </c>
      <c r="B741" s="70">
        <v>3</v>
      </c>
      <c r="C741" s="70" t="str">
        <f t="shared" si="78"/>
        <v>3 (Kredit)</v>
      </c>
      <c r="D741" s="3"/>
      <c r="E741" s="31" t="s">
        <v>3429</v>
      </c>
      <c r="F741" s="15">
        <v>292900</v>
      </c>
      <c r="G741" s="31" t="str">
        <f t="shared" si="79"/>
        <v>292900 (Industri Mesin-mesin Khusus Lainnya)</v>
      </c>
      <c r="H741" s="3"/>
      <c r="I741" s="16" t="s">
        <v>3430</v>
      </c>
      <c r="J741" s="52">
        <v>600908</v>
      </c>
      <c r="K741" s="16" t="str">
        <f t="shared" si="80"/>
        <v>600908 (PT. BPR Sejahtera Batam)</v>
      </c>
    </row>
    <row r="742" spans="1:11" ht="12.75" customHeight="1" x14ac:dyDescent="0.35">
      <c r="A742" s="70" t="s">
        <v>5445</v>
      </c>
      <c r="B742" s="70">
        <v>4</v>
      </c>
      <c r="C742" s="70" t="str">
        <f t="shared" si="78"/>
        <v>4 (Penyertaan Modal)</v>
      </c>
      <c r="D742" s="3"/>
      <c r="E742" s="31" t="s">
        <v>3432</v>
      </c>
      <c r="F742" s="15">
        <v>293000</v>
      </c>
      <c r="G742" s="31" t="str">
        <f t="shared" si="79"/>
        <v>293000 (Industri Peralatan Rumah Tangga yang Tidak Diklasifikasikan di Tempat Lain)</v>
      </c>
      <c r="H742" s="3"/>
      <c r="I742" s="16" t="s">
        <v>3433</v>
      </c>
      <c r="J742" s="52">
        <v>600909</v>
      </c>
      <c r="K742" s="16" t="str">
        <f t="shared" si="80"/>
        <v>600909 (PT. BPR Kerta Arthamandiri)</v>
      </c>
    </row>
    <row r="743" spans="1:11" ht="12.75" customHeight="1" x14ac:dyDescent="0.35">
      <c r="A743" s="70"/>
      <c r="B743" s="70"/>
      <c r="C743" s="70" t="str">
        <f t="shared" si="78"/>
        <v xml:space="preserve"> ()</v>
      </c>
      <c r="D743" s="3"/>
      <c r="E743" s="31" t="s">
        <v>3435</v>
      </c>
      <c r="F743" s="15">
        <v>300000</v>
      </c>
      <c r="G743" s="31" t="str">
        <f t="shared" si="79"/>
        <v>300000 (Industri Mesin dan Peralatan Kantor, Akuntansi, dan Pengolahan Data)</v>
      </c>
      <c r="H743" s="3"/>
      <c r="I743" s="16" t="s">
        <v>3436</v>
      </c>
      <c r="J743" s="52">
        <v>600910</v>
      </c>
      <c r="K743" s="16" t="str">
        <f t="shared" si="80"/>
        <v>600910 (PD. BPR Tugu Artha Malang)</v>
      </c>
    </row>
    <row r="744" spans="1:11" ht="12.75" customHeight="1" x14ac:dyDescent="0.35">
      <c r="A744" s="3"/>
      <c r="B744" s="2"/>
      <c r="C744" s="3"/>
      <c r="D744" s="3"/>
      <c r="E744" s="31" t="s">
        <v>3438</v>
      </c>
      <c r="F744" s="15">
        <v>311000</v>
      </c>
      <c r="G744" s="31" t="str">
        <f t="shared" si="79"/>
        <v>311000 (Industri Motor Listrik, Generator, dan Transformator)</v>
      </c>
      <c r="H744" s="3"/>
      <c r="I744" s="16" t="s">
        <v>3439</v>
      </c>
      <c r="J744" s="52">
        <v>600911</v>
      </c>
      <c r="K744" s="16" t="str">
        <f t="shared" si="80"/>
        <v>600911 (PT. BPR Inti Dana Sentosa)</v>
      </c>
    </row>
    <row r="745" spans="1:11" ht="12.75" customHeight="1" x14ac:dyDescent="0.35">
      <c r="A745" s="3" t="s">
        <v>3431</v>
      </c>
      <c r="B745" s="2"/>
      <c r="C745" s="3"/>
      <c r="D745" s="3"/>
      <c r="E745" s="31" t="s">
        <v>3441</v>
      </c>
      <c r="F745" s="15">
        <v>312000</v>
      </c>
      <c r="G745" s="31" t="str">
        <f t="shared" si="79"/>
        <v>312000 (Industri Peralatan Pengontrol dan Pendistribusian Listrik)</v>
      </c>
      <c r="H745" s="3"/>
      <c r="I745" s="16" t="s">
        <v>3442</v>
      </c>
      <c r="J745" s="52">
        <v>600912</v>
      </c>
      <c r="K745" s="16" t="str">
        <f t="shared" si="80"/>
        <v>600912 (PT. BPR Sumber Arto)</v>
      </c>
    </row>
    <row r="746" spans="1:11" ht="12.75" customHeight="1" x14ac:dyDescent="0.35">
      <c r="A746" s="4" t="s">
        <v>3434</v>
      </c>
      <c r="B746" s="4" t="s">
        <v>2</v>
      </c>
      <c r="C746" s="4" t="s">
        <v>3</v>
      </c>
      <c r="D746" s="3"/>
      <c r="E746" s="31" t="s">
        <v>3444</v>
      </c>
      <c r="F746" s="15">
        <v>313000</v>
      </c>
      <c r="G746" s="31" t="str">
        <f t="shared" si="79"/>
        <v>313000 (Industri Kabel Listrik dan Telepon)</v>
      </c>
      <c r="H746" s="3"/>
      <c r="I746" s="16" t="s">
        <v>3445</v>
      </c>
      <c r="J746" s="52">
        <v>600913</v>
      </c>
      <c r="K746" s="16" t="str">
        <f t="shared" si="80"/>
        <v>600913 (PT. BPR Artha Prima Perkasa)</v>
      </c>
    </row>
    <row r="747" spans="1:11" ht="12.75" customHeight="1" x14ac:dyDescent="0.35">
      <c r="A747" s="50" t="s">
        <v>3437</v>
      </c>
      <c r="B747" s="51">
        <v>1</v>
      </c>
      <c r="C747" s="50" t="str">
        <f t="shared" ref="C747:C749" si="81">CONCATENATE(B747," (",A747,")")</f>
        <v>1 (Diukur pada Nilai Wajar Melalui Laba Rugi)</v>
      </c>
      <c r="D747" s="3"/>
      <c r="E747" s="31" t="s">
        <v>3446</v>
      </c>
      <c r="F747" s="15">
        <v>314000</v>
      </c>
      <c r="G747" s="31" t="str">
        <f t="shared" si="79"/>
        <v>314000 (Industri Akumulator Listrik dan Batu Baterai)</v>
      </c>
      <c r="H747" s="3"/>
      <c r="I747" s="16" t="s">
        <v>3447</v>
      </c>
      <c r="J747" s="52">
        <v>600914</v>
      </c>
      <c r="K747" s="16" t="str">
        <f t="shared" si="80"/>
        <v>600914 (PT. BPR Trikarya Waranugraha)</v>
      </c>
    </row>
    <row r="748" spans="1:11" ht="12.75" customHeight="1" x14ac:dyDescent="0.35">
      <c r="A748" s="50" t="s">
        <v>3440</v>
      </c>
      <c r="B748" s="51">
        <v>2</v>
      </c>
      <c r="C748" s="50" t="str">
        <f t="shared" si="81"/>
        <v>2 (Diukur pada Nilai Wajar Melalui Penghasilan Komprehensif Lain)</v>
      </c>
      <c r="D748" s="3"/>
      <c r="E748" s="31" t="s">
        <v>3448</v>
      </c>
      <c r="F748" s="15">
        <v>315000</v>
      </c>
      <c r="G748" s="31" t="str">
        <f t="shared" si="79"/>
        <v>315000 (Industri Bola Lampu Pijar dan Lampu Penerangan)</v>
      </c>
      <c r="H748" s="3"/>
      <c r="I748" s="16" t="s">
        <v>3449</v>
      </c>
      <c r="J748" s="52">
        <v>600915</v>
      </c>
      <c r="K748" s="16" t="str">
        <f t="shared" si="80"/>
        <v>600915 (PT. BPR Tumpang Arthasarana)</v>
      </c>
    </row>
    <row r="749" spans="1:11" ht="12.75" customHeight="1" x14ac:dyDescent="0.35">
      <c r="A749" s="50" t="s">
        <v>3443</v>
      </c>
      <c r="B749" s="51">
        <v>3</v>
      </c>
      <c r="C749" s="50" t="str">
        <f t="shared" si="81"/>
        <v>3 (Diukur pada Biaya Perolehan Diamortisasi)</v>
      </c>
      <c r="D749" s="3"/>
      <c r="E749" s="31" t="s">
        <v>3450</v>
      </c>
      <c r="F749" s="15">
        <v>319000</v>
      </c>
      <c r="G749" s="31" t="str">
        <f t="shared" si="79"/>
        <v>319000 (Industri Peralatan Listrik yang Tidak Diklasifikasikan di Tempat lain)</v>
      </c>
      <c r="H749" s="3"/>
      <c r="I749" s="16" t="s">
        <v>3451</v>
      </c>
      <c r="J749" s="52">
        <v>600916</v>
      </c>
      <c r="K749" s="16" t="str">
        <f t="shared" si="80"/>
        <v>600916 (PT. BPR Batara Wajo)</v>
      </c>
    </row>
    <row r="750" spans="1:11" ht="12.75" customHeight="1" x14ac:dyDescent="0.35">
      <c r="A750" s="3"/>
      <c r="B750" s="2"/>
      <c r="C750" s="3"/>
      <c r="D750" s="3"/>
      <c r="E750" s="31" t="s">
        <v>3452</v>
      </c>
      <c r="F750" s="15">
        <v>321000</v>
      </c>
      <c r="G750" s="31" t="str">
        <f t="shared" si="79"/>
        <v>321000 (Industri Tabung dan Katup Elektronik Serta Komponen Elektronik lainnya)</v>
      </c>
      <c r="H750" s="3"/>
      <c r="I750" s="16" t="s">
        <v>3453</v>
      </c>
      <c r="J750" s="52">
        <v>600917</v>
      </c>
      <c r="K750" s="16" t="str">
        <f t="shared" si="80"/>
        <v>600917 (PT. BPR Dhana Lestari)</v>
      </c>
    </row>
    <row r="751" spans="1:11" ht="12.75" customHeight="1" thickBot="1" x14ac:dyDescent="0.4">
      <c r="A751" s="3"/>
      <c r="B751" s="2"/>
      <c r="C751" s="3"/>
      <c r="D751" s="3"/>
      <c r="E751" s="31" t="s">
        <v>3454</v>
      </c>
      <c r="F751" s="15">
        <v>322000</v>
      </c>
      <c r="G751" s="31" t="str">
        <f t="shared" si="79"/>
        <v>322000 (Industri Alat Transmisi Komunikasi)</v>
      </c>
      <c r="H751" s="3"/>
      <c r="I751" s="16" t="s">
        <v>3455</v>
      </c>
      <c r="J751" s="52">
        <v>600918</v>
      </c>
      <c r="K751" s="16" t="str">
        <f t="shared" si="80"/>
        <v>600918 (PT. BPR Surungan Nauli)</v>
      </c>
    </row>
    <row r="752" spans="1:11" ht="12.75" customHeight="1" thickBot="1" x14ac:dyDescent="0.4">
      <c r="A752" s="179" t="s">
        <v>2268</v>
      </c>
      <c r="B752" s="180"/>
      <c r="C752" s="180"/>
      <c r="D752" s="3"/>
      <c r="E752" s="31" t="s">
        <v>3456</v>
      </c>
      <c r="F752" s="15">
        <v>323000</v>
      </c>
      <c r="G752" s="31" t="str">
        <f t="shared" si="79"/>
        <v>323000 (Industri Radio, Televisi, Alat-alat Rekaman Suara dan Gambar, dan Sejenisnya)</v>
      </c>
      <c r="H752" s="3"/>
      <c r="I752" s="16" t="s">
        <v>3457</v>
      </c>
      <c r="J752" s="52">
        <v>600919</v>
      </c>
      <c r="K752" s="16" t="str">
        <f t="shared" si="80"/>
        <v>600919 (PT. BPR Centraldjaja Pratama)</v>
      </c>
    </row>
    <row r="753" spans="1:11" ht="12.75" customHeight="1" thickBot="1" x14ac:dyDescent="0.4">
      <c r="A753" s="181" t="s">
        <v>5692</v>
      </c>
      <c r="B753" s="182" t="s">
        <v>2</v>
      </c>
      <c r="C753" s="182" t="s">
        <v>3</v>
      </c>
      <c r="D753" s="3"/>
      <c r="E753" s="31" t="s">
        <v>3458</v>
      </c>
      <c r="F753" s="15">
        <v>331000</v>
      </c>
      <c r="G753" s="31" t="str">
        <f t="shared" si="79"/>
        <v>331000 (Industri Peralatan Kedokteran, dan Peralatan Untuk Mengukur, Memeriksa, Menguji, dan Bagian Lainnya, Kecuali Alat-alat Optik)</v>
      </c>
      <c r="H753" s="3"/>
      <c r="I753" s="16" t="s">
        <v>3459</v>
      </c>
      <c r="J753" s="52">
        <v>600920</v>
      </c>
      <c r="K753" s="16" t="str">
        <f t="shared" si="80"/>
        <v>600920 (KBPR Pancadana)</v>
      </c>
    </row>
    <row r="754" spans="1:11" ht="12.75" customHeight="1" thickBot="1" x14ac:dyDescent="0.4">
      <c r="A754" s="183" t="s">
        <v>5693</v>
      </c>
      <c r="B754" s="184">
        <v>1</v>
      </c>
      <c r="C754" s="184" t="s">
        <v>5694</v>
      </c>
      <c r="D754" s="3"/>
      <c r="E754" s="31" t="s">
        <v>3460</v>
      </c>
      <c r="F754" s="15">
        <v>332000</v>
      </c>
      <c r="G754" s="31" t="str">
        <f t="shared" si="79"/>
        <v>332000 (Industri Instrumen Optik dan Peralatan Fotografi)</v>
      </c>
      <c r="H754" s="3"/>
      <c r="I754" s="16" t="s">
        <v>3461</v>
      </c>
      <c r="J754" s="52">
        <v>600921</v>
      </c>
      <c r="K754" s="16" t="str">
        <f t="shared" si="80"/>
        <v>600921 (PT. BPR Semeru Swasti)</v>
      </c>
    </row>
    <row r="755" spans="1:11" ht="12.75" customHeight="1" thickBot="1" x14ac:dyDescent="0.4">
      <c r="A755" s="183" t="s">
        <v>5695</v>
      </c>
      <c r="B755" s="184">
        <v>2</v>
      </c>
      <c r="C755" s="184" t="s">
        <v>5696</v>
      </c>
      <c r="D755" s="3"/>
      <c r="E755" s="31" t="s">
        <v>3462</v>
      </c>
      <c r="F755" s="15">
        <v>333000</v>
      </c>
      <c r="G755" s="31" t="str">
        <f t="shared" si="79"/>
        <v>333000 (Industri Jam, Lonceng, dan Sejenisnya)</v>
      </c>
      <c r="H755" s="3"/>
      <c r="I755" s="16" t="s">
        <v>3463</v>
      </c>
      <c r="J755" s="52">
        <v>600922</v>
      </c>
      <c r="K755" s="16" t="str">
        <f t="shared" si="80"/>
        <v>600922 (PT. BPR Dwi Cahaya Nusaperkasa)</v>
      </c>
    </row>
    <row r="756" spans="1:11" ht="12.75" customHeight="1" thickBot="1" x14ac:dyDescent="0.4">
      <c r="A756" s="185"/>
      <c r="B756" s="185"/>
      <c r="C756" s="185"/>
      <c r="D756" s="3"/>
      <c r="E756" s="31" t="s">
        <v>3464</v>
      </c>
      <c r="F756" s="15">
        <v>341000</v>
      </c>
      <c r="G756" s="31" t="str">
        <f t="shared" si="79"/>
        <v>341000 (Industri Kendaraan Bermotor Roda Empat Atau Lebih)</v>
      </c>
      <c r="H756" s="3"/>
      <c r="I756" s="16" t="s">
        <v>3465</v>
      </c>
      <c r="J756" s="52">
        <v>600924</v>
      </c>
      <c r="K756" s="16" t="str">
        <f t="shared" si="80"/>
        <v>600924 (PT. BPR Antar Parama)</v>
      </c>
    </row>
    <row r="757" spans="1:11" ht="12.75" customHeight="1" thickBot="1" x14ac:dyDescent="0.4">
      <c r="A757" s="179" t="s">
        <v>5697</v>
      </c>
      <c r="B757" s="180"/>
      <c r="C757" s="180"/>
      <c r="D757" s="3"/>
      <c r="E757" s="31" t="s">
        <v>3466</v>
      </c>
      <c r="F757" s="15">
        <v>342000</v>
      </c>
      <c r="G757" s="31" t="str">
        <f t="shared" si="79"/>
        <v>342000 (Industri Karoseri Kendaraan Bermotor Roda Empat Atau Lebih)</v>
      </c>
      <c r="H757" s="3"/>
      <c r="I757" s="16" t="s">
        <v>3467</v>
      </c>
      <c r="J757" s="52">
        <v>600925</v>
      </c>
      <c r="K757" s="16" t="str">
        <f t="shared" si="80"/>
        <v>600925 (PT. BPR Wisman Perkasa)</v>
      </c>
    </row>
    <row r="758" spans="1:11" ht="12.75" customHeight="1" thickBot="1" x14ac:dyDescent="0.4">
      <c r="A758" s="181" t="s">
        <v>5691</v>
      </c>
      <c r="B758" s="182" t="s">
        <v>2</v>
      </c>
      <c r="C758" s="182" t="s">
        <v>3</v>
      </c>
      <c r="D758" s="3"/>
      <c r="E758" s="31" t="s">
        <v>3468</v>
      </c>
      <c r="F758" s="15">
        <v>343000</v>
      </c>
      <c r="G758" s="31" t="str">
        <f t="shared" si="79"/>
        <v>343000 (Industri Perlengkapan dan Komponen Kendaraan Bermotor Roda Empat Atau Lebih)</v>
      </c>
      <c r="H758" s="3"/>
      <c r="I758" s="16" t="s">
        <v>3469</v>
      </c>
      <c r="J758" s="52">
        <v>600926</v>
      </c>
      <c r="K758" s="16" t="str">
        <f t="shared" si="80"/>
        <v>600926 (PT. BPR Depo Mitra Mandiri)</v>
      </c>
    </row>
    <row r="759" spans="1:11" ht="12.75" customHeight="1" thickBot="1" x14ac:dyDescent="0.4">
      <c r="A759" s="183" t="s">
        <v>5698</v>
      </c>
      <c r="B759" s="184">
        <v>1</v>
      </c>
      <c r="C759" s="184" t="s">
        <v>5699</v>
      </c>
      <c r="D759" s="3"/>
      <c r="E759" s="31" t="s">
        <v>3470</v>
      </c>
      <c r="F759" s="15">
        <v>351000</v>
      </c>
      <c r="G759" s="31" t="str">
        <f t="shared" si="79"/>
        <v>351000 (Industri Pembuatan dan Perbaikan Kapal dan Perahu)</v>
      </c>
      <c r="H759" s="3"/>
      <c r="I759" s="16" t="s">
        <v>3471</v>
      </c>
      <c r="J759" s="52">
        <v>600927</v>
      </c>
      <c r="K759" s="16" t="str">
        <f t="shared" si="80"/>
        <v>600927 (PT. BPR Sentral Arta Jaya)</v>
      </c>
    </row>
    <row r="760" spans="1:11" ht="12.75" customHeight="1" thickBot="1" x14ac:dyDescent="0.4">
      <c r="A760" s="183" t="s">
        <v>5700</v>
      </c>
      <c r="B760" s="184">
        <v>2</v>
      </c>
      <c r="C760" s="184" t="s">
        <v>5701</v>
      </c>
      <c r="D760" s="3"/>
      <c r="E760" s="31" t="s">
        <v>3472</v>
      </c>
      <c r="F760" s="15">
        <v>352000</v>
      </c>
      <c r="G760" s="31" t="str">
        <f t="shared" si="79"/>
        <v>352000 (Industri Kereta Api, Bagian-bagian dan Perlengkapannya, Serta Perbaikan Kereta Api)</v>
      </c>
      <c r="H760" s="3"/>
      <c r="I760" s="16" t="s">
        <v>3473</v>
      </c>
      <c r="J760" s="52">
        <v>600929</v>
      </c>
      <c r="K760" s="16" t="str">
        <f t="shared" si="80"/>
        <v>600929 (PT. BPR Yuka Jaya)</v>
      </c>
    </row>
    <row r="761" spans="1:11" ht="12.75" customHeight="1" thickBot="1" x14ac:dyDescent="0.4">
      <c r="A761" s="185"/>
      <c r="B761" s="185"/>
      <c r="C761" s="185"/>
      <c r="D761" s="3"/>
      <c r="E761" s="31" t="s">
        <v>3474</v>
      </c>
      <c r="F761" s="15">
        <v>353000</v>
      </c>
      <c r="G761" s="31" t="str">
        <f t="shared" si="79"/>
        <v>353000 (Industri Pesawat Terbang dan Perlengkapannya Serta Perbaikan Pesawat Terbang)</v>
      </c>
      <c r="H761" s="3"/>
      <c r="I761" s="16" t="s">
        <v>3475</v>
      </c>
      <c r="J761" s="52">
        <v>600930</v>
      </c>
      <c r="K761" s="16" t="str">
        <f t="shared" si="80"/>
        <v>600930 (PT. BPR Benua Kraksaan)</v>
      </c>
    </row>
    <row r="762" spans="1:11" ht="12.75" customHeight="1" thickBot="1" x14ac:dyDescent="0.4">
      <c r="A762" s="179" t="s">
        <v>5702</v>
      </c>
      <c r="B762" s="180"/>
      <c r="C762" s="180"/>
      <c r="D762" s="3"/>
      <c r="E762" s="31" t="s">
        <v>3476</v>
      </c>
      <c r="F762" s="15">
        <v>359100</v>
      </c>
      <c r="G762" s="31" t="str">
        <f t="shared" si="79"/>
        <v>359100 (Industri Kendaraan Bermotor Roda Dua dan Tiga Serta Komponen dan Perlengkapannya)</v>
      </c>
      <c r="H762" s="3"/>
      <c r="I762" s="16" t="s">
        <v>3477</v>
      </c>
      <c r="J762" s="52">
        <v>600931</v>
      </c>
      <c r="K762" s="16" t="str">
        <f t="shared" si="80"/>
        <v>600931 (PT. BPR Angga Perkasa)</v>
      </c>
    </row>
    <row r="763" spans="1:11" ht="12.75" customHeight="1" thickBot="1" x14ac:dyDescent="0.4">
      <c r="A763" s="181" t="s">
        <v>5383</v>
      </c>
      <c r="B763" s="182" t="s">
        <v>2</v>
      </c>
      <c r="C763" s="182" t="s">
        <v>3</v>
      </c>
      <c r="D763" s="3"/>
      <c r="E763" s="31" t="s">
        <v>3478</v>
      </c>
      <c r="F763" s="15">
        <v>359900</v>
      </c>
      <c r="G763" s="31" t="str">
        <f t="shared" si="79"/>
        <v>359900 (Industri Alat Angkut yang Tidak Diklasifikasikan di Tempat Lain)</v>
      </c>
      <c r="H763" s="3"/>
      <c r="I763" s="16" t="s">
        <v>3479</v>
      </c>
      <c r="J763" s="52">
        <v>600932</v>
      </c>
      <c r="K763" s="16" t="str">
        <f t="shared" si="80"/>
        <v>600932 (PT. BPR Arta Haksaprima)</v>
      </c>
    </row>
    <row r="764" spans="1:11" ht="12.75" customHeight="1" thickBot="1" x14ac:dyDescent="0.4">
      <c r="A764" s="183" t="s">
        <v>5703</v>
      </c>
      <c r="B764" s="184">
        <v>1</v>
      </c>
      <c r="C764" s="184" t="s">
        <v>5704</v>
      </c>
      <c r="D764" s="3"/>
      <c r="E764" s="31" t="s">
        <v>3480</v>
      </c>
      <c r="F764" s="15">
        <v>361000</v>
      </c>
      <c r="G764" s="31" t="str">
        <f t="shared" si="79"/>
        <v>361000 (Industri Furnitur)</v>
      </c>
      <c r="H764" s="3"/>
      <c r="I764" s="16" t="s">
        <v>3481</v>
      </c>
      <c r="J764" s="52">
        <v>600933</v>
      </c>
      <c r="K764" s="16" t="str">
        <f t="shared" si="80"/>
        <v>600933 (PT. BPR Purwosari Anugerah)</v>
      </c>
    </row>
    <row r="765" spans="1:11" ht="12.75" customHeight="1" thickBot="1" x14ac:dyDescent="0.4">
      <c r="A765" s="183" t="s">
        <v>5705</v>
      </c>
      <c r="B765" s="184">
        <v>2</v>
      </c>
      <c r="C765" s="184" t="s">
        <v>5706</v>
      </c>
      <c r="D765" s="3"/>
      <c r="E765" s="31" t="s">
        <v>3482</v>
      </c>
      <c r="F765" s="15">
        <v>369000</v>
      </c>
      <c r="G765" s="31" t="str">
        <f t="shared" si="79"/>
        <v>369000 (Industri Pengolahan Lainnya)</v>
      </c>
      <c r="H765" s="3"/>
      <c r="I765" s="16" t="s">
        <v>3483</v>
      </c>
      <c r="J765" s="52">
        <v>600934</v>
      </c>
      <c r="K765" s="16" t="str">
        <f t="shared" si="80"/>
        <v>600934 (PT. BPR Charis Utama)</v>
      </c>
    </row>
    <row r="766" spans="1:11" ht="12.75" customHeight="1" x14ac:dyDescent="0.35">
      <c r="A766" s="3"/>
      <c r="B766" s="2"/>
      <c r="C766" s="3"/>
      <c r="D766" s="3"/>
      <c r="E766" s="31" t="s">
        <v>3484</v>
      </c>
      <c r="F766" s="15">
        <v>371000</v>
      </c>
      <c r="G766" s="31" t="str">
        <f t="shared" si="79"/>
        <v>371000 (Daur Ulang Barang-barang Logam)</v>
      </c>
      <c r="H766" s="3"/>
      <c r="I766" s="16" t="s">
        <v>3485</v>
      </c>
      <c r="J766" s="52">
        <v>600935</v>
      </c>
      <c r="K766" s="16" t="str">
        <f t="shared" si="80"/>
        <v>600935 (PT. BPR Megakerta Swadiri)</v>
      </c>
    </row>
    <row r="767" spans="1:11" ht="12.75" customHeight="1" x14ac:dyDescent="0.35">
      <c r="A767" s="3"/>
      <c r="B767" s="2"/>
      <c r="C767" s="3"/>
      <c r="D767" s="3"/>
      <c r="E767" s="31" t="s">
        <v>3486</v>
      </c>
      <c r="F767" s="15">
        <v>372000</v>
      </c>
      <c r="G767" s="31" t="str">
        <f t="shared" si="79"/>
        <v>372000 (Daur Ulang Barang-barang Bukan logam)</v>
      </c>
      <c r="H767" s="3"/>
      <c r="I767" s="16" t="s">
        <v>3487</v>
      </c>
      <c r="J767" s="52">
        <v>600936</v>
      </c>
      <c r="K767" s="16" t="str">
        <f t="shared" si="80"/>
        <v>600936 (PT. BPR Dinar Pusaka)</v>
      </c>
    </row>
    <row r="768" spans="1:11" ht="12.75" customHeight="1" x14ac:dyDescent="0.35">
      <c r="A768" s="3"/>
      <c r="B768" s="2"/>
      <c r="C768" s="3"/>
      <c r="D768" s="3"/>
      <c r="E768" s="31" t="s">
        <v>3488</v>
      </c>
      <c r="F768" s="15">
        <v>401001</v>
      </c>
      <c r="G768" s="31" t="str">
        <f t="shared" si="79"/>
        <v>401001 (Ketenagalistrikan Pedesaan)</v>
      </c>
      <c r="H768" s="3"/>
      <c r="I768" s="16" t="s">
        <v>3489</v>
      </c>
      <c r="J768" s="52">
        <v>600937</v>
      </c>
      <c r="K768" s="16" t="str">
        <f t="shared" si="80"/>
        <v>600937 (PT. BPR Masyarakat Mandiri)</v>
      </c>
    </row>
    <row r="769" spans="1:11" ht="12.75" customHeight="1" x14ac:dyDescent="0.35">
      <c r="A769" s="10" t="s">
        <v>5744</v>
      </c>
      <c r="B769" s="2"/>
      <c r="C769" s="3"/>
      <c r="D769" s="3"/>
      <c r="E769" s="31" t="s">
        <v>3490</v>
      </c>
      <c r="F769" s="15">
        <v>401002</v>
      </c>
      <c r="G769" s="31" t="str">
        <f t="shared" si="79"/>
        <v>401002 (Ketenagalistrikan Lainnya)</v>
      </c>
      <c r="H769" s="3"/>
      <c r="I769" s="16" t="s">
        <v>3491</v>
      </c>
      <c r="J769" s="52">
        <v>600938</v>
      </c>
      <c r="K769" s="16" t="str">
        <f t="shared" si="80"/>
        <v>600938 (PT. BPR Gema Nusa)</v>
      </c>
    </row>
    <row r="770" spans="1:11" ht="12.75" customHeight="1" x14ac:dyDescent="0.35">
      <c r="A770" s="16" t="s">
        <v>5745</v>
      </c>
      <c r="B770" s="2"/>
      <c r="C770" s="3"/>
      <c r="D770" s="3"/>
      <c r="E770" s="31" t="s">
        <v>3492</v>
      </c>
      <c r="F770" s="15">
        <v>402000</v>
      </c>
      <c r="G770" s="31" t="str">
        <f t="shared" si="79"/>
        <v>402000 (Gas)</v>
      </c>
      <c r="H770" s="3"/>
      <c r="I770" s="16" t="s">
        <v>3493</v>
      </c>
      <c r="J770" s="52">
        <v>600939</v>
      </c>
      <c r="K770" s="16" t="str">
        <f t="shared" ref="K770:K1024" si="82">CONCATENATE(J770," (",SUBSTITUTE(I770,"  ",""),")")</f>
        <v>600939 (PT. BPR Sentral Arta Asia)</v>
      </c>
    </row>
    <row r="771" spans="1:11" ht="12.75" customHeight="1" x14ac:dyDescent="0.35">
      <c r="A771" s="16" t="s">
        <v>5746</v>
      </c>
      <c r="B771" s="2"/>
      <c r="C771" s="3"/>
      <c r="D771" s="3"/>
      <c r="E771" s="31" t="s">
        <v>3494</v>
      </c>
      <c r="F771" s="15">
        <v>403000</v>
      </c>
      <c r="G771" s="31" t="str">
        <f t="shared" si="79"/>
        <v>403000 (Uap dan  Air Panas)</v>
      </c>
      <c r="H771" s="3"/>
      <c r="I771" s="16" t="s">
        <v>3495</v>
      </c>
      <c r="J771" s="52">
        <v>600940</v>
      </c>
      <c r="K771" s="16" t="str">
        <f t="shared" si="82"/>
        <v>600940 (PT. BPR Sedulur Arthamakmur)</v>
      </c>
    </row>
    <row r="772" spans="1:11" ht="12.75" customHeight="1" x14ac:dyDescent="0.35">
      <c r="A772" s="3"/>
      <c r="B772" s="2"/>
      <c r="C772" s="3"/>
      <c r="D772" s="3"/>
      <c r="E772" s="31" t="s">
        <v>3496</v>
      </c>
      <c r="F772" s="15">
        <v>410000</v>
      </c>
      <c r="G772" s="31" t="str">
        <f t="shared" ref="G772:G803" si="83">CONCATENATE(F772," (",E772,")")</f>
        <v>410000 (Pengadaan dan Penyaluran Air Bersih)</v>
      </c>
      <c r="H772" s="3"/>
      <c r="I772" s="16" t="s">
        <v>3497</v>
      </c>
      <c r="J772" s="52">
        <v>600941</v>
      </c>
      <c r="K772" s="16" t="str">
        <f t="shared" si="82"/>
        <v>600941 (PT. BPR Sadhya Muktiparama)</v>
      </c>
    </row>
    <row r="773" spans="1:11" ht="12.75" customHeight="1" x14ac:dyDescent="0.35">
      <c r="A773" s="3"/>
      <c r="B773" s="2"/>
      <c r="C773" s="3"/>
      <c r="D773" s="3"/>
      <c r="E773" s="31" t="s">
        <v>3498</v>
      </c>
      <c r="F773" s="15">
        <v>451001</v>
      </c>
      <c r="G773" s="31" t="str">
        <f t="shared" si="83"/>
        <v>451001 (Penyiapan Tanah Pemukiman Transmigrasi (PTPT))</v>
      </c>
      <c r="H773" s="3"/>
      <c r="I773" s="16" t="s">
        <v>3499</v>
      </c>
      <c r="J773" s="52">
        <v>600942</v>
      </c>
      <c r="K773" s="16" t="str">
        <f t="shared" si="82"/>
        <v>600942 (KBPR Kalimasada)</v>
      </c>
    </row>
    <row r="774" spans="1:11" ht="12.75" customHeight="1" x14ac:dyDescent="0.35">
      <c r="A774" s="3"/>
      <c r="B774" s="2"/>
      <c r="C774" s="3"/>
      <c r="D774" s="3"/>
      <c r="E774" s="31" t="s">
        <v>3500</v>
      </c>
      <c r="F774" s="15">
        <v>451002</v>
      </c>
      <c r="G774" s="31" t="str">
        <f t="shared" si="83"/>
        <v>451002 (Pencetakan Lahan Sawah)</v>
      </c>
      <c r="H774" s="3"/>
      <c r="I774" s="16" t="s">
        <v>3501</v>
      </c>
      <c r="J774" s="52">
        <v>600943</v>
      </c>
      <c r="K774" s="16" t="str">
        <f t="shared" si="82"/>
        <v>600943 (PT BPR Utomo Widodo)</v>
      </c>
    </row>
    <row r="775" spans="1:11" ht="12.75" customHeight="1" x14ac:dyDescent="0.35">
      <c r="A775" s="3"/>
      <c r="B775" s="2"/>
      <c r="C775" s="3"/>
      <c r="D775" s="3"/>
      <c r="E775" s="31" t="s">
        <v>3502</v>
      </c>
      <c r="F775" s="15">
        <v>451009</v>
      </c>
      <c r="G775" s="31" t="str">
        <f t="shared" si="83"/>
        <v>451009 (Penyiapan Lahan Lainnya)</v>
      </c>
      <c r="H775" s="3"/>
      <c r="I775" s="16" t="s">
        <v>3503</v>
      </c>
      <c r="J775" s="52">
        <v>600944</v>
      </c>
      <c r="K775" s="16" t="str">
        <f t="shared" si="82"/>
        <v>600944 (PT. BPR Anugerah Paktomas)</v>
      </c>
    </row>
    <row r="776" spans="1:11" ht="12.75" customHeight="1" x14ac:dyDescent="0.35">
      <c r="A776" s="3"/>
      <c r="B776" s="2"/>
      <c r="C776" s="3"/>
      <c r="D776" s="3"/>
      <c r="E776" s="31" t="s">
        <v>3504</v>
      </c>
      <c r="F776" s="15">
        <v>452000</v>
      </c>
      <c r="G776" s="31" t="str">
        <f t="shared" si="83"/>
        <v>452000 (Konstruksi Gedung dan Bangunan Sipil)</v>
      </c>
      <c r="H776" s="3"/>
      <c r="I776" s="16" t="s">
        <v>3505</v>
      </c>
      <c r="J776" s="52">
        <v>600945</v>
      </c>
      <c r="K776" s="16" t="str">
        <f t="shared" si="82"/>
        <v>600945 (PT. BPR Bina Reksa Karyaartha)</v>
      </c>
    </row>
    <row r="777" spans="1:11" ht="12.75" customHeight="1" x14ac:dyDescent="0.35">
      <c r="A777" s="3"/>
      <c r="B777" s="2"/>
      <c r="C777" s="3"/>
      <c r="D777" s="3"/>
      <c r="E777" s="31" t="s">
        <v>3506</v>
      </c>
      <c r="F777" s="15">
        <v>452111</v>
      </c>
      <c r="G777" s="31" t="str">
        <f t="shared" si="83"/>
        <v>452111 (Konstruksi Perumahan Sederhana - Bank Tabungan Negara)</v>
      </c>
      <c r="H777" s="3"/>
      <c r="I777" s="16" t="s">
        <v>3507</v>
      </c>
      <c r="J777" s="52">
        <v>600946</v>
      </c>
      <c r="K777" s="16" t="str">
        <f t="shared" si="82"/>
        <v>600946 (PT. BD Dhaha Ekonomi)</v>
      </c>
    </row>
    <row r="778" spans="1:11" ht="12.75" customHeight="1" x14ac:dyDescent="0.35">
      <c r="A778" s="3"/>
      <c r="B778" s="2"/>
      <c r="C778" s="3"/>
      <c r="D778" s="3"/>
      <c r="E778" s="31" t="s">
        <v>3508</v>
      </c>
      <c r="F778" s="15">
        <v>452112</v>
      </c>
      <c r="G778" s="31" t="str">
        <f t="shared" si="83"/>
        <v>452112 (Konstruksi Perumahan Sederhana - Perumnas)</v>
      </c>
      <c r="H778" s="3"/>
      <c r="I778" s="16" t="s">
        <v>3509</v>
      </c>
      <c r="J778" s="52">
        <v>600947</v>
      </c>
      <c r="K778" s="16" t="str">
        <f t="shared" si="82"/>
        <v>600947 (PT. BP Dharma Raga)</v>
      </c>
    </row>
    <row r="779" spans="1:11" ht="12.75" customHeight="1" x14ac:dyDescent="0.35">
      <c r="A779" s="3"/>
      <c r="B779" s="2"/>
      <c r="C779" s="3"/>
      <c r="D779" s="3"/>
      <c r="E779" s="31" t="s">
        <v>3510</v>
      </c>
      <c r="F779" s="15">
        <v>452113</v>
      </c>
      <c r="G779" s="31" t="str">
        <f t="shared" si="83"/>
        <v>452113 (Konstruksi Perumahan Sederhana - Lainnya Tipe  s.d. 21)</v>
      </c>
      <c r="H779" s="3"/>
      <c r="I779" s="16" t="s">
        <v>3511</v>
      </c>
      <c r="J779" s="52">
        <v>600948</v>
      </c>
      <c r="K779" s="16" t="str">
        <f t="shared" si="82"/>
        <v>600948 (PD. BPR Kabupaten Dati II Madiun)</v>
      </c>
    </row>
    <row r="780" spans="1:11" ht="12.75" customHeight="1" x14ac:dyDescent="0.35">
      <c r="A780" s="3"/>
      <c r="B780" s="2"/>
      <c r="C780" s="3"/>
      <c r="D780" s="3"/>
      <c r="E780" s="31" t="s">
        <v>3512</v>
      </c>
      <c r="F780" s="15">
        <v>452114</v>
      </c>
      <c r="G780" s="31" t="str">
        <f t="shared" si="83"/>
        <v>452114 (Konstruksi Perumahan Sederhana - Lainnya Tipe  22  s.d. 70)</v>
      </c>
      <c r="H780" s="3"/>
      <c r="I780" s="16" t="s">
        <v>3513</v>
      </c>
      <c r="J780" s="52">
        <v>600949</v>
      </c>
      <c r="K780" s="16" t="str">
        <f t="shared" si="82"/>
        <v>600949 (PD BPR Bank Daerah Kab. Kediri)</v>
      </c>
    </row>
    <row r="781" spans="1:11" ht="12.75" customHeight="1" x14ac:dyDescent="0.35">
      <c r="A781" s="3"/>
      <c r="B781" s="2"/>
      <c r="C781" s="3"/>
      <c r="D781" s="3"/>
      <c r="E781" s="31" t="s">
        <v>3514</v>
      </c>
      <c r="F781" s="15">
        <v>452115</v>
      </c>
      <c r="G781" s="31" t="str">
        <f t="shared" si="83"/>
        <v>452115 (Konstruksi Perumahan  Menengah, Besar, Mewah (Tipe  Diatas 70))</v>
      </c>
      <c r="H781" s="3"/>
      <c r="I781" s="16" t="s">
        <v>3515</v>
      </c>
      <c r="J781" s="52">
        <v>600950</v>
      </c>
      <c r="K781" s="16" t="str">
        <f t="shared" si="82"/>
        <v>600950 (PD. BP Pemda Kota Madiun)</v>
      </c>
    </row>
    <row r="782" spans="1:11" ht="12.75" customHeight="1" x14ac:dyDescent="0.35">
      <c r="A782" s="3"/>
      <c r="B782" s="2"/>
      <c r="C782" s="3"/>
      <c r="D782" s="3"/>
      <c r="E782" s="31" t="s">
        <v>3516</v>
      </c>
      <c r="F782" s="15">
        <v>452120</v>
      </c>
      <c r="G782" s="31" t="str">
        <f t="shared" si="83"/>
        <v>452120 (Konstruksi Gedung Perkantoran)</v>
      </c>
      <c r="H782" s="3"/>
      <c r="I782" s="16" t="s">
        <v>3517</v>
      </c>
      <c r="J782" s="52">
        <v>600951</v>
      </c>
      <c r="K782" s="16" t="str">
        <f t="shared" si="82"/>
        <v>600951 (KOP. BP Tunas Artha)</v>
      </c>
    </row>
    <row r="783" spans="1:11" ht="12.75" customHeight="1" x14ac:dyDescent="0.35">
      <c r="A783" s="3"/>
      <c r="B783" s="2"/>
      <c r="C783" s="3"/>
      <c r="D783" s="3"/>
      <c r="E783" s="31" t="s">
        <v>3518</v>
      </c>
      <c r="F783" s="15">
        <v>452130</v>
      </c>
      <c r="G783" s="31" t="str">
        <f t="shared" si="83"/>
        <v>452130 (Konstruksi Gedung Industri)</v>
      </c>
      <c r="H783" s="3"/>
      <c r="I783" s="16" t="s">
        <v>3519</v>
      </c>
      <c r="J783" s="52">
        <v>600952</v>
      </c>
      <c r="K783" s="16" t="str">
        <f t="shared" si="82"/>
        <v>600952 (KOP. BP Wijaya Kusuma)</v>
      </c>
    </row>
    <row r="784" spans="1:11" ht="12.75" customHeight="1" x14ac:dyDescent="0.35">
      <c r="A784" s="3"/>
      <c r="B784" s="2"/>
      <c r="C784" s="3"/>
      <c r="D784" s="3"/>
      <c r="E784" s="31" t="s">
        <v>3520</v>
      </c>
      <c r="F784" s="15">
        <v>452141</v>
      </c>
      <c r="G784" s="31" t="str">
        <f t="shared" si="83"/>
        <v>452141 (Konstruksi Gedung Perbelanjaan Pasar Inpres)</v>
      </c>
      <c r="H784" s="3"/>
      <c r="I784" s="16" t="s">
        <v>3521</v>
      </c>
      <c r="J784" s="52">
        <v>600953</v>
      </c>
      <c r="K784" s="16" t="str">
        <f t="shared" si="82"/>
        <v>600953 (PT. BPR Artha Pamenang)</v>
      </c>
    </row>
    <row r="785" spans="1:11" ht="12.75" customHeight="1" x14ac:dyDescent="0.35">
      <c r="A785" s="3"/>
      <c r="B785" s="2"/>
      <c r="C785" s="3"/>
      <c r="D785" s="3"/>
      <c r="E785" s="31" t="s">
        <v>3522</v>
      </c>
      <c r="F785" s="15">
        <v>452149</v>
      </c>
      <c r="G785" s="31" t="str">
        <f t="shared" si="83"/>
        <v>452149 (Konstruksi Gedung Perbelanjaan Lainnya)</v>
      </c>
      <c r="H785" s="3"/>
      <c r="I785" s="16" t="s">
        <v>3523</v>
      </c>
      <c r="J785" s="52">
        <v>600954</v>
      </c>
      <c r="K785" s="16" t="str">
        <f t="shared" si="82"/>
        <v>600954 (PT. BPR Nusamba Ngunut)</v>
      </c>
    </row>
    <row r="786" spans="1:11" ht="12.75" customHeight="1" x14ac:dyDescent="0.35">
      <c r="A786" s="3"/>
      <c r="B786" s="2"/>
      <c r="C786" s="3"/>
      <c r="D786" s="3"/>
      <c r="E786" s="31" t="s">
        <v>3524</v>
      </c>
      <c r="F786" s="15">
        <v>452190</v>
      </c>
      <c r="G786" s="31" t="str">
        <f t="shared" si="83"/>
        <v>452190 (Konstruksi Gedung Lainnya)</v>
      </c>
      <c r="H786" s="3"/>
      <c r="I786" s="16" t="s">
        <v>3525</v>
      </c>
      <c r="J786" s="52">
        <v>600955</v>
      </c>
      <c r="K786" s="16" t="str">
        <f t="shared" si="82"/>
        <v>600955 (PT. BPR Nusamba Wlingi)</v>
      </c>
    </row>
    <row r="787" spans="1:11" ht="12.75" customHeight="1" x14ac:dyDescent="0.35">
      <c r="A787" s="3"/>
      <c r="B787" s="2"/>
      <c r="C787" s="3"/>
      <c r="D787" s="3"/>
      <c r="E787" s="31" t="s">
        <v>3526</v>
      </c>
      <c r="F787" s="15">
        <v>452211</v>
      </c>
      <c r="G787" s="31" t="str">
        <f t="shared" si="83"/>
        <v>452211 (Bangunan Jalan Raya)</v>
      </c>
      <c r="H787" s="3"/>
      <c r="I787" s="16" t="s">
        <v>3527</v>
      </c>
      <c r="J787" s="52">
        <v>600956</v>
      </c>
      <c r="K787" s="16" t="str">
        <f t="shared" si="82"/>
        <v>600956 (PT. BPR Sumberdhana Anda)</v>
      </c>
    </row>
    <row r="788" spans="1:11" ht="12.75" customHeight="1" x14ac:dyDescent="0.35">
      <c r="A788" s="3"/>
      <c r="B788" s="2"/>
      <c r="C788" s="3"/>
      <c r="D788" s="3"/>
      <c r="E788" s="31" t="s">
        <v>3528</v>
      </c>
      <c r="F788" s="15">
        <v>452212</v>
      </c>
      <c r="G788" s="31" t="str">
        <f t="shared" si="83"/>
        <v>452212 (Bangunan Jalan Tol)</v>
      </c>
      <c r="H788" s="3"/>
      <c r="I788" s="16" t="s">
        <v>3529</v>
      </c>
      <c r="J788" s="52">
        <v>600957</v>
      </c>
      <c r="K788" s="16" t="str">
        <f t="shared" si="82"/>
        <v>600957 (PT. BPR Artha Panggung Perkasa)</v>
      </c>
    </row>
    <row r="789" spans="1:11" ht="12.75" customHeight="1" x14ac:dyDescent="0.35">
      <c r="A789" s="3"/>
      <c r="B789" s="2"/>
      <c r="C789" s="3"/>
      <c r="D789" s="3"/>
      <c r="E789" s="31" t="s">
        <v>3530</v>
      </c>
      <c r="F789" s="15">
        <v>452213</v>
      </c>
      <c r="G789" s="31" t="str">
        <f t="shared" si="83"/>
        <v>452213 (Bangunan Jalan Jembatan dan Landasan)</v>
      </c>
      <c r="H789" s="3"/>
      <c r="I789" s="16" t="s">
        <v>3531</v>
      </c>
      <c r="J789" s="52">
        <v>600958</v>
      </c>
      <c r="K789" s="16" t="str">
        <f t="shared" si="82"/>
        <v>600958 (PT. BPR Ngunut Arta)</v>
      </c>
    </row>
    <row r="790" spans="1:11" ht="12.75" customHeight="1" x14ac:dyDescent="0.35">
      <c r="A790" s="3"/>
      <c r="B790" s="2"/>
      <c r="C790" s="3"/>
      <c r="D790" s="3"/>
      <c r="E790" s="31" t="s">
        <v>3532</v>
      </c>
      <c r="F790" s="15">
        <v>452220</v>
      </c>
      <c r="G790" s="31" t="str">
        <f t="shared" si="83"/>
        <v>452220 (Bangunan Jalan dan Jembatan Kereta Api)</v>
      </c>
      <c r="H790" s="3"/>
      <c r="I790" s="16" t="s">
        <v>3533</v>
      </c>
      <c r="J790" s="52">
        <v>600959</v>
      </c>
      <c r="K790" s="16" t="str">
        <f t="shared" si="82"/>
        <v>600959 (PT. BPR Bintang Tulungagung)</v>
      </c>
    </row>
    <row r="791" spans="1:11" ht="12.75" customHeight="1" x14ac:dyDescent="0.35">
      <c r="A791" s="3"/>
      <c r="B791" s="2"/>
      <c r="C791" s="3"/>
      <c r="D791" s="3"/>
      <c r="E791" s="31" t="s">
        <v>3534</v>
      </c>
      <c r="F791" s="15">
        <v>452240</v>
      </c>
      <c r="G791" s="31" t="str">
        <f t="shared" si="83"/>
        <v>452240 (Bangunan Pengairan (Irigasi))</v>
      </c>
      <c r="H791" s="3"/>
      <c r="I791" s="16" t="s">
        <v>3535</v>
      </c>
      <c r="J791" s="52">
        <v>600961</v>
      </c>
      <c r="K791" s="16" t="str">
        <f t="shared" si="82"/>
        <v>600961 (PT. BPR Ekadharma Bhina Raharja)</v>
      </c>
    </row>
    <row r="792" spans="1:11" ht="12.75" customHeight="1" x14ac:dyDescent="0.35">
      <c r="A792" s="3"/>
      <c r="B792" s="2"/>
      <c r="C792" s="3"/>
      <c r="D792" s="3"/>
      <c r="E792" s="31" t="s">
        <v>3536</v>
      </c>
      <c r="F792" s="15">
        <v>452270</v>
      </c>
      <c r="G792" s="31" t="str">
        <f t="shared" si="83"/>
        <v>452270 (Bangunan Dermaga (Pelabuhan))</v>
      </c>
      <c r="H792" s="3"/>
      <c r="I792" s="16" t="s">
        <v>3537</v>
      </c>
      <c r="J792" s="52">
        <v>600963</v>
      </c>
      <c r="K792" s="16" t="str">
        <f t="shared" si="82"/>
        <v>600963 (PT BPR Artha Samudera Indonesia)</v>
      </c>
    </row>
    <row r="793" spans="1:11" ht="12.75" customHeight="1" x14ac:dyDescent="0.35">
      <c r="A793" s="3"/>
      <c r="B793" s="2"/>
      <c r="C793" s="3"/>
      <c r="D793" s="3"/>
      <c r="E793" s="31" t="s">
        <v>3538</v>
      </c>
      <c r="F793" s="15">
        <v>452290</v>
      </c>
      <c r="G793" s="31" t="str">
        <f t="shared" si="83"/>
        <v>452290 (Bangunan Sipil  Lainnya)</v>
      </c>
      <c r="H793" s="3"/>
      <c r="I793" s="16" t="s">
        <v>3539</v>
      </c>
      <c r="J793" s="52">
        <v>600964</v>
      </c>
      <c r="K793" s="16" t="str">
        <f t="shared" si="82"/>
        <v>600964 (KOP. BPR Babadan)</v>
      </c>
    </row>
    <row r="794" spans="1:11" ht="12.75" customHeight="1" x14ac:dyDescent="0.35">
      <c r="A794" s="3"/>
      <c r="B794" s="2"/>
      <c r="C794" s="3"/>
      <c r="D794" s="3"/>
      <c r="E794" s="31" t="s">
        <v>3540</v>
      </c>
      <c r="F794" s="15">
        <v>452301</v>
      </c>
      <c r="G794" s="31" t="str">
        <f t="shared" si="83"/>
        <v>452301 (Konstruksi Bangunan Listrik Pedesaan)</v>
      </c>
      <c r="H794" s="3"/>
      <c r="I794" s="16" t="s">
        <v>3541</v>
      </c>
      <c r="J794" s="52">
        <v>600965</v>
      </c>
      <c r="K794" s="16" t="str">
        <f t="shared" si="82"/>
        <v>600965 (KOP. BPR Arta Kencana)</v>
      </c>
    </row>
    <row r="795" spans="1:11" ht="12.75" customHeight="1" x14ac:dyDescent="0.35">
      <c r="A795" s="3"/>
      <c r="B795" s="2"/>
      <c r="C795" s="3"/>
      <c r="D795" s="3"/>
      <c r="E795" s="31" t="s">
        <v>3542</v>
      </c>
      <c r="F795" s="15">
        <v>452309</v>
      </c>
      <c r="G795" s="31" t="str">
        <f t="shared" si="83"/>
        <v>452309 (Konstruksi Bangunan Elektrikal dan Komunikasi Lainnya)</v>
      </c>
      <c r="H795" s="3"/>
      <c r="I795" s="16" t="s">
        <v>3543</v>
      </c>
      <c r="J795" s="52">
        <v>600966</v>
      </c>
      <c r="K795" s="16" t="str">
        <f t="shared" si="82"/>
        <v>600966 (PT BPR Artha Nugraha)</v>
      </c>
    </row>
    <row r="796" spans="1:11" ht="12.75" customHeight="1" x14ac:dyDescent="0.35">
      <c r="A796" s="3"/>
      <c r="B796" s="2"/>
      <c r="C796" s="3"/>
      <c r="D796" s="3"/>
      <c r="E796" s="31" t="s">
        <v>3544</v>
      </c>
      <c r="F796" s="15">
        <v>452400</v>
      </c>
      <c r="G796" s="31" t="str">
        <f t="shared" si="83"/>
        <v>452400 (Konstruksi Khusus)</v>
      </c>
      <c r="H796" s="3"/>
      <c r="I796" s="16" t="s">
        <v>3545</v>
      </c>
      <c r="J796" s="52">
        <v>600967</v>
      </c>
      <c r="K796" s="16" t="str">
        <f t="shared" si="82"/>
        <v>600967 (PT. BPR Ambulu Dhanaartha)</v>
      </c>
    </row>
    <row r="797" spans="1:11" ht="12.75" customHeight="1" x14ac:dyDescent="0.35">
      <c r="A797" s="3"/>
      <c r="B797" s="2"/>
      <c r="C797" s="3"/>
      <c r="D797" s="3"/>
      <c r="E797" s="31" t="s">
        <v>3546</v>
      </c>
      <c r="F797" s="15">
        <v>453100</v>
      </c>
      <c r="G797" s="31" t="str">
        <f t="shared" si="83"/>
        <v>453100 (Instalasi Gedung)</v>
      </c>
      <c r="H797" s="3"/>
      <c r="I797" s="16" t="s">
        <v>3547</v>
      </c>
      <c r="J797" s="52">
        <v>600968</v>
      </c>
      <c r="K797" s="16" t="str">
        <f t="shared" si="82"/>
        <v>600968 (PT. BPR Blambangan Makmur)</v>
      </c>
    </row>
    <row r="798" spans="1:11" ht="12.75" customHeight="1" x14ac:dyDescent="0.35">
      <c r="A798" s="3"/>
      <c r="B798" s="2"/>
      <c r="C798" s="3"/>
      <c r="D798" s="3"/>
      <c r="E798" s="31" t="s">
        <v>3548</v>
      </c>
      <c r="F798" s="15">
        <v>453200</v>
      </c>
      <c r="G798" s="31" t="str">
        <f t="shared" si="83"/>
        <v>453200 (Instalasi Bangunan Sipil)</v>
      </c>
      <c r="H798" s="3"/>
      <c r="I798" s="16" t="s">
        <v>3549</v>
      </c>
      <c r="J798" s="52">
        <v>600969</v>
      </c>
      <c r="K798" s="16" t="str">
        <f t="shared" si="82"/>
        <v>600969 (PT. BPR Cinde Wilis)</v>
      </c>
    </row>
    <row r="799" spans="1:11" ht="12.75" customHeight="1" x14ac:dyDescent="0.35">
      <c r="A799" s="3"/>
      <c r="B799" s="2"/>
      <c r="C799" s="3"/>
      <c r="D799" s="3"/>
      <c r="E799" s="31" t="s">
        <v>3550</v>
      </c>
      <c r="F799" s="15">
        <v>454000</v>
      </c>
      <c r="G799" s="31" t="str">
        <f t="shared" si="83"/>
        <v>454000 (Penyelesaian Konstruksi Gedung)</v>
      </c>
      <c r="H799" s="3"/>
      <c r="I799" s="16" t="s">
        <v>3551</v>
      </c>
      <c r="J799" s="52">
        <v>600970</v>
      </c>
      <c r="K799" s="16" t="str">
        <f t="shared" si="82"/>
        <v>600970 (PT. BPR Jember Lestari)</v>
      </c>
    </row>
    <row r="800" spans="1:11" ht="12.75" customHeight="1" x14ac:dyDescent="0.35">
      <c r="A800" s="3"/>
      <c r="B800" s="2"/>
      <c r="C800" s="3"/>
      <c r="D800" s="3"/>
      <c r="E800" s="31" t="s">
        <v>3552</v>
      </c>
      <c r="F800" s="15">
        <v>455000</v>
      </c>
      <c r="G800" s="31" t="str">
        <f t="shared" si="83"/>
        <v>455000 (Penghancur Bangunan Dengan Operatornya)</v>
      </c>
      <c r="H800" s="3"/>
      <c r="I800" s="16" t="s">
        <v>3553</v>
      </c>
      <c r="J800" s="52">
        <v>600971</v>
      </c>
      <c r="K800" s="16" t="str">
        <f t="shared" si="82"/>
        <v>600971 (PT. BPR Karunia Pakto)</v>
      </c>
    </row>
    <row r="801" spans="1:11" ht="12.75" customHeight="1" x14ac:dyDescent="0.35">
      <c r="A801" s="3"/>
      <c r="B801" s="2"/>
      <c r="C801" s="3"/>
      <c r="D801" s="3"/>
      <c r="E801" s="31" t="s">
        <v>3554</v>
      </c>
      <c r="F801" s="15">
        <v>501000</v>
      </c>
      <c r="G801" s="31" t="str">
        <f t="shared" si="83"/>
        <v>501000 (Penjualan Mobil)</v>
      </c>
      <c r="H801" s="3"/>
      <c r="I801" s="16" t="s">
        <v>3555</v>
      </c>
      <c r="J801" s="52">
        <v>600972</v>
      </c>
      <c r="K801" s="16" t="str">
        <f t="shared" si="82"/>
        <v>600972 (PT. BPR Mahkota Reksaguna Artha)</v>
      </c>
    </row>
    <row r="802" spans="1:11" ht="12.75" customHeight="1" x14ac:dyDescent="0.35">
      <c r="A802" s="3"/>
      <c r="B802" s="2"/>
      <c r="C802" s="3"/>
      <c r="D802" s="3"/>
      <c r="E802" s="31" t="s">
        <v>3556</v>
      </c>
      <c r="F802" s="15">
        <v>502000</v>
      </c>
      <c r="G802" s="31" t="str">
        <f t="shared" si="83"/>
        <v>502000 (Penjualan Suku Cadang dan Aksesoris Mobil)</v>
      </c>
      <c r="H802" s="3"/>
      <c r="I802" s="16" t="s">
        <v>3557</v>
      </c>
      <c r="J802" s="52">
        <v>600973</v>
      </c>
      <c r="K802" s="16" t="str">
        <f t="shared" si="82"/>
        <v>600973 (PT. BPR Bappuri)</v>
      </c>
    </row>
    <row r="803" spans="1:11" ht="12.75" customHeight="1" x14ac:dyDescent="0.35">
      <c r="A803" s="3"/>
      <c r="B803" s="2"/>
      <c r="C803" s="3"/>
      <c r="D803" s="3"/>
      <c r="E803" s="31" t="s">
        <v>3558</v>
      </c>
      <c r="F803" s="15">
        <v>503001</v>
      </c>
      <c r="G803" s="31" t="str">
        <f t="shared" si="83"/>
        <v>503001 (Penjualan Sepeda Motor)</v>
      </c>
      <c r="H803" s="3"/>
      <c r="I803" s="16" t="s">
        <v>3559</v>
      </c>
      <c r="J803" s="52">
        <v>600974</v>
      </c>
      <c r="K803" s="16" t="str">
        <f t="shared" si="82"/>
        <v>600974 (PT. BPR Rogojampi Artha Niaga)</v>
      </c>
    </row>
    <row r="804" spans="1:11" ht="12.75" customHeight="1" x14ac:dyDescent="0.35">
      <c r="A804" s="3"/>
      <c r="B804" s="2"/>
      <c r="C804" s="3"/>
      <c r="D804" s="3"/>
      <c r="E804" s="31" t="s">
        <v>3560</v>
      </c>
      <c r="F804" s="15">
        <v>503002</v>
      </c>
      <c r="G804" s="31" t="str">
        <f t="shared" ref="G804:G825" si="84">CONCATENATE(F804," (",E804,")")</f>
        <v>503002 (Penjualan Suku Cadang dan Aksesoris Sepeda Motor)</v>
      </c>
      <c r="H804" s="3"/>
      <c r="I804" s="16" t="s">
        <v>3561</v>
      </c>
      <c r="J804" s="52">
        <v>600975</v>
      </c>
      <c r="K804" s="16" t="str">
        <f t="shared" si="82"/>
        <v>600975 (PT. BPR Swadhanamas Pakto)</v>
      </c>
    </row>
    <row r="805" spans="1:11" ht="12.75" customHeight="1" x14ac:dyDescent="0.35">
      <c r="A805" s="3"/>
      <c r="B805" s="2"/>
      <c r="C805" s="3"/>
      <c r="D805" s="3"/>
      <c r="E805" s="31" t="s">
        <v>3562</v>
      </c>
      <c r="F805" s="15">
        <v>504000</v>
      </c>
      <c r="G805" s="31" t="str">
        <f t="shared" si="84"/>
        <v>504000 (Perdagangan Eceran Bahan Bakar Kendaraan)</v>
      </c>
      <c r="H805" s="3"/>
      <c r="I805" s="16" t="s">
        <v>3563</v>
      </c>
      <c r="J805" s="52">
        <v>600976</v>
      </c>
      <c r="K805" s="16" t="str">
        <f t="shared" si="82"/>
        <v>600976 (PT. BPR Wilis Putra Utama)</v>
      </c>
    </row>
    <row r="806" spans="1:11" ht="12.75" customHeight="1" x14ac:dyDescent="0.35">
      <c r="A806" s="3"/>
      <c r="B806" s="2"/>
      <c r="C806" s="3"/>
      <c r="D806" s="3"/>
      <c r="E806" s="31" t="s">
        <v>3564</v>
      </c>
      <c r="F806" s="15">
        <v>511000</v>
      </c>
      <c r="G806" s="31" t="str">
        <f t="shared" si="84"/>
        <v>511000 (Perdagangan Besar Berdasarkan Balas Jasa (Fee) Atau Kontrak)</v>
      </c>
      <c r="H806" s="3"/>
      <c r="I806" s="16" t="s">
        <v>3565</v>
      </c>
      <c r="J806" s="52">
        <v>600977</v>
      </c>
      <c r="K806" s="16" t="str">
        <f t="shared" si="82"/>
        <v>600977 (PT. BPR Nusamba Genteng)</v>
      </c>
    </row>
    <row r="807" spans="1:11" ht="12.75" customHeight="1" x14ac:dyDescent="0.35">
      <c r="A807" s="3"/>
      <c r="B807" s="2"/>
      <c r="C807" s="3"/>
      <c r="D807" s="3"/>
      <c r="E807" s="31" t="s">
        <v>3566</v>
      </c>
      <c r="F807" s="15">
        <v>512111</v>
      </c>
      <c r="G807" s="31" t="str">
        <f t="shared" si="84"/>
        <v>512111 (Perdagangan Jagung)</v>
      </c>
      <c r="H807" s="3"/>
      <c r="I807" s="16" t="s">
        <v>3567</v>
      </c>
      <c r="J807" s="52">
        <v>600978</v>
      </c>
      <c r="K807" s="16" t="str">
        <f t="shared" si="82"/>
        <v>600978 (PT. BPR Nusamba Rambipuji)</v>
      </c>
    </row>
    <row r="808" spans="1:11" ht="12.75" customHeight="1" x14ac:dyDescent="0.35">
      <c r="A808" s="3"/>
      <c r="B808" s="2"/>
      <c r="C808" s="3"/>
      <c r="D808" s="3"/>
      <c r="E808" s="31" t="s">
        <v>3568</v>
      </c>
      <c r="F808" s="15">
        <v>512112</v>
      </c>
      <c r="G808" s="31" t="str">
        <f t="shared" si="84"/>
        <v>512112 (Perdagangan Tembakau)</v>
      </c>
      <c r="H808" s="3"/>
      <c r="I808" s="16" t="s">
        <v>3569</v>
      </c>
      <c r="J808" s="52">
        <v>600979</v>
      </c>
      <c r="K808" s="16" t="str">
        <f t="shared" si="82"/>
        <v>600979 (PT. BPR Rambi Artha Putra)</v>
      </c>
    </row>
    <row r="809" spans="1:11" ht="12.75" customHeight="1" x14ac:dyDescent="0.35">
      <c r="A809" s="3"/>
      <c r="B809" s="2"/>
      <c r="C809" s="3"/>
      <c r="D809" s="3"/>
      <c r="E809" s="31" t="s">
        <v>3570</v>
      </c>
      <c r="F809" s="15">
        <v>512113</v>
      </c>
      <c r="G809" s="31" t="str">
        <f t="shared" si="84"/>
        <v>512113 (Perdagangan Karet)</v>
      </c>
      <c r="H809" s="3"/>
      <c r="I809" s="16" t="s">
        <v>3571</v>
      </c>
      <c r="J809" s="52">
        <v>600980</v>
      </c>
      <c r="K809" s="16" t="str">
        <f t="shared" si="82"/>
        <v>600980 (PT. BPR Tridana Kencana)</v>
      </c>
    </row>
    <row r="810" spans="1:11" ht="12.75" customHeight="1" x14ac:dyDescent="0.35">
      <c r="A810" s="3"/>
      <c r="B810" s="2"/>
      <c r="C810" s="3"/>
      <c r="D810" s="3"/>
      <c r="E810" s="31" t="s">
        <v>3572</v>
      </c>
      <c r="F810" s="15">
        <v>512114</v>
      </c>
      <c r="G810" s="31" t="str">
        <f t="shared" si="84"/>
        <v>512114 (Perdagangan Cengkeh)</v>
      </c>
      <c r="H810" s="3"/>
      <c r="I810" s="16" t="s">
        <v>3573</v>
      </c>
      <c r="J810" s="52">
        <v>600981</v>
      </c>
      <c r="K810" s="16" t="str">
        <f t="shared" si="82"/>
        <v>600981 (PT. BPR Tanggul Arto)</v>
      </c>
    </row>
    <row r="811" spans="1:11" ht="12.75" customHeight="1" x14ac:dyDescent="0.35">
      <c r="A811" s="3"/>
      <c r="B811" s="2"/>
      <c r="C811" s="3"/>
      <c r="D811" s="3"/>
      <c r="E811" s="31" t="s">
        <v>3574</v>
      </c>
      <c r="F811" s="15">
        <v>512115</v>
      </c>
      <c r="G811" s="31" t="str">
        <f t="shared" si="84"/>
        <v>512115 (Perdagangan Lada)</v>
      </c>
      <c r="H811" s="3"/>
      <c r="I811" s="16" t="s">
        <v>3575</v>
      </c>
      <c r="J811" s="52">
        <v>600983</v>
      </c>
      <c r="K811" s="16" t="str">
        <f t="shared" si="82"/>
        <v>600983 (PT. BPR Gunung Modal Usaha)</v>
      </c>
    </row>
    <row r="812" spans="1:11" ht="12.75" customHeight="1" x14ac:dyDescent="0.35">
      <c r="A812" s="3"/>
      <c r="B812" s="2"/>
      <c r="C812" s="3"/>
      <c r="D812" s="3"/>
      <c r="E812" s="31" t="s">
        <v>3576</v>
      </c>
      <c r="F812" s="15">
        <v>512116</v>
      </c>
      <c r="G812" s="31" t="str">
        <f t="shared" si="84"/>
        <v>512116 (Perdagangan Kelapa dan Kelapa Sawit)</v>
      </c>
      <c r="H812" s="3"/>
      <c r="I812" s="16" t="s">
        <v>3577</v>
      </c>
      <c r="J812" s="52">
        <v>600984</v>
      </c>
      <c r="K812" s="16" t="str">
        <f t="shared" si="82"/>
        <v>600984 (PT. BPR Balung Artha Guna)</v>
      </c>
    </row>
    <row r="813" spans="1:11" ht="12.75" customHeight="1" x14ac:dyDescent="0.35">
      <c r="A813" s="3"/>
      <c r="B813" s="2"/>
      <c r="C813" s="3"/>
      <c r="D813" s="3"/>
      <c r="E813" s="31" t="s">
        <v>3578</v>
      </c>
      <c r="F813" s="15">
        <v>512117</v>
      </c>
      <c r="G813" s="31" t="str">
        <f t="shared" si="84"/>
        <v>512117 (Perdagangan Kapas)</v>
      </c>
      <c r="H813" s="3"/>
      <c r="I813" s="16" t="s">
        <v>3579</v>
      </c>
      <c r="J813" s="52">
        <v>600985</v>
      </c>
      <c r="K813" s="16" t="str">
        <f t="shared" si="82"/>
        <v>600985 (PT. BPR Bima Hayu Pratama)</v>
      </c>
    </row>
    <row r="814" spans="1:11" ht="12.75" customHeight="1" x14ac:dyDescent="0.35">
      <c r="A814" s="3"/>
      <c r="B814" s="2"/>
      <c r="C814" s="3"/>
      <c r="D814" s="3"/>
      <c r="E814" s="31" t="s">
        <v>3580</v>
      </c>
      <c r="F814" s="15">
        <v>512119</v>
      </c>
      <c r="G814" s="31" t="str">
        <f t="shared" si="84"/>
        <v>512119 (Perdagangan Besar Dalam Negeri Hasil Pertanian  Lainnya)</v>
      </c>
      <c r="H814" s="3"/>
      <c r="I814" s="16" t="s">
        <v>3581</v>
      </c>
      <c r="J814" s="52">
        <v>600986</v>
      </c>
      <c r="K814" s="16" t="str">
        <f t="shared" si="82"/>
        <v>600986 (PT. BPR Bintang Niaga)</v>
      </c>
    </row>
    <row r="815" spans="1:11" ht="12.75" customHeight="1" x14ac:dyDescent="0.35">
      <c r="A815" s="3"/>
      <c r="B815" s="2"/>
      <c r="C815" s="3"/>
      <c r="D815" s="3"/>
      <c r="E815" s="31" t="s">
        <v>3582</v>
      </c>
      <c r="F815" s="15">
        <v>512120</v>
      </c>
      <c r="G815" s="31" t="str">
        <f t="shared" si="84"/>
        <v>512120 (Perdagangan Besar Dalam Negeri Binatang Hidup)</v>
      </c>
      <c r="H815" s="3"/>
      <c r="I815" s="16" t="s">
        <v>3583</v>
      </c>
      <c r="J815" s="52">
        <v>600987</v>
      </c>
      <c r="K815" s="16" t="str">
        <f t="shared" si="82"/>
        <v>600987 (PT. BPR Rini Bhaktinusa)</v>
      </c>
    </row>
    <row r="816" spans="1:11" ht="12.75" customHeight="1" x14ac:dyDescent="0.35">
      <c r="A816" s="3"/>
      <c r="B816" s="2"/>
      <c r="C816" s="3"/>
      <c r="D816" s="3"/>
      <c r="E816" s="31" t="s">
        <v>3584</v>
      </c>
      <c r="F816" s="15">
        <v>512130</v>
      </c>
      <c r="G816" s="31" t="str">
        <f t="shared" si="84"/>
        <v>512130 (Perdagangan Besar Dalam Negeri Hasil Perikanan)</v>
      </c>
      <c r="H816" s="3"/>
      <c r="I816" s="16" t="s">
        <v>3585</v>
      </c>
      <c r="J816" s="52">
        <v>600988</v>
      </c>
      <c r="K816" s="16" t="str">
        <f t="shared" si="82"/>
        <v>600988 (PT BPR Anugerahdharma Yuwana Jember)</v>
      </c>
    </row>
    <row r="817" spans="1:11" ht="12.75" customHeight="1" x14ac:dyDescent="0.35">
      <c r="A817" s="3"/>
      <c r="B817" s="2"/>
      <c r="C817" s="3"/>
      <c r="D817" s="3"/>
      <c r="E817" s="31" t="s">
        <v>3586</v>
      </c>
      <c r="F817" s="15">
        <v>512141</v>
      </c>
      <c r="G817" s="31" t="str">
        <f t="shared" si="84"/>
        <v>512141 (Perdagangan Kayu)</v>
      </c>
      <c r="H817" s="3"/>
      <c r="I817" s="16" t="s">
        <v>3587</v>
      </c>
      <c r="J817" s="52">
        <v>600989</v>
      </c>
      <c r="K817" s="16" t="str">
        <f t="shared" si="82"/>
        <v>600989 (PT. BPR Cahaya Artha Bali)</v>
      </c>
    </row>
    <row r="818" spans="1:11" ht="12.75" customHeight="1" x14ac:dyDescent="0.35">
      <c r="A818" s="3"/>
      <c r="B818" s="2"/>
      <c r="C818" s="3"/>
      <c r="D818" s="3"/>
      <c r="E818" s="31" t="s">
        <v>3588</v>
      </c>
      <c r="F818" s="15">
        <v>512149</v>
      </c>
      <c r="G818" s="31" t="str">
        <f t="shared" si="84"/>
        <v>512149 (Perdagangan Besar Dalam Negeri Hasil Kehutanan dan Perburuan Lainnya)</v>
      </c>
      <c r="H818" s="3"/>
      <c r="I818" s="16" t="s">
        <v>3589</v>
      </c>
      <c r="J818" s="52">
        <v>600990</v>
      </c>
      <c r="K818" s="16" t="str">
        <f t="shared" si="82"/>
        <v>600990 (PT. BPR Wahyu Niramala d/h Candi Amertha)</v>
      </c>
    </row>
    <row r="819" spans="1:11" ht="12.75" customHeight="1" x14ac:dyDescent="0.35">
      <c r="A819" s="3"/>
      <c r="B819" s="2"/>
      <c r="C819" s="3"/>
      <c r="D819" s="3"/>
      <c r="E819" s="31" t="s">
        <v>3590</v>
      </c>
      <c r="F819" s="15">
        <v>512201</v>
      </c>
      <c r="G819" s="31" t="str">
        <f t="shared" si="84"/>
        <v>512201 (Perdagangan Dalam Negeri Beras)</v>
      </c>
      <c r="H819" s="3"/>
      <c r="I819" s="16" t="s">
        <v>3591</v>
      </c>
      <c r="J819" s="52">
        <v>600991</v>
      </c>
      <c r="K819" s="16" t="str">
        <f t="shared" si="82"/>
        <v>600991 (KOP. BPR Surya Kencana)</v>
      </c>
    </row>
    <row r="820" spans="1:11" ht="12.75" customHeight="1" x14ac:dyDescent="0.35">
      <c r="A820" s="3"/>
      <c r="B820" s="2"/>
      <c r="C820" s="3"/>
      <c r="D820" s="3"/>
      <c r="E820" s="31" t="s">
        <v>3592</v>
      </c>
      <c r="F820" s="15">
        <v>512202</v>
      </c>
      <c r="G820" s="31" t="str">
        <f t="shared" si="84"/>
        <v>512202 (Perdagangan Dalam Negeri Gula)</v>
      </c>
      <c r="H820" s="3"/>
      <c r="I820" s="16" t="s">
        <v>3593</v>
      </c>
      <c r="J820" s="52">
        <v>600992</v>
      </c>
      <c r="K820" s="16" t="str">
        <f t="shared" si="82"/>
        <v>600992 (KOP. BPR Eka Usaha)</v>
      </c>
    </row>
    <row r="821" spans="1:11" ht="12.75" customHeight="1" x14ac:dyDescent="0.35">
      <c r="A821" s="3"/>
      <c r="B821" s="2"/>
      <c r="C821" s="3"/>
      <c r="D821" s="3"/>
      <c r="E821" s="31" t="s">
        <v>3594</v>
      </c>
      <c r="F821" s="15">
        <v>512203</v>
      </c>
      <c r="G821" s="31" t="str">
        <f t="shared" si="84"/>
        <v>512203 (Perdagangan Dalam Negeri Kopi)</v>
      </c>
      <c r="H821" s="3"/>
      <c r="I821" s="16" t="s">
        <v>3595</v>
      </c>
      <c r="J821" s="52">
        <v>600993</v>
      </c>
      <c r="K821" s="16" t="str">
        <f t="shared" si="82"/>
        <v>600993 (KOP. BPR Tanggul Makmur)</v>
      </c>
    </row>
    <row r="822" spans="1:11" ht="12.75" customHeight="1" x14ac:dyDescent="0.35">
      <c r="A822" s="3"/>
      <c r="B822" s="2"/>
      <c r="C822" s="3"/>
      <c r="D822" s="3"/>
      <c r="E822" s="31" t="s">
        <v>3596</v>
      </c>
      <c r="F822" s="15">
        <v>512204</v>
      </c>
      <c r="G822" s="31" t="str">
        <f t="shared" si="84"/>
        <v>512204 (Perdagangan Dalam Negeri Teh)</v>
      </c>
      <c r="H822" s="3"/>
      <c r="I822" s="16" t="s">
        <v>3597</v>
      </c>
      <c r="J822" s="52">
        <v>600994</v>
      </c>
      <c r="K822" s="16" t="str">
        <f t="shared" si="82"/>
        <v>600994 (PT. BPR Bukit Tanjung)</v>
      </c>
    </row>
    <row r="823" spans="1:11" ht="12.75" customHeight="1" x14ac:dyDescent="0.35">
      <c r="A823" s="3"/>
      <c r="B823" s="2"/>
      <c r="C823" s="3"/>
      <c r="D823" s="3"/>
      <c r="E823" s="31" t="s">
        <v>3598</v>
      </c>
      <c r="F823" s="15">
        <v>512205</v>
      </c>
      <c r="G823" s="31" t="str">
        <f t="shared" si="84"/>
        <v>512205 (Perdagangan Dalam Negeri Garam)</v>
      </c>
      <c r="H823" s="3"/>
      <c r="I823" s="16" t="s">
        <v>3599</v>
      </c>
      <c r="J823" s="52">
        <v>600995</v>
      </c>
      <c r="K823" s="16" t="str">
        <f t="shared" si="82"/>
        <v>600995 (PT. BPR Dalung)</v>
      </c>
    </row>
    <row r="824" spans="1:11" ht="12.75" customHeight="1" x14ac:dyDescent="0.35">
      <c r="A824" s="3"/>
      <c r="B824" s="2"/>
      <c r="C824" s="3"/>
      <c r="D824" s="3"/>
      <c r="E824" s="31" t="s">
        <v>3600</v>
      </c>
      <c r="F824" s="15">
        <v>512206</v>
      </c>
      <c r="G824" s="31" t="str">
        <f t="shared" si="84"/>
        <v>512206 (Perdagangan Dalam Negeri Minyak Kelapa Sawit)</v>
      </c>
      <c r="H824" s="3"/>
      <c r="I824" s="16" t="s">
        <v>3601</v>
      </c>
      <c r="J824" s="52">
        <v>600996</v>
      </c>
      <c r="K824" s="16" t="str">
        <f t="shared" si="82"/>
        <v>600996 (PT. BPR Sari Dananiaga)</v>
      </c>
    </row>
    <row r="825" spans="1:11" ht="12.75" customHeight="1" x14ac:dyDescent="0.35">
      <c r="A825" s="3"/>
      <c r="B825" s="2"/>
      <c r="C825" s="3"/>
      <c r="D825" s="3"/>
      <c r="E825" s="31" t="s">
        <v>3602</v>
      </c>
      <c r="F825" s="15">
        <v>512207</v>
      </c>
      <c r="G825" s="31" t="str">
        <f t="shared" si="84"/>
        <v>512207 (Perdagangan Dalam Negeri Kopra)</v>
      </c>
      <c r="H825" s="3"/>
      <c r="I825" s="16" t="s">
        <v>3603</v>
      </c>
      <c r="J825" s="52">
        <v>600997</v>
      </c>
      <c r="K825" s="16" t="str">
        <f t="shared" si="82"/>
        <v>600997 (PD. BPR Bank Buleleng Empat Lima)</v>
      </c>
    </row>
    <row r="826" spans="1:11" ht="12.75" customHeight="1" x14ac:dyDescent="0.35">
      <c r="A826" s="3"/>
      <c r="B826" s="2"/>
      <c r="C826" s="3"/>
      <c r="D826" s="3"/>
      <c r="E826" s="31" t="s">
        <v>3604</v>
      </c>
      <c r="F826" s="15">
        <v>512208</v>
      </c>
      <c r="G826" s="31" t="str">
        <f t="shared" ref="G826:G1050" si="85">CONCATENATE(F826," (",E826,")")</f>
        <v>512208 (Perdagangan Dalam Negeri Rokok)</v>
      </c>
      <c r="H826" s="3"/>
      <c r="I826" s="16" t="s">
        <v>3605</v>
      </c>
      <c r="J826" s="52">
        <v>600998</v>
      </c>
      <c r="K826" s="16" t="str">
        <f t="shared" si="82"/>
        <v>600998 (PT. BPR Indra Candra d/h MAI BP Indra)</v>
      </c>
    </row>
    <row r="827" spans="1:11" ht="12.75" customHeight="1" x14ac:dyDescent="0.35">
      <c r="A827" s="3"/>
      <c r="B827" s="2"/>
      <c r="C827" s="3"/>
      <c r="D827" s="3"/>
      <c r="E827" s="31" t="s">
        <v>3606</v>
      </c>
      <c r="F827" s="15">
        <v>512209</v>
      </c>
      <c r="G827" s="31" t="str">
        <f t="shared" si="85"/>
        <v>512209 (Perdagangan Dalam Negeri Makanan, Minuman dan Tembakau Lainnya)</v>
      </c>
      <c r="H827" s="3"/>
      <c r="I827" s="16" t="s">
        <v>3607</v>
      </c>
      <c r="J827" s="52">
        <v>600999</v>
      </c>
      <c r="K827" s="16" t="str">
        <f t="shared" si="82"/>
        <v>600999 (PD. BPR BP Kabupaten Bangli)</v>
      </c>
    </row>
    <row r="828" spans="1:11" ht="12.75" customHeight="1" x14ac:dyDescent="0.35">
      <c r="A828" s="3"/>
      <c r="B828" s="2"/>
      <c r="C828" s="3"/>
      <c r="D828" s="3"/>
      <c r="E828" s="31" t="s">
        <v>3608</v>
      </c>
      <c r="F828" s="15">
        <v>513100</v>
      </c>
      <c r="G828" s="31" t="str">
        <f t="shared" si="85"/>
        <v>513100 (Perdagangan Besar Tekstil, Pakaian Jadi, dan Kulit)</v>
      </c>
      <c r="H828" s="3"/>
      <c r="I828" s="16" t="s">
        <v>3609</v>
      </c>
      <c r="J828" s="52">
        <v>601000</v>
      </c>
      <c r="K828" s="16" t="str">
        <f t="shared" si="82"/>
        <v>601000 (PT BPR Karya Artha Sejahtera Indonesia )</v>
      </c>
    </row>
    <row r="829" spans="1:11" ht="12.75" customHeight="1" x14ac:dyDescent="0.35">
      <c r="A829" s="3"/>
      <c r="B829" s="2"/>
      <c r="C829" s="3"/>
      <c r="D829" s="3"/>
      <c r="E829" s="31" t="s">
        <v>3610</v>
      </c>
      <c r="F829" s="15">
        <v>513900</v>
      </c>
      <c r="G829" s="31" t="str">
        <f t="shared" si="85"/>
        <v>513900 (Perdagangan Besar Barang-barang Keperluan Rumah Tangga lainnya)</v>
      </c>
      <c r="H829" s="3"/>
      <c r="I829" s="16" t="s">
        <v>3611</v>
      </c>
      <c r="J829" s="52">
        <v>601001</v>
      </c>
      <c r="K829" s="16" t="str">
        <f t="shared" si="82"/>
        <v>601001 (PT. BPR Kusuma Mandala)</v>
      </c>
    </row>
    <row r="830" spans="1:11" ht="12.75" customHeight="1" x14ac:dyDescent="0.35">
      <c r="A830" s="3"/>
      <c r="B830" s="2"/>
      <c r="C830" s="3"/>
      <c r="D830" s="3"/>
      <c r="E830" s="31" t="s">
        <v>3612</v>
      </c>
      <c r="F830" s="15">
        <v>514100</v>
      </c>
      <c r="G830" s="31" t="str">
        <f t="shared" si="85"/>
        <v>514100 (Perdagangan Besar Bahan Bakar Gas, Cair, dan Padat, Serta Produk Sejenis)</v>
      </c>
      <c r="H830" s="3"/>
      <c r="I830" s="16" t="s">
        <v>3613</v>
      </c>
      <c r="J830" s="52">
        <v>601002</v>
      </c>
      <c r="K830" s="16" t="str">
        <f t="shared" si="82"/>
        <v>601002 (PT. BPR Kertha Warga)</v>
      </c>
    </row>
    <row r="831" spans="1:11" ht="12.75" customHeight="1" x14ac:dyDescent="0.35">
      <c r="A831" s="3"/>
      <c r="B831" s="2"/>
      <c r="C831" s="3"/>
      <c r="D831" s="3"/>
      <c r="E831" s="31" t="s">
        <v>3614</v>
      </c>
      <c r="F831" s="15">
        <v>514200</v>
      </c>
      <c r="G831" s="31" t="str">
        <f t="shared" si="85"/>
        <v>514200 (Perdagangan Besar Logam dan Bijih Logam)</v>
      </c>
      <c r="H831" s="3"/>
      <c r="I831" s="16" t="s">
        <v>3615</v>
      </c>
      <c r="J831" s="52">
        <v>601003</v>
      </c>
      <c r="K831" s="16" t="str">
        <f t="shared" si="82"/>
        <v>601003 (PT. BPR Amerta Sari)</v>
      </c>
    </row>
    <row r="832" spans="1:11" ht="12.75" customHeight="1" x14ac:dyDescent="0.35">
      <c r="A832" s="3"/>
      <c r="B832" s="2"/>
      <c r="C832" s="3"/>
      <c r="D832" s="3"/>
      <c r="E832" s="31" t="s">
        <v>3616</v>
      </c>
      <c r="F832" s="15">
        <v>514301</v>
      </c>
      <c r="G832" s="31" t="str">
        <f t="shared" si="85"/>
        <v>514301 (Perdagangan Dalam Negeri Semen)</v>
      </c>
      <c r="H832" s="3"/>
      <c r="I832" s="16" t="s">
        <v>3617</v>
      </c>
      <c r="J832" s="52">
        <v>601004</v>
      </c>
      <c r="K832" s="16" t="str">
        <f t="shared" si="82"/>
        <v>601004 (PT. BPR Parasari)</v>
      </c>
    </row>
    <row r="833" spans="1:11" ht="12.75" customHeight="1" x14ac:dyDescent="0.35">
      <c r="A833" s="3"/>
      <c r="B833" s="2"/>
      <c r="C833" s="3"/>
      <c r="D833" s="3"/>
      <c r="E833" s="31" t="s">
        <v>3618</v>
      </c>
      <c r="F833" s="15">
        <v>514302</v>
      </c>
      <c r="G833" s="31" t="str">
        <f t="shared" si="85"/>
        <v>514302 (Perdagangan Dalam Negeri Besi Beton)</v>
      </c>
      <c r="H833" s="3"/>
      <c r="I833" s="16" t="s">
        <v>3619</v>
      </c>
      <c r="J833" s="52">
        <v>601005</v>
      </c>
      <c r="K833" s="16" t="str">
        <f t="shared" si="82"/>
        <v>601005 (PT. BPR Pasar Raya Kuta)</v>
      </c>
    </row>
    <row r="834" spans="1:11" ht="12.75" customHeight="1" x14ac:dyDescent="0.35">
      <c r="A834" s="3"/>
      <c r="B834" s="2"/>
      <c r="C834" s="3"/>
      <c r="D834" s="3"/>
      <c r="E834" s="31" t="s">
        <v>3620</v>
      </c>
      <c r="F834" s="15">
        <v>514309</v>
      </c>
      <c r="G834" s="31" t="str">
        <f t="shared" si="85"/>
        <v>514309 (Perdagangan Dalam Negeri Bahan-bahan Konstruksi Lainnya)</v>
      </c>
      <c r="H834" s="3"/>
      <c r="I834" s="16" t="s">
        <v>3621</v>
      </c>
      <c r="J834" s="52">
        <v>601006</v>
      </c>
      <c r="K834" s="16" t="str">
        <f t="shared" si="82"/>
        <v>601006 (PT. BPR Pedungan)</v>
      </c>
    </row>
    <row r="835" spans="1:11" ht="12.75" customHeight="1" x14ac:dyDescent="0.35">
      <c r="A835" s="3"/>
      <c r="B835" s="2"/>
      <c r="C835" s="3"/>
      <c r="D835" s="3"/>
      <c r="E835" s="31" t="s">
        <v>3622</v>
      </c>
      <c r="F835" s="15">
        <v>514901</v>
      </c>
      <c r="G835" s="31" t="str">
        <f t="shared" si="85"/>
        <v>514901 (Perdagangan Dalam Negeri Pupuk dan Obat Hama)</v>
      </c>
      <c r="H835" s="3"/>
      <c r="I835" s="16" t="s">
        <v>3623</v>
      </c>
      <c r="J835" s="52">
        <v>601007</v>
      </c>
      <c r="K835" s="16" t="str">
        <f t="shared" si="82"/>
        <v>601007 (PT. BPR Penebel)</v>
      </c>
    </row>
    <row r="836" spans="1:11" ht="12.75" customHeight="1" x14ac:dyDescent="0.35">
      <c r="A836" s="3"/>
      <c r="B836" s="2"/>
      <c r="C836" s="3"/>
      <c r="D836" s="3"/>
      <c r="E836" s="31" t="s">
        <v>3624</v>
      </c>
      <c r="F836" s="15">
        <v>514909</v>
      </c>
      <c r="G836" s="31" t="str">
        <f t="shared" si="85"/>
        <v>514909 (Perdagangan Dalam Negeri Barang Antara Lainnya)</v>
      </c>
      <c r="H836" s="3"/>
      <c r="I836" s="16" t="s">
        <v>3625</v>
      </c>
      <c r="J836" s="52">
        <v>601008</v>
      </c>
      <c r="K836" s="16" t="str">
        <f t="shared" si="82"/>
        <v>601008 (PT. BPR Sangeh)</v>
      </c>
    </row>
    <row r="837" spans="1:11" ht="12.75" customHeight="1" x14ac:dyDescent="0.35">
      <c r="A837" s="3"/>
      <c r="B837" s="2"/>
      <c r="C837" s="3"/>
      <c r="D837" s="3"/>
      <c r="E837" s="31" t="s">
        <v>3626</v>
      </c>
      <c r="F837" s="15">
        <v>515000</v>
      </c>
      <c r="G837" s="31" t="str">
        <f t="shared" si="85"/>
        <v>515000 (Perdagangan Besar Mesin-mesin, Suku Cadang dan Perlengkapannya)</v>
      </c>
      <c r="H837" s="3"/>
      <c r="I837" s="16" t="s">
        <v>3627</v>
      </c>
      <c r="J837" s="52">
        <v>601009</v>
      </c>
      <c r="K837" s="16" t="str">
        <f t="shared" si="82"/>
        <v>601009 (PT. BPR Bank Desa Sanur)</v>
      </c>
    </row>
    <row r="838" spans="1:11" ht="12.75" customHeight="1" x14ac:dyDescent="0.35">
      <c r="A838" s="3"/>
      <c r="B838" s="2"/>
      <c r="C838" s="3"/>
      <c r="D838" s="3"/>
      <c r="E838" s="31" t="s">
        <v>3628</v>
      </c>
      <c r="F838" s="15">
        <v>519001</v>
      </c>
      <c r="G838" s="31" t="str">
        <f t="shared" si="85"/>
        <v>519001 (Perdagangan Dalam Negeri Kertas Koran)</v>
      </c>
      <c r="H838" s="3"/>
      <c r="I838" s="16" t="s">
        <v>3629</v>
      </c>
      <c r="J838" s="52">
        <v>601010</v>
      </c>
      <c r="K838" s="16" t="str">
        <f t="shared" si="82"/>
        <v>601010 (PT. BPR HARDYS MITRA INDONESIA)</v>
      </c>
    </row>
    <row r="839" spans="1:11" ht="12.75" customHeight="1" x14ac:dyDescent="0.35">
      <c r="A839" s="3"/>
      <c r="B839" s="2"/>
      <c r="C839" s="3"/>
      <c r="D839" s="3"/>
      <c r="E839" s="31" t="s">
        <v>3630</v>
      </c>
      <c r="F839" s="15">
        <v>519009</v>
      </c>
      <c r="G839" s="31" t="str">
        <f t="shared" si="85"/>
        <v>519009 (Perdagangan Dalam Negeri yang Tidak Diklasifikasikan di Tempat Lain)</v>
      </c>
      <c r="H839" s="3"/>
      <c r="I839" s="16" t="s">
        <v>3631</v>
      </c>
      <c r="J839" s="52">
        <v>601011</v>
      </c>
      <c r="K839" s="16" t="str">
        <f t="shared" si="82"/>
        <v>601011 (PT. BPR Sari Sedana)</v>
      </c>
    </row>
    <row r="840" spans="1:11" ht="12.75" customHeight="1" x14ac:dyDescent="0.35">
      <c r="A840" s="3"/>
      <c r="B840" s="2"/>
      <c r="C840" s="3"/>
      <c r="D840" s="3"/>
      <c r="E840" s="31" t="s">
        <v>3632</v>
      </c>
      <c r="F840" s="15">
        <v>521100</v>
      </c>
      <c r="G840" s="31" t="str">
        <f t="shared" si="85"/>
        <v>521100 (Perdagangan Eceran Berbagai Macam Barang yang Didominasi Makanan, Minuman dan Tembakau)</v>
      </c>
      <c r="H840" s="3"/>
      <c r="I840" s="16" t="s">
        <v>3633</v>
      </c>
      <c r="J840" s="52">
        <v>601012</v>
      </c>
      <c r="K840" s="16" t="str">
        <f t="shared" si="82"/>
        <v>601012 (PT. BPR Sedana Murni)</v>
      </c>
    </row>
    <row r="841" spans="1:11" ht="12.75" customHeight="1" x14ac:dyDescent="0.35">
      <c r="A841" s="3"/>
      <c r="B841" s="2"/>
      <c r="C841" s="3"/>
      <c r="D841" s="3"/>
      <c r="E841" s="31" t="s">
        <v>3634</v>
      </c>
      <c r="F841" s="15">
        <v>521900</v>
      </c>
      <c r="G841" s="31" t="str">
        <f t="shared" si="85"/>
        <v>521900 (Perdagangan Eceran Berbagai Macam Barang yang Didominasi Oleh Barang Bukan Makanan, Minuman dan Tembakau)</v>
      </c>
      <c r="H841" s="3"/>
      <c r="I841" s="16" t="s">
        <v>3635</v>
      </c>
      <c r="J841" s="52">
        <v>601013</v>
      </c>
      <c r="K841" s="16" t="str">
        <f t="shared" si="82"/>
        <v>601013 (PT. BPR Sedana Yasa)</v>
      </c>
    </row>
    <row r="842" spans="1:11" ht="12.75" customHeight="1" x14ac:dyDescent="0.35">
      <c r="A842" s="3"/>
      <c r="B842" s="2"/>
      <c r="C842" s="3"/>
      <c r="D842" s="3"/>
      <c r="E842" s="31" t="s">
        <v>3636</v>
      </c>
      <c r="F842" s="15">
        <v>522100</v>
      </c>
      <c r="G842" s="31" t="str">
        <f t="shared" si="85"/>
        <v>522100 (Perdagangan Eceran Komoditi Makanan dari Hasil Pertanian)</v>
      </c>
      <c r="H842" s="3"/>
      <c r="I842" s="16" t="s">
        <v>3637</v>
      </c>
      <c r="J842" s="52">
        <v>601014</v>
      </c>
      <c r="K842" s="16" t="str">
        <f t="shared" si="82"/>
        <v>601014 (PT. BPR Legian)</v>
      </c>
    </row>
    <row r="843" spans="1:11" ht="12.75" customHeight="1" x14ac:dyDescent="0.35">
      <c r="A843" s="3"/>
      <c r="B843" s="2"/>
      <c r="C843" s="3"/>
      <c r="D843" s="3"/>
      <c r="E843" s="31" t="s">
        <v>3638</v>
      </c>
      <c r="F843" s="15">
        <v>522200</v>
      </c>
      <c r="G843" s="31" t="str">
        <f t="shared" si="85"/>
        <v>522200 (Perdagangan Eceran Komoditi Makanan, Minuman, Atau Tembakau Hasil Industri Pengolahan)</v>
      </c>
      <c r="H843" s="3"/>
      <c r="I843" s="16" t="s">
        <v>3639</v>
      </c>
      <c r="J843" s="52">
        <v>601015</v>
      </c>
      <c r="K843" s="16" t="str">
        <f t="shared" si="82"/>
        <v>601015 (PT. BPR Tri Dharma Putri)</v>
      </c>
    </row>
    <row r="844" spans="1:11" ht="12.75" customHeight="1" x14ac:dyDescent="0.35">
      <c r="A844" s="3"/>
      <c r="B844" s="2"/>
      <c r="C844" s="3"/>
      <c r="D844" s="3"/>
      <c r="E844" s="31" t="s">
        <v>3640</v>
      </c>
      <c r="F844" s="15">
        <v>523100</v>
      </c>
      <c r="G844" s="31" t="str">
        <f t="shared" si="85"/>
        <v>523100 (Perdagangan Eceran Bahan Kimia, Farmasi, Kosmetik, dan Alat Laboratorium)</v>
      </c>
      <c r="H844" s="3"/>
      <c r="I844" s="16" t="s">
        <v>3641</v>
      </c>
      <c r="J844" s="52">
        <v>601016</v>
      </c>
      <c r="K844" s="16" t="str">
        <f t="shared" si="82"/>
        <v>601016 (PT. BPR Merta Amarta d/h BP Trinadi)</v>
      </c>
    </row>
    <row r="845" spans="1:11" ht="12.75" customHeight="1" x14ac:dyDescent="0.35">
      <c r="A845" s="3"/>
      <c r="B845" s="2"/>
      <c r="C845" s="3"/>
      <c r="D845" s="3"/>
      <c r="E845" s="31" t="s">
        <v>3642</v>
      </c>
      <c r="F845" s="15">
        <v>523200</v>
      </c>
      <c r="G845" s="31" t="str">
        <f t="shared" si="85"/>
        <v>523200 (Perdagangan Eceran Tekstil, Pakaian Jadi, Alas Kaki, dan Barang Keperluan Pribadi)</v>
      </c>
      <c r="H845" s="3"/>
      <c r="I845" s="16" t="s">
        <v>3643</v>
      </c>
      <c r="J845" s="52">
        <v>601017</v>
      </c>
      <c r="K845" s="16" t="str">
        <f t="shared" si="82"/>
        <v>601017 (PT. BPR Pasar Umum)</v>
      </c>
    </row>
    <row r="846" spans="1:11" ht="12.75" customHeight="1" x14ac:dyDescent="0.35">
      <c r="A846" s="3"/>
      <c r="B846" s="2"/>
      <c r="C846" s="3"/>
      <c r="D846" s="3"/>
      <c r="E846" s="31" t="s">
        <v>3644</v>
      </c>
      <c r="F846" s="15">
        <v>523300</v>
      </c>
      <c r="G846" s="31" t="str">
        <f t="shared" si="85"/>
        <v>523300 (Perdagangan Eceran Perlengkapan Rumah Tangga dan Perlengkapan Dapur)</v>
      </c>
      <c r="H846" s="3"/>
      <c r="I846" s="16" t="s">
        <v>3645</v>
      </c>
      <c r="J846" s="52">
        <v>601018</v>
      </c>
      <c r="K846" s="16" t="str">
        <f t="shared" si="82"/>
        <v>601018 (PT. BPR Pande Artha Dewata)</v>
      </c>
    </row>
    <row r="847" spans="1:11" ht="12.75" customHeight="1" x14ac:dyDescent="0.35">
      <c r="A847" s="3"/>
      <c r="B847" s="2"/>
      <c r="C847" s="3"/>
      <c r="D847" s="3"/>
      <c r="E847" s="31" t="s">
        <v>3646</v>
      </c>
      <c r="F847" s="15">
        <v>523400</v>
      </c>
      <c r="G847" s="31" t="str">
        <f t="shared" si="85"/>
        <v>523400 (Perdagangan Eceran Bahan Konstruksi)</v>
      </c>
      <c r="H847" s="3"/>
      <c r="I847" s="16" t="s">
        <v>3647</v>
      </c>
      <c r="J847" s="52">
        <v>601019</v>
      </c>
      <c r="K847" s="16" t="str">
        <f t="shared" si="82"/>
        <v>601019 (PD. BPR Werdhi Sedana)</v>
      </c>
    </row>
    <row r="848" spans="1:11" ht="12.75" customHeight="1" x14ac:dyDescent="0.35">
      <c r="A848" s="3"/>
      <c r="B848" s="2"/>
      <c r="C848" s="3"/>
      <c r="D848" s="3"/>
      <c r="E848" s="31" t="s">
        <v>3648</v>
      </c>
      <c r="F848" s="15">
        <v>523500</v>
      </c>
      <c r="G848" s="31" t="str">
        <f t="shared" si="85"/>
        <v>523500 (Perdagangan Eceran Bahan Bakar dan Minyak Pelumas)</v>
      </c>
      <c r="H848" s="3"/>
      <c r="I848" s="16" t="s">
        <v>3649</v>
      </c>
      <c r="J848" s="52">
        <v>601020</v>
      </c>
      <c r="K848" s="16" t="str">
        <f t="shared" si="82"/>
        <v>601020 (PT. BPR Nusamba Kubutambahan)</v>
      </c>
    </row>
    <row r="849" spans="1:11" ht="12.75" customHeight="1" x14ac:dyDescent="0.35">
      <c r="A849" s="3"/>
      <c r="B849" s="2"/>
      <c r="C849" s="3"/>
      <c r="D849" s="3"/>
      <c r="E849" s="31" t="s">
        <v>3650</v>
      </c>
      <c r="F849" s="15">
        <v>523600</v>
      </c>
      <c r="G849" s="31" t="str">
        <f t="shared" si="85"/>
        <v>523600 (Perdagangan Eceran Kertas, Barang-barang dari Kertas, Alat Tulis, Barang Cetakan, Alat Olahraga, Alat Musik, Alat Fotografi, Komputer)</v>
      </c>
      <c r="H849" s="3"/>
      <c r="I849" s="16" t="s">
        <v>3651</v>
      </c>
      <c r="J849" s="52">
        <v>601021</v>
      </c>
      <c r="K849" s="16" t="str">
        <f t="shared" si="82"/>
        <v>601021 (PT. BPR Nusamba Manggis)</v>
      </c>
    </row>
    <row r="850" spans="1:11" ht="12.75" customHeight="1" x14ac:dyDescent="0.35">
      <c r="A850" s="3"/>
      <c r="B850" s="2"/>
      <c r="C850" s="3"/>
      <c r="D850" s="3"/>
      <c r="E850" s="31" t="s">
        <v>3652</v>
      </c>
      <c r="F850" s="15">
        <v>523700</v>
      </c>
      <c r="G850" s="31" t="str">
        <f t="shared" si="85"/>
        <v>523700 (Perdagangan Eceran Mesin-mesin (Kecuali Mobil  dan Sepeda Motor) dan Suku Cadang (Onderdil), Termasuk Alat-alat Transportasi)</v>
      </c>
      <c r="H850" s="3"/>
      <c r="I850" s="16" t="s">
        <v>3653</v>
      </c>
      <c r="J850" s="52">
        <v>601022</v>
      </c>
      <c r="K850" s="16" t="str">
        <f t="shared" si="82"/>
        <v>601022 (PT. BPR Nusamba Mengwi)</v>
      </c>
    </row>
    <row r="851" spans="1:11" ht="12.75" customHeight="1" x14ac:dyDescent="0.35">
      <c r="A851" s="3"/>
      <c r="B851" s="2"/>
      <c r="C851" s="3"/>
      <c r="D851" s="3"/>
      <c r="E851" s="31" t="s">
        <v>3654</v>
      </c>
      <c r="F851" s="15">
        <v>523800</v>
      </c>
      <c r="G851" s="31" t="str">
        <f t="shared" si="85"/>
        <v>523800 (Perdagangan Eceran Barang-barang Kerajinan, Mainan Anak-anak, dan Lukisan)</v>
      </c>
      <c r="H851" s="3"/>
      <c r="I851" s="16" t="s">
        <v>3655</v>
      </c>
      <c r="J851" s="52">
        <v>601023</v>
      </c>
      <c r="K851" s="16" t="str">
        <f t="shared" si="82"/>
        <v>601023 (PT. BPR Nusamba Tegalalang)</v>
      </c>
    </row>
    <row r="852" spans="1:11" ht="12.75" customHeight="1" x14ac:dyDescent="0.35">
      <c r="A852" s="3"/>
      <c r="B852" s="2"/>
      <c r="C852" s="3"/>
      <c r="D852" s="3"/>
      <c r="E852" s="31" t="s">
        <v>3656</v>
      </c>
      <c r="F852" s="15">
        <v>523900</v>
      </c>
      <c r="G852" s="31" t="str">
        <f t="shared" si="85"/>
        <v>523900 (Perdagangan Eceran Komoditi Lainnya (Bukan Makanan, Minuman, Atau Tembakau))</v>
      </c>
      <c r="H852" s="3"/>
      <c r="I852" s="16" t="s">
        <v>3657</v>
      </c>
      <c r="J852" s="52">
        <v>601024</v>
      </c>
      <c r="K852" s="16" t="str">
        <f t="shared" si="82"/>
        <v>601024 (PT. BPR Krisna Yuna Dana)</v>
      </c>
    </row>
    <row r="853" spans="1:11" ht="12.75" customHeight="1" x14ac:dyDescent="0.35">
      <c r="A853" s="3"/>
      <c r="B853" s="2"/>
      <c r="C853" s="3"/>
      <c r="D853" s="3"/>
      <c r="E853" s="31" t="s">
        <v>3658</v>
      </c>
      <c r="F853" s="15">
        <v>524000</v>
      </c>
      <c r="G853" s="31" t="str">
        <f t="shared" si="85"/>
        <v>524000 (Perdagangan Eceran Barang Bekas)</v>
      </c>
      <c r="H853" s="3"/>
      <c r="I853" s="16" t="s">
        <v>3659</v>
      </c>
      <c r="J853" s="52">
        <v>601025</v>
      </c>
      <c r="K853" s="16" t="str">
        <f t="shared" si="82"/>
        <v>601025 (PT. BPR Pusaka)</v>
      </c>
    </row>
    <row r="854" spans="1:11" ht="12.75" customHeight="1" x14ac:dyDescent="0.35">
      <c r="A854" s="3"/>
      <c r="B854" s="2"/>
      <c r="C854" s="3"/>
      <c r="D854" s="3"/>
      <c r="E854" s="31" t="s">
        <v>3660</v>
      </c>
      <c r="F854" s="15">
        <v>525100</v>
      </c>
      <c r="G854" s="31" t="str">
        <f t="shared" si="85"/>
        <v>525100 (Perdagangan Eceran Kaki Lima Komoditi dari Hasil Pertanian)</v>
      </c>
      <c r="H854" s="3"/>
      <c r="I854" s="16" t="s">
        <v>3661</v>
      </c>
      <c r="J854" s="52">
        <v>601026</v>
      </c>
      <c r="K854" s="16" t="str">
        <f t="shared" si="82"/>
        <v>601026 (PT. BPR Sadhu Artha)</v>
      </c>
    </row>
    <row r="855" spans="1:11" ht="12.75" customHeight="1" x14ac:dyDescent="0.35">
      <c r="A855" s="3"/>
      <c r="B855" s="2"/>
      <c r="C855" s="3"/>
      <c r="D855" s="3"/>
      <c r="E855" s="31" t="s">
        <v>3662</v>
      </c>
      <c r="F855" s="15">
        <v>525200</v>
      </c>
      <c r="G855" s="31" t="str">
        <f t="shared" si="85"/>
        <v>525200 (Perdagangan Eceran Kaki Lima Komoditi Makanan, Minuman Hasil Industri Pengolahan)</v>
      </c>
      <c r="H855" s="3"/>
      <c r="I855" s="16" t="s">
        <v>3663</v>
      </c>
      <c r="J855" s="52">
        <v>601028</v>
      </c>
      <c r="K855" s="16" t="str">
        <f t="shared" si="82"/>
        <v>601028 (PT. BPR Puskusa Balidwipa d/h Giri A)</v>
      </c>
    </row>
    <row r="856" spans="1:11" ht="12.75" customHeight="1" x14ac:dyDescent="0.35">
      <c r="A856" s="3"/>
      <c r="B856" s="2"/>
      <c r="C856" s="3"/>
      <c r="D856" s="3"/>
      <c r="E856" s="31" t="s">
        <v>3664</v>
      </c>
      <c r="F856" s="15">
        <v>525300</v>
      </c>
      <c r="G856" s="31" t="str">
        <f t="shared" si="85"/>
        <v>525300 (Perdagangan Eceran Kaki Lima Bahan Kimia, Frmasi, Kosmetik, dan Alat Laboratorium)</v>
      </c>
      <c r="H856" s="3"/>
      <c r="I856" s="16" t="s">
        <v>3665</v>
      </c>
      <c r="J856" s="52">
        <v>601029</v>
      </c>
      <c r="K856" s="16" t="str">
        <f t="shared" si="82"/>
        <v>601029 (PT. BPR Ayunulus)</v>
      </c>
    </row>
    <row r="857" spans="1:11" ht="12.75" customHeight="1" x14ac:dyDescent="0.35">
      <c r="A857" s="3"/>
      <c r="B857" s="2"/>
      <c r="C857" s="3"/>
      <c r="D857" s="3"/>
      <c r="E857" s="31" t="s">
        <v>3666</v>
      </c>
      <c r="F857" s="15">
        <v>525400</v>
      </c>
      <c r="G857" s="31" t="str">
        <f t="shared" si="85"/>
        <v>525400 (Perdagangan Eceran Kaki Lima Tekstil, Pakaian Jadi, Alas Kaki, dan Barang Keperluan Pribadi)</v>
      </c>
      <c r="H857" s="3"/>
      <c r="I857" s="16" t="s">
        <v>3667</v>
      </c>
      <c r="J857" s="52">
        <v>601030</v>
      </c>
      <c r="K857" s="16" t="str">
        <f t="shared" si="82"/>
        <v>601030 (PT. BPR Tata Anjungsari)</v>
      </c>
    </row>
    <row r="858" spans="1:11" ht="12.75" customHeight="1" x14ac:dyDescent="0.35">
      <c r="A858" s="3"/>
      <c r="B858" s="2"/>
      <c r="C858" s="3"/>
      <c r="D858" s="3"/>
      <c r="E858" s="31" t="s">
        <v>3668</v>
      </c>
      <c r="F858" s="15">
        <v>525500</v>
      </c>
      <c r="G858" s="31" t="str">
        <f t="shared" si="85"/>
        <v>525500 (Perdagangan Eceran Kaki Lima Perlengkapan Rumah Tangga dan Perlengkapan Dapur)</v>
      </c>
      <c r="H858" s="3"/>
      <c r="I858" s="16" t="s">
        <v>3669</v>
      </c>
      <c r="J858" s="52">
        <v>601031</v>
      </c>
      <c r="K858" s="16" t="str">
        <f t="shared" si="82"/>
        <v>601031 (PT. BPR Widhi Prima Asih)</v>
      </c>
    </row>
    <row r="859" spans="1:11" ht="12.75" customHeight="1" x14ac:dyDescent="0.35">
      <c r="A859" s="3"/>
      <c r="B859" s="2"/>
      <c r="C859" s="3"/>
      <c r="D859" s="3"/>
      <c r="E859" s="31" t="s">
        <v>3670</v>
      </c>
      <c r="F859" s="15">
        <v>525600</v>
      </c>
      <c r="G859" s="31" t="str">
        <f t="shared" si="85"/>
        <v>525600 (Perdagangan Eceran Kaki Lima Bahan Bakar dan Pelumas)</v>
      </c>
      <c r="H859" s="3"/>
      <c r="I859" s="16" t="s">
        <v>3671</v>
      </c>
      <c r="J859" s="52">
        <v>601032</v>
      </c>
      <c r="K859" s="16" t="str">
        <f t="shared" si="82"/>
        <v>601032 (PT BPR Bunga Sutra Mas)</v>
      </c>
    </row>
    <row r="860" spans="1:11" ht="12.75" customHeight="1" x14ac:dyDescent="0.35">
      <c r="A860" s="3"/>
      <c r="B860" s="2"/>
      <c r="C860" s="3"/>
      <c r="D860" s="3"/>
      <c r="E860" s="31" t="s">
        <v>3672</v>
      </c>
      <c r="F860" s="15">
        <v>525700</v>
      </c>
      <c r="G860" s="31" t="str">
        <f t="shared" si="85"/>
        <v>525700 (Perdagangan Eceran Kaki Lirna Kertas, Barang-Barang dari Kertas, Alat Tulis, Barang Cetakan, Alat Olah Raga, Alat Musik, Alat Fotografi, dan Komputer)</v>
      </c>
      <c r="H860" s="3"/>
      <c r="I860" s="16" t="s">
        <v>3673</v>
      </c>
      <c r="J860" s="52">
        <v>601033</v>
      </c>
      <c r="K860" s="16" t="str">
        <f t="shared" si="82"/>
        <v>601033 (PT. BPR Tapa)</v>
      </c>
    </row>
    <row r="861" spans="1:11" ht="12.75" customHeight="1" x14ac:dyDescent="0.35">
      <c r="A861" s="3"/>
      <c r="B861" s="2"/>
      <c r="C861" s="3"/>
      <c r="D861" s="3"/>
      <c r="E861" s="31" t="s">
        <v>3674</v>
      </c>
      <c r="F861" s="15">
        <v>525800</v>
      </c>
      <c r="G861" s="31" t="str">
        <f t="shared" si="85"/>
        <v>525800 (Perdagangan Eceran Kaki Lima barang-barang kerajinan, mainan anak-anak, dan Iukisan)</v>
      </c>
      <c r="H861" s="3"/>
      <c r="I861" s="16" t="s">
        <v>3675</v>
      </c>
      <c r="J861" s="52">
        <v>601036</v>
      </c>
      <c r="K861" s="16" t="str">
        <f t="shared" si="82"/>
        <v>601036 (PT BPR Sandi Raya Utama)</v>
      </c>
    </row>
    <row r="862" spans="1:11" ht="12.75" customHeight="1" x14ac:dyDescent="0.35">
      <c r="A862" s="3"/>
      <c r="B862" s="2"/>
      <c r="C862" s="3"/>
      <c r="D862" s="3"/>
      <c r="E862" s="31" t="s">
        <v>3676</v>
      </c>
      <c r="F862" s="15">
        <v>525900</v>
      </c>
      <c r="G862" s="31" t="str">
        <f t="shared" si="85"/>
        <v>525900 (Perdagangan Eceran Kaki Lima Barang-Barang Bekas)</v>
      </c>
      <c r="H862" s="3"/>
      <c r="I862" s="16" t="s">
        <v>3677</v>
      </c>
      <c r="J862" s="52">
        <v>601037</v>
      </c>
      <c r="K862" s="16" t="str">
        <f t="shared" si="82"/>
        <v>601037 (PT. BPR Luhur Pucaksari)</v>
      </c>
    </row>
    <row r="863" spans="1:11" ht="12.75" customHeight="1" x14ac:dyDescent="0.35">
      <c r="A863" s="3"/>
      <c r="B863" s="2"/>
      <c r="C863" s="3"/>
      <c r="D863" s="3"/>
      <c r="E863" s="31" t="s">
        <v>3678</v>
      </c>
      <c r="F863" s="15">
        <v>526000</v>
      </c>
      <c r="G863" s="31" t="str">
        <f t="shared" si="85"/>
        <v>526000 (Perdagangan Eceran Kaki Lima Lainnya)</v>
      </c>
      <c r="H863" s="3"/>
      <c r="I863" s="16" t="s">
        <v>3679</v>
      </c>
      <c r="J863" s="52">
        <v>601038</v>
      </c>
      <c r="K863" s="16" t="str">
        <f t="shared" si="82"/>
        <v>601038 (PT. BPR Karya Sari Sedana)</v>
      </c>
    </row>
    <row r="864" spans="1:11" ht="12.75" customHeight="1" x14ac:dyDescent="0.35">
      <c r="A864" s="3"/>
      <c r="B864" s="2"/>
      <c r="C864" s="3"/>
      <c r="D864" s="3"/>
      <c r="E864" s="31" t="s">
        <v>3680</v>
      </c>
      <c r="F864" s="15">
        <v>527100</v>
      </c>
      <c r="G864" s="31" t="str">
        <f t="shared" si="85"/>
        <v>527100 (Perdagangan Eceran Melalui Media)</v>
      </c>
      <c r="H864" s="3"/>
      <c r="I864" s="16" t="s">
        <v>3681</v>
      </c>
      <c r="J864" s="52">
        <v>601039</v>
      </c>
      <c r="K864" s="16" t="str">
        <f t="shared" si="82"/>
        <v>601039 (PT. BPR Sari Werdhi Sedana)</v>
      </c>
    </row>
    <row r="865" spans="1:11" ht="12.75" customHeight="1" x14ac:dyDescent="0.35">
      <c r="A865" s="3"/>
      <c r="B865" s="2"/>
      <c r="C865" s="3"/>
      <c r="D865" s="3"/>
      <c r="E865" s="31" t="s">
        <v>3682</v>
      </c>
      <c r="F865" s="15">
        <v>527200</v>
      </c>
      <c r="G865" s="31" t="str">
        <f t="shared" si="85"/>
        <v>527200 (Perdagangan Eceran Keliling)</v>
      </c>
      <c r="H865" s="3"/>
      <c r="I865" s="16" t="s">
        <v>3683</v>
      </c>
      <c r="J865" s="52">
        <v>601040</v>
      </c>
      <c r="K865" s="16" t="str">
        <f t="shared" si="82"/>
        <v>601040 (PT. BPR Sari Wira Tama)</v>
      </c>
    </row>
    <row r="866" spans="1:11" ht="12.75" customHeight="1" x14ac:dyDescent="0.35">
      <c r="A866" s="3"/>
      <c r="B866" s="2"/>
      <c r="C866" s="3"/>
      <c r="D866" s="3"/>
      <c r="E866" s="31" t="s">
        <v>3684</v>
      </c>
      <c r="F866" s="15">
        <v>531000</v>
      </c>
      <c r="G866" s="31" t="str">
        <f t="shared" si="85"/>
        <v>531000 (Perdagangan Ekspor Berdasarkan Balas Jasa (Fee) Atau Kontrak)</v>
      </c>
      <c r="H866" s="3"/>
      <c r="I866" s="16" t="s">
        <v>3685</v>
      </c>
      <c r="J866" s="52">
        <v>601041</v>
      </c>
      <c r="K866" s="16" t="str">
        <f t="shared" si="82"/>
        <v>601041 (PT. BPR Sukawati Pancakanti)</v>
      </c>
    </row>
    <row r="867" spans="1:11" ht="12.75" customHeight="1" x14ac:dyDescent="0.35">
      <c r="A867" s="3"/>
      <c r="B867" s="2"/>
      <c r="C867" s="3"/>
      <c r="D867" s="3"/>
      <c r="E867" s="31" t="s">
        <v>3686</v>
      </c>
      <c r="F867" s="15">
        <v>532111</v>
      </c>
      <c r="G867" s="31" t="str">
        <f t="shared" si="85"/>
        <v>532111 (Perdagangan Ekspor Biji Kelapa Sawit)</v>
      </c>
      <c r="H867" s="3"/>
      <c r="I867" s="16" t="s">
        <v>3687</v>
      </c>
      <c r="J867" s="52">
        <v>601042</v>
      </c>
      <c r="K867" s="16" t="str">
        <f t="shared" si="82"/>
        <v>601042 (PT. BPR Suadana)</v>
      </c>
    </row>
    <row r="868" spans="1:11" ht="12.75" customHeight="1" x14ac:dyDescent="0.35">
      <c r="A868" s="3"/>
      <c r="B868" s="2"/>
      <c r="C868" s="3"/>
      <c r="D868" s="3"/>
      <c r="E868" s="31" t="s">
        <v>3688</v>
      </c>
      <c r="F868" s="15">
        <v>532112</v>
      </c>
      <c r="G868" s="31" t="str">
        <f t="shared" si="85"/>
        <v>532112 (Perdagangan Ekspor Hasil Tanaman Pangan dan Perkebunan)</v>
      </c>
      <c r="H868" s="3"/>
      <c r="I868" s="16" t="s">
        <v>3689</v>
      </c>
      <c r="J868" s="52">
        <v>601043</v>
      </c>
      <c r="K868" s="16" t="str">
        <f t="shared" si="82"/>
        <v>601043 (PT. BPR Nur Abadi)</v>
      </c>
    </row>
    <row r="869" spans="1:11" ht="12.75" customHeight="1" x14ac:dyDescent="0.35">
      <c r="A869" s="3"/>
      <c r="B869" s="2"/>
      <c r="C869" s="3"/>
      <c r="D869" s="3"/>
      <c r="E869" s="31" t="s">
        <v>3690</v>
      </c>
      <c r="F869" s="15">
        <v>532119</v>
      </c>
      <c r="G869" s="31" t="str">
        <f t="shared" si="85"/>
        <v>532119 (Perdagangan Ekspor Bahan Baku Hasil Pertanian Lainnya)</v>
      </c>
      <c r="H869" s="3"/>
      <c r="I869" s="16" t="s">
        <v>3691</v>
      </c>
      <c r="J869" s="52">
        <v>601044</v>
      </c>
      <c r="K869" s="16" t="str">
        <f t="shared" si="82"/>
        <v>601044 (PT. BPR Sri Artha Lestari)</v>
      </c>
    </row>
    <row r="870" spans="1:11" ht="12.75" customHeight="1" x14ac:dyDescent="0.35">
      <c r="A870" s="3"/>
      <c r="B870" s="2"/>
      <c r="C870" s="3"/>
      <c r="D870" s="3"/>
      <c r="E870" s="31" t="s">
        <v>3692</v>
      </c>
      <c r="F870" s="15">
        <v>532120</v>
      </c>
      <c r="G870" s="31" t="str">
        <f t="shared" si="85"/>
        <v>532120 (Perdagangan Ekspor Binatang Hidup)</v>
      </c>
      <c r="H870" s="3"/>
      <c r="I870" s="16" t="s">
        <v>3693</v>
      </c>
      <c r="J870" s="52">
        <v>601045</v>
      </c>
      <c r="K870" s="16" t="str">
        <f t="shared" si="82"/>
        <v>601045 (PT. BPR Maha Bhoga Marga)</v>
      </c>
    </row>
    <row r="871" spans="1:11" ht="12.75" customHeight="1" x14ac:dyDescent="0.35">
      <c r="A871" s="3"/>
      <c r="B871" s="2"/>
      <c r="C871" s="3"/>
      <c r="D871" s="3"/>
      <c r="E871" s="31" t="s">
        <v>3694</v>
      </c>
      <c r="F871" s="15">
        <v>532130</v>
      </c>
      <c r="G871" s="31" t="str">
        <f t="shared" si="85"/>
        <v>532130 (Perdagangan Ekspor Hasil Perikanan)</v>
      </c>
      <c r="H871" s="3"/>
      <c r="I871" s="16" t="s">
        <v>3695</v>
      </c>
      <c r="J871" s="52">
        <v>601046</v>
      </c>
      <c r="K871" s="16" t="str">
        <f t="shared" si="82"/>
        <v>601046 (PT BPR Sri Partha Bali)</v>
      </c>
    </row>
    <row r="872" spans="1:11" ht="12.75" customHeight="1" x14ac:dyDescent="0.35">
      <c r="A872" s="3"/>
      <c r="B872" s="2"/>
      <c r="C872" s="3"/>
      <c r="D872" s="3"/>
      <c r="E872" s="31" t="s">
        <v>3696</v>
      </c>
      <c r="F872" s="15">
        <v>532141</v>
      </c>
      <c r="G872" s="31" t="str">
        <f t="shared" si="85"/>
        <v>532141 (Perdagangan Ekspor Kayu)</v>
      </c>
      <c r="H872" s="3"/>
      <c r="I872" s="16" t="s">
        <v>3697</v>
      </c>
      <c r="J872" s="52">
        <v>601047</v>
      </c>
      <c r="K872" s="16" t="str">
        <f t="shared" si="82"/>
        <v>601047 (PT. BPR Artha Bali Jaya)</v>
      </c>
    </row>
    <row r="873" spans="1:11" ht="12.75" customHeight="1" x14ac:dyDescent="0.35">
      <c r="A873" s="3"/>
      <c r="B873" s="2"/>
      <c r="C873" s="3"/>
      <c r="D873" s="3"/>
      <c r="E873" s="31" t="s">
        <v>3698</v>
      </c>
      <c r="F873" s="15">
        <v>532142</v>
      </c>
      <c r="G873" s="31" t="str">
        <f t="shared" si="85"/>
        <v>532142 (Perdagangan Ekspor Rotan)</v>
      </c>
      <c r="H873" s="3"/>
      <c r="I873" s="16" t="s">
        <v>3699</v>
      </c>
      <c r="J873" s="52">
        <v>601048</v>
      </c>
      <c r="K873" s="16" t="str">
        <f t="shared" si="82"/>
        <v>601048 (PT. BPR Antenk)</v>
      </c>
    </row>
    <row r="874" spans="1:11" ht="12.75" customHeight="1" x14ac:dyDescent="0.35">
      <c r="A874" s="3"/>
      <c r="B874" s="2"/>
      <c r="C874" s="3"/>
      <c r="D874" s="3"/>
      <c r="E874" s="31" t="s">
        <v>3700</v>
      </c>
      <c r="F874" s="15">
        <v>532149</v>
      </c>
      <c r="G874" s="31" t="str">
        <f t="shared" si="85"/>
        <v>532149 (Perdagangan Ekspor Hasil Hutan Selain Kayu dan Rotan)</v>
      </c>
      <c r="H874" s="3"/>
      <c r="I874" s="16" t="s">
        <v>3701</v>
      </c>
      <c r="J874" s="52">
        <v>601049</v>
      </c>
      <c r="K874" s="16" t="str">
        <f t="shared" si="82"/>
        <v>601049 (PT. BPR Tish)</v>
      </c>
    </row>
    <row r="875" spans="1:11" ht="12.75" customHeight="1" x14ac:dyDescent="0.35">
      <c r="A875" s="3"/>
      <c r="B875" s="2"/>
      <c r="C875" s="3"/>
      <c r="D875" s="3"/>
      <c r="E875" s="31" t="s">
        <v>3702</v>
      </c>
      <c r="F875" s="15">
        <v>532201</v>
      </c>
      <c r="G875" s="31" t="str">
        <f t="shared" si="85"/>
        <v>532201 (Perdagangan Ekspor Udang Olahan)</v>
      </c>
      <c r="H875" s="3"/>
      <c r="I875" s="16" t="s">
        <v>3703</v>
      </c>
      <c r="J875" s="52">
        <v>601050</v>
      </c>
      <c r="K875" s="16" t="str">
        <f t="shared" si="82"/>
        <v>601050 (PT. BPR Ashi)</v>
      </c>
    </row>
    <row r="876" spans="1:11" ht="12.75" customHeight="1" x14ac:dyDescent="0.35">
      <c r="A876" s="3"/>
      <c r="B876" s="2"/>
      <c r="C876" s="3"/>
      <c r="D876" s="3"/>
      <c r="E876" s="31" t="s">
        <v>3704</v>
      </c>
      <c r="F876" s="15">
        <v>532202</v>
      </c>
      <c r="G876" s="31" t="str">
        <f t="shared" si="85"/>
        <v>532202 (Perdagangan Ekspor Teh)</v>
      </c>
      <c r="H876" s="3"/>
      <c r="I876" s="16" t="s">
        <v>3705</v>
      </c>
      <c r="J876" s="52">
        <v>601051</v>
      </c>
      <c r="K876" s="16" t="str">
        <f t="shared" si="82"/>
        <v>601051 (PT. BPR Sinar Kuta)</v>
      </c>
    </row>
    <row r="877" spans="1:11" ht="12.75" customHeight="1" x14ac:dyDescent="0.35">
      <c r="A877" s="3"/>
      <c r="B877" s="2"/>
      <c r="C877" s="3"/>
      <c r="D877" s="3"/>
      <c r="E877" s="31" t="s">
        <v>3706</v>
      </c>
      <c r="F877" s="15">
        <v>532203</v>
      </c>
      <c r="G877" s="31" t="str">
        <f t="shared" si="85"/>
        <v>532203 (Perdagangan Ekspor Kopi  Bubuk)</v>
      </c>
      <c r="H877" s="3"/>
      <c r="I877" s="16" t="s">
        <v>3707</v>
      </c>
      <c r="J877" s="52">
        <v>601052</v>
      </c>
      <c r="K877" s="16" t="str">
        <f t="shared" si="82"/>
        <v>601052 (PT. BPR Jaya Kerti)</v>
      </c>
    </row>
    <row r="878" spans="1:11" ht="12.75" customHeight="1" x14ac:dyDescent="0.35">
      <c r="A878" s="3"/>
      <c r="B878" s="2"/>
      <c r="C878" s="3"/>
      <c r="D878" s="3"/>
      <c r="E878" s="31" t="s">
        <v>3708</v>
      </c>
      <c r="F878" s="15">
        <v>532204</v>
      </c>
      <c r="G878" s="31" t="str">
        <f t="shared" si="85"/>
        <v>532204 (Perdagangan Ekspor Tembakau)</v>
      </c>
      <c r="H878" s="3"/>
      <c r="I878" s="16" t="s">
        <v>3709</v>
      </c>
      <c r="J878" s="52">
        <v>601053</v>
      </c>
      <c r="K878" s="16" t="str">
        <f t="shared" si="82"/>
        <v>601053 (PT. BPR Bali Sinar Menara)</v>
      </c>
    </row>
    <row r="879" spans="1:11" ht="12.75" customHeight="1" x14ac:dyDescent="0.35">
      <c r="A879" s="3"/>
      <c r="B879" s="2"/>
      <c r="C879" s="3"/>
      <c r="D879" s="3"/>
      <c r="E879" s="31" t="s">
        <v>3710</v>
      </c>
      <c r="F879" s="15">
        <v>532209</v>
      </c>
      <c r="G879" s="31" t="str">
        <f t="shared" si="85"/>
        <v>532209 (Perdagangan Ekspor Makanan dan Minuman Lainnya)</v>
      </c>
      <c r="H879" s="3"/>
      <c r="I879" s="16" t="s">
        <v>3711</v>
      </c>
      <c r="J879" s="52">
        <v>601054</v>
      </c>
      <c r="K879" s="16" t="str">
        <f t="shared" si="82"/>
        <v>601054 (PT. BPR Bali Dewata d/h Trilaksana Dharm)</v>
      </c>
    </row>
    <row r="880" spans="1:11" ht="12.75" customHeight="1" x14ac:dyDescent="0.35">
      <c r="A880" s="3"/>
      <c r="B880" s="2"/>
      <c r="C880" s="3"/>
      <c r="D880" s="3"/>
      <c r="E880" s="31" t="s">
        <v>3712</v>
      </c>
      <c r="F880" s="15">
        <v>533101</v>
      </c>
      <c r="G880" s="31" t="str">
        <f t="shared" si="85"/>
        <v>533101 (Perdagangan Ekspor Tekstil)</v>
      </c>
      <c r="H880" s="3"/>
      <c r="I880" s="16" t="s">
        <v>3713</v>
      </c>
      <c r="J880" s="52">
        <v>601055</v>
      </c>
      <c r="K880" s="16" t="str">
        <f t="shared" si="82"/>
        <v>601055 (PT. BPR Mambal)</v>
      </c>
    </row>
    <row r="881" spans="1:11" ht="12.75" customHeight="1" x14ac:dyDescent="0.35">
      <c r="A881" s="3"/>
      <c r="B881" s="2"/>
      <c r="C881" s="3"/>
      <c r="D881" s="3"/>
      <c r="E881" s="31" t="s">
        <v>3714</v>
      </c>
      <c r="F881" s="15">
        <v>533102</v>
      </c>
      <c r="G881" s="31" t="str">
        <f t="shared" si="85"/>
        <v>533102 (Perdagangan Ekspor Pakaian Jadi)</v>
      </c>
      <c r="H881" s="3"/>
      <c r="I881" s="16" t="s">
        <v>3715</v>
      </c>
      <c r="J881" s="52">
        <v>601056</v>
      </c>
      <c r="K881" s="16" t="str">
        <f t="shared" si="82"/>
        <v>601056 (PT. BPR Saraswati Ekabumi)</v>
      </c>
    </row>
    <row r="882" spans="1:11" ht="12.75" customHeight="1" x14ac:dyDescent="0.35">
      <c r="A882" s="3"/>
      <c r="B882" s="2"/>
      <c r="C882" s="3"/>
      <c r="D882" s="3"/>
      <c r="E882" s="31" t="s">
        <v>3716</v>
      </c>
      <c r="F882" s="15">
        <v>533103</v>
      </c>
      <c r="G882" s="31" t="str">
        <f t="shared" si="85"/>
        <v>533103 (Perdagangan Ekspor Kulit)</v>
      </c>
      <c r="H882" s="3"/>
      <c r="I882" s="16" t="s">
        <v>3717</v>
      </c>
      <c r="J882" s="52">
        <v>601057</v>
      </c>
      <c r="K882" s="16" t="str">
        <f t="shared" si="82"/>
        <v>601057 (PT. BPR Artha Adyamurthi)</v>
      </c>
    </row>
    <row r="883" spans="1:11" ht="12.75" customHeight="1" x14ac:dyDescent="0.35">
      <c r="A883" s="3"/>
      <c r="B883" s="2"/>
      <c r="C883" s="3"/>
      <c r="D883" s="3"/>
      <c r="E883" s="31" t="s">
        <v>3718</v>
      </c>
      <c r="F883" s="15">
        <v>533900</v>
      </c>
      <c r="G883" s="31" t="str">
        <f t="shared" si="85"/>
        <v>533900 (Perdagangan Ekspor Barang-barang Keperluan Rumah Tangga Lainnya)</v>
      </c>
      <c r="H883" s="3"/>
      <c r="I883" s="16" t="s">
        <v>3719</v>
      </c>
      <c r="J883" s="52">
        <v>601058</v>
      </c>
      <c r="K883" s="16" t="str">
        <f t="shared" si="82"/>
        <v>601058 (PT. BPR Sewu Bali)</v>
      </c>
    </row>
    <row r="884" spans="1:11" ht="12.75" customHeight="1" x14ac:dyDescent="0.35">
      <c r="A884" s="3"/>
      <c r="B884" s="2"/>
      <c r="C884" s="3"/>
      <c r="D884" s="3"/>
      <c r="E884" s="31" t="s">
        <v>3720</v>
      </c>
      <c r="F884" s="15">
        <v>534100</v>
      </c>
      <c r="G884" s="31" t="str">
        <f t="shared" si="85"/>
        <v>534100 (Perdagangan Ekspor Bahan Bakar Gas, Cair, dan Padat Serta Produk Lainnya)</v>
      </c>
      <c r="H884" s="3"/>
      <c r="I884" s="16" t="s">
        <v>3721</v>
      </c>
      <c r="J884" s="52">
        <v>601060</v>
      </c>
      <c r="K884" s="16" t="str">
        <f t="shared" si="82"/>
        <v>601060 (PT. BPR Restu Dewata)</v>
      </c>
    </row>
    <row r="885" spans="1:11" ht="12.75" customHeight="1" x14ac:dyDescent="0.35">
      <c r="A885" s="3"/>
      <c r="B885" s="2"/>
      <c r="C885" s="3"/>
      <c r="D885" s="3"/>
      <c r="E885" s="31" t="s">
        <v>3722</v>
      </c>
      <c r="F885" s="15">
        <v>534201</v>
      </c>
      <c r="G885" s="31" t="str">
        <f t="shared" si="85"/>
        <v>534201 (Perdagangan Ekspor Bijih Timah)</v>
      </c>
      <c r="H885" s="3"/>
      <c r="I885" s="16" t="s">
        <v>3723</v>
      </c>
      <c r="J885" s="52">
        <v>601061</v>
      </c>
      <c r="K885" s="16" t="str">
        <f t="shared" si="82"/>
        <v>601061 (PT. BPR Adi Sedana Ayu)</v>
      </c>
    </row>
    <row r="886" spans="1:11" ht="12.75" customHeight="1" x14ac:dyDescent="0.35">
      <c r="A886" s="3"/>
      <c r="B886" s="2"/>
      <c r="C886" s="3"/>
      <c r="D886" s="3"/>
      <c r="E886" s="31" t="s">
        <v>3724</v>
      </c>
      <c r="F886" s="15">
        <v>534202</v>
      </c>
      <c r="G886" s="31" t="str">
        <f t="shared" si="85"/>
        <v>534202 (Perdagangan Ekspor Bijih Logam Selain Timah)</v>
      </c>
      <c r="H886" s="3"/>
      <c r="I886" s="16" t="s">
        <v>3725</v>
      </c>
      <c r="J886" s="52">
        <v>601062</v>
      </c>
      <c r="K886" s="16" t="str">
        <f t="shared" si="82"/>
        <v>601062 (PT. BPR Prima Dewata)</v>
      </c>
    </row>
    <row r="887" spans="1:11" ht="12.75" customHeight="1" x14ac:dyDescent="0.35">
      <c r="A887" s="3"/>
      <c r="B887" s="2"/>
      <c r="C887" s="3"/>
      <c r="D887" s="3"/>
      <c r="E887" s="31" t="s">
        <v>3726</v>
      </c>
      <c r="F887" s="15">
        <v>534203</v>
      </c>
      <c r="G887" s="31" t="str">
        <f t="shared" si="85"/>
        <v>534203 (Perdagangan Ekspor Batu Bara)</v>
      </c>
      <c r="H887" s="3"/>
      <c r="I887" s="16" t="s">
        <v>3727</v>
      </c>
      <c r="J887" s="52">
        <v>601063</v>
      </c>
      <c r="K887" s="16" t="str">
        <f t="shared" si="82"/>
        <v>601063 (PT. BPR Prisma Bali d/h Dhanijaya Bumiar)</v>
      </c>
    </row>
    <row r="888" spans="1:11" ht="12.75" customHeight="1" x14ac:dyDescent="0.35">
      <c r="A888" s="3"/>
      <c r="B888" s="2"/>
      <c r="C888" s="3"/>
      <c r="D888" s="3"/>
      <c r="E888" s="31" t="s">
        <v>3728</v>
      </c>
      <c r="F888" s="15">
        <v>534209</v>
      </c>
      <c r="G888" s="31" t="str">
        <f t="shared" si="85"/>
        <v>534209 (Perdagangan Ekspor Logam dan Bijih Logam (hasil Pertambangan dan Penggalian) Lainnya)</v>
      </c>
      <c r="H888" s="3"/>
      <c r="I888" s="16" t="s">
        <v>3729</v>
      </c>
      <c r="J888" s="52">
        <v>601064</v>
      </c>
      <c r="K888" s="16" t="str">
        <f t="shared" si="82"/>
        <v>601064 (PT. BPR Bumi Prima Dana)</v>
      </c>
    </row>
    <row r="889" spans="1:11" ht="12.75" customHeight="1" x14ac:dyDescent="0.35">
      <c r="A889" s="3"/>
      <c r="B889" s="2"/>
      <c r="C889" s="3"/>
      <c r="D889" s="3"/>
      <c r="E889" s="31" t="s">
        <v>3730</v>
      </c>
      <c r="F889" s="15">
        <v>534301</v>
      </c>
      <c r="G889" s="31" t="str">
        <f t="shared" si="85"/>
        <v>534301 (Perdagangan Ekspor Kayu Lapis)</v>
      </c>
      <c r="H889" s="3"/>
      <c r="I889" s="16" t="s">
        <v>3731</v>
      </c>
      <c r="J889" s="52">
        <v>601065</v>
      </c>
      <c r="K889" s="16" t="str">
        <f t="shared" si="82"/>
        <v>601065 (PT. BPR Artha Rengganis)</v>
      </c>
    </row>
    <row r="890" spans="1:11" ht="12.75" customHeight="1" x14ac:dyDescent="0.35">
      <c r="A890" s="3"/>
      <c r="B890" s="2"/>
      <c r="C890" s="3"/>
      <c r="D890" s="3"/>
      <c r="E890" s="31" t="s">
        <v>3732</v>
      </c>
      <c r="F890" s="15">
        <v>534309</v>
      </c>
      <c r="G890" s="31" t="str">
        <f t="shared" si="85"/>
        <v>534309 (Perdagangan Ekspor Bahan-bahan Konstruksi (kecuali Bahan Hasil Penggalian) Lainnya)</v>
      </c>
      <c r="H890" s="3"/>
      <c r="I890" s="16" t="s">
        <v>3733</v>
      </c>
      <c r="J890" s="52">
        <v>601066</v>
      </c>
      <c r="K890" s="16" t="str">
        <f t="shared" si="82"/>
        <v>601066 (PT. BPR Kintamani Perdana)</v>
      </c>
    </row>
    <row r="891" spans="1:11" ht="12.75" customHeight="1" x14ac:dyDescent="0.35">
      <c r="A891" s="3"/>
      <c r="B891" s="2"/>
      <c r="C891" s="3"/>
      <c r="D891" s="3"/>
      <c r="E891" s="31" t="s">
        <v>3734</v>
      </c>
      <c r="F891" s="15">
        <v>534900</v>
      </c>
      <c r="G891" s="31" t="str">
        <f t="shared" si="85"/>
        <v>534900 (Perdagangan Ekspor Produk Antara (Intermediate Products), Barang- barang Bekas dan Sisa-sisa Tak Terpakai (Scrap))</v>
      </c>
      <c r="H891" s="3"/>
      <c r="I891" s="16" t="s">
        <v>3735</v>
      </c>
      <c r="J891" s="52">
        <v>601067</v>
      </c>
      <c r="K891" s="16" t="str">
        <f t="shared" si="82"/>
        <v>601067 (PT. BPR Sinar Kuta Mulia)</v>
      </c>
    </row>
    <row r="892" spans="1:11" ht="12.75" customHeight="1" x14ac:dyDescent="0.35">
      <c r="A892" s="3"/>
      <c r="B892" s="2"/>
      <c r="C892" s="3"/>
      <c r="D892" s="3"/>
      <c r="E892" s="31" t="s">
        <v>3736</v>
      </c>
      <c r="F892" s="15">
        <v>535000</v>
      </c>
      <c r="G892" s="31" t="str">
        <f t="shared" si="85"/>
        <v>535000 (Perdagangan Ekspor Mesin-mesin, Suku Cadang dan Perlengkapannya)</v>
      </c>
      <c r="H892" s="3"/>
      <c r="I892" s="16" t="s">
        <v>3737</v>
      </c>
      <c r="J892" s="52">
        <v>601068</v>
      </c>
      <c r="K892" s="16" t="str">
        <f t="shared" si="82"/>
        <v>601068 (PT. BPR Dharmawarga Utama)</v>
      </c>
    </row>
    <row r="893" spans="1:11" ht="12.75" customHeight="1" x14ac:dyDescent="0.35">
      <c r="A893" s="3"/>
      <c r="B893" s="2"/>
      <c r="C893" s="3"/>
      <c r="D893" s="3"/>
      <c r="E893" s="31" t="s">
        <v>3738</v>
      </c>
      <c r="F893" s="15">
        <v>539011</v>
      </c>
      <c r="G893" s="31" t="str">
        <f t="shared" si="85"/>
        <v>539011 (Perdagangan Ekspor Kayu Gergajian)</v>
      </c>
      <c r="H893" s="3"/>
      <c r="I893" s="16" t="s">
        <v>3739</v>
      </c>
      <c r="J893" s="52">
        <v>601069</v>
      </c>
      <c r="K893" s="16" t="str">
        <f t="shared" si="82"/>
        <v>601069 (PT BPR Calliste Bestari)</v>
      </c>
    </row>
    <row r="894" spans="1:11" ht="12.75" customHeight="1" x14ac:dyDescent="0.35">
      <c r="A894" s="3"/>
      <c r="B894" s="2"/>
      <c r="C894" s="3"/>
      <c r="D894" s="3"/>
      <c r="E894" s="31" t="s">
        <v>3740</v>
      </c>
      <c r="F894" s="15">
        <v>539012</v>
      </c>
      <c r="G894" s="31" t="str">
        <f t="shared" si="85"/>
        <v>539012 (Perdagangan Ekspor Kopi  Bijian)</v>
      </c>
      <c r="H894" s="3"/>
      <c r="I894" s="16" t="s">
        <v>3741</v>
      </c>
      <c r="J894" s="52">
        <v>601070</v>
      </c>
      <c r="K894" s="16" t="str">
        <f t="shared" si="82"/>
        <v>601070 (PT. BPR Jero Anom)</v>
      </c>
    </row>
    <row r="895" spans="1:11" ht="12.75" customHeight="1" x14ac:dyDescent="0.35">
      <c r="A895" s="3"/>
      <c r="B895" s="2"/>
      <c r="C895" s="3"/>
      <c r="D895" s="3"/>
      <c r="E895" s="31" t="s">
        <v>3708</v>
      </c>
      <c r="F895" s="15">
        <v>539013</v>
      </c>
      <c r="G895" s="31" t="str">
        <f t="shared" si="85"/>
        <v>539013 (Perdagangan Ekspor Tembakau)</v>
      </c>
      <c r="H895" s="3"/>
      <c r="I895" s="16" t="s">
        <v>3742</v>
      </c>
      <c r="J895" s="52">
        <v>601071</v>
      </c>
      <c r="K895" s="16" t="str">
        <f t="shared" si="82"/>
        <v>601071 (PT. BPR Cahaya Bina Putra)</v>
      </c>
    </row>
    <row r="896" spans="1:11" ht="12.75" customHeight="1" x14ac:dyDescent="0.35">
      <c r="A896" s="3"/>
      <c r="B896" s="2"/>
      <c r="C896" s="3"/>
      <c r="D896" s="3"/>
      <c r="E896" s="31" t="s">
        <v>3743</v>
      </c>
      <c r="F896" s="15">
        <v>539014</v>
      </c>
      <c r="G896" s="31" t="str">
        <f t="shared" si="85"/>
        <v>539014 (Perdagangan Ekspor Karet)</v>
      </c>
      <c r="H896" s="3"/>
      <c r="I896" s="16" t="s">
        <v>3744</v>
      </c>
      <c r="J896" s="52">
        <v>601072</v>
      </c>
      <c r="K896" s="16" t="str">
        <f t="shared" si="82"/>
        <v>601072 (PT. BPR Kita Centradana)</v>
      </c>
    </row>
    <row r="897" spans="1:11" ht="12.75" customHeight="1" x14ac:dyDescent="0.35">
      <c r="A897" s="3"/>
      <c r="B897" s="2"/>
      <c r="C897" s="3"/>
      <c r="D897" s="3"/>
      <c r="E897" s="31" t="s">
        <v>3745</v>
      </c>
      <c r="F897" s="15">
        <v>539015</v>
      </c>
      <c r="G897" s="31" t="str">
        <f t="shared" si="85"/>
        <v>539015 (Perdagangan Ekspor Lada)</v>
      </c>
      <c r="H897" s="3"/>
      <c r="I897" s="16" t="s">
        <v>3746</v>
      </c>
      <c r="J897" s="52">
        <v>601073</v>
      </c>
      <c r="K897" s="16" t="str">
        <f t="shared" si="82"/>
        <v>601073 (PT. BPR Sinar Puteramas)</v>
      </c>
    </row>
    <row r="898" spans="1:11" ht="12.75" customHeight="1" x14ac:dyDescent="0.35">
      <c r="A898" s="3"/>
      <c r="B898" s="2"/>
      <c r="C898" s="3"/>
      <c r="D898" s="3"/>
      <c r="E898" s="31" t="s">
        <v>3747</v>
      </c>
      <c r="F898" s="15">
        <v>539016</v>
      </c>
      <c r="G898" s="31" t="str">
        <f t="shared" si="85"/>
        <v>539016 (Perdagangan Ekspor Minyak Kelapa Sawit Mentah)</v>
      </c>
      <c r="H898" s="3"/>
      <c r="I898" s="16" t="s">
        <v>3748</v>
      </c>
      <c r="J898" s="52">
        <v>601074</v>
      </c>
      <c r="K898" s="16" t="str">
        <f t="shared" si="82"/>
        <v>601074 (PT. BPR Siwi Sedana)</v>
      </c>
    </row>
    <row r="899" spans="1:11" ht="12.75" customHeight="1" x14ac:dyDescent="0.35">
      <c r="A899" s="3"/>
      <c r="B899" s="2"/>
      <c r="C899" s="3"/>
      <c r="D899" s="3"/>
      <c r="E899" s="31" t="s">
        <v>3749</v>
      </c>
      <c r="F899" s="15">
        <v>539017</v>
      </c>
      <c r="G899" s="31" t="str">
        <f t="shared" si="85"/>
        <v>539017 (Perdagangan Ekspor Minyak Biji Kelapa Sawit)</v>
      </c>
      <c r="H899" s="3"/>
      <c r="I899" s="16" t="s">
        <v>3750</v>
      </c>
      <c r="J899" s="52">
        <v>601075</v>
      </c>
      <c r="K899" s="16" t="str">
        <f t="shared" si="82"/>
        <v>601075 (PT. BPR Segara Anak Kencana)</v>
      </c>
    </row>
    <row r="900" spans="1:11" ht="12.75" customHeight="1" x14ac:dyDescent="0.35">
      <c r="A900" s="3"/>
      <c r="B900" s="2"/>
      <c r="C900" s="3"/>
      <c r="D900" s="3"/>
      <c r="E900" s="31" t="s">
        <v>3751</v>
      </c>
      <c r="F900" s="15">
        <v>539018</v>
      </c>
      <c r="G900" s="31" t="str">
        <f t="shared" si="85"/>
        <v>539018 (Perdagangan Ekspor Bungkil Kopra)</v>
      </c>
      <c r="H900" s="3"/>
      <c r="I900" s="16" t="s">
        <v>3752</v>
      </c>
      <c r="J900" s="52">
        <v>601076</v>
      </c>
      <c r="K900" s="16" t="str">
        <f t="shared" si="82"/>
        <v>601076 (PT. BPR Samas)</v>
      </c>
    </row>
    <row r="901" spans="1:11" ht="12.75" customHeight="1" x14ac:dyDescent="0.35">
      <c r="A901" s="3"/>
      <c r="B901" s="2"/>
      <c r="C901" s="3"/>
      <c r="D901" s="3"/>
      <c r="E901" s="31" t="s">
        <v>3753</v>
      </c>
      <c r="F901" s="15">
        <v>539019</v>
      </c>
      <c r="G901" s="31" t="str">
        <f t="shared" si="85"/>
        <v>539019 (Perdagangan Ekspor Hasil Pertanian, Perkebunan, dan Kehutanan Lainnya)</v>
      </c>
      <c r="H901" s="3"/>
      <c r="I901" s="16" t="s">
        <v>3754</v>
      </c>
      <c r="J901" s="52">
        <v>601077</v>
      </c>
      <c r="K901" s="16" t="str">
        <f t="shared" si="82"/>
        <v>601077 (PT. BPR Sari Dinarkencana)</v>
      </c>
    </row>
    <row r="902" spans="1:11" ht="12.75" customHeight="1" x14ac:dyDescent="0.35">
      <c r="A902" s="3"/>
      <c r="B902" s="2"/>
      <c r="C902" s="3"/>
      <c r="D902" s="3"/>
      <c r="E902" s="31" t="s">
        <v>3755</v>
      </c>
      <c r="F902" s="15">
        <v>539021</v>
      </c>
      <c r="G902" s="31" t="str">
        <f t="shared" si="85"/>
        <v>539021 (Perdagangan Ekspor Hewan yang Sudah Diolah)</v>
      </c>
      <c r="H902" s="3"/>
      <c r="I902" s="16" t="s">
        <v>3756</v>
      </c>
      <c r="J902" s="52">
        <v>601078</v>
      </c>
      <c r="K902" s="16" t="str">
        <f t="shared" si="82"/>
        <v>601078 (PT. BPR Ramot Ganda)</v>
      </c>
    </row>
    <row r="903" spans="1:11" ht="12.75" customHeight="1" x14ac:dyDescent="0.35">
      <c r="A903" s="3"/>
      <c r="B903" s="2"/>
      <c r="C903" s="3"/>
      <c r="D903" s="3"/>
      <c r="E903" s="31" t="s">
        <v>3757</v>
      </c>
      <c r="F903" s="15">
        <v>539022</v>
      </c>
      <c r="G903" s="31" t="str">
        <f t="shared" si="85"/>
        <v>539022 (Perdagangan Ekspor Bahan Makanan Lainnya)</v>
      </c>
      <c r="H903" s="3"/>
      <c r="I903" s="16" t="s">
        <v>3758</v>
      </c>
      <c r="J903" s="52">
        <v>601079</v>
      </c>
      <c r="K903" s="16" t="str">
        <f t="shared" si="82"/>
        <v>601079 (PT. BPR Wiranadi)</v>
      </c>
    </row>
    <row r="904" spans="1:11" ht="12.75" customHeight="1" x14ac:dyDescent="0.35">
      <c r="A904" s="3"/>
      <c r="B904" s="2"/>
      <c r="C904" s="3"/>
      <c r="D904" s="3"/>
      <c r="E904" s="31" t="s">
        <v>3759</v>
      </c>
      <c r="F904" s="15">
        <v>539023</v>
      </c>
      <c r="G904" s="31" t="str">
        <f t="shared" si="85"/>
        <v>539023 (Perdagangan Ekspor Hasil Tambang Setengah Jadi)</v>
      </c>
      <c r="H904" s="3"/>
      <c r="I904" s="16" t="s">
        <v>3760</v>
      </c>
      <c r="J904" s="52">
        <v>601080</v>
      </c>
      <c r="K904" s="16" t="str">
        <f t="shared" si="82"/>
        <v>601080 (PT. BPR Danayasa)</v>
      </c>
    </row>
    <row r="905" spans="1:11" ht="12.75" customHeight="1" x14ac:dyDescent="0.35">
      <c r="A905" s="3"/>
      <c r="B905" s="2"/>
      <c r="C905" s="3"/>
      <c r="D905" s="3"/>
      <c r="E905" s="31" t="s">
        <v>3761</v>
      </c>
      <c r="F905" s="15">
        <v>539029</v>
      </c>
      <c r="G905" s="31" t="str">
        <f t="shared" si="85"/>
        <v>539029 (Perdagangan Ekspor Barang Setengah Jadi Lainnya)</v>
      </c>
      <c r="H905" s="3"/>
      <c r="I905" s="16" t="s">
        <v>3762</v>
      </c>
      <c r="J905" s="52">
        <v>601081</v>
      </c>
      <c r="K905" s="16" t="str">
        <f t="shared" si="82"/>
        <v>601081 (PT. BPR Tanjung Abdi Swadaya)</v>
      </c>
    </row>
    <row r="906" spans="1:11" ht="12.75" customHeight="1" x14ac:dyDescent="0.35">
      <c r="A906" s="3"/>
      <c r="B906" s="2"/>
      <c r="C906" s="3"/>
      <c r="D906" s="3"/>
      <c r="E906" s="31" t="s">
        <v>3763</v>
      </c>
      <c r="F906" s="15">
        <v>539031</v>
      </c>
      <c r="G906" s="31" t="str">
        <f t="shared" si="85"/>
        <v>539031 (Perdagangan Ekspor Barang Kerajinan dari Kayu dan Rotan)</v>
      </c>
      <c r="H906" s="3"/>
      <c r="I906" s="16" t="s">
        <v>3764</v>
      </c>
      <c r="J906" s="52">
        <v>601082</v>
      </c>
      <c r="K906" s="16" t="str">
        <f t="shared" si="82"/>
        <v>601082 (PT. BPR Luhur Damai)</v>
      </c>
    </row>
    <row r="907" spans="1:11" ht="12.75" customHeight="1" x14ac:dyDescent="0.35">
      <c r="A907" s="3"/>
      <c r="B907" s="2"/>
      <c r="C907" s="3"/>
      <c r="D907" s="3"/>
      <c r="E907" s="31" t="s">
        <v>3765</v>
      </c>
      <c r="F907" s="15">
        <v>539032</v>
      </c>
      <c r="G907" s="31" t="str">
        <f t="shared" si="85"/>
        <v>539032 (Perdagangan Ekspor Barang Kerajinan selain dari Kayu dan Rotan)</v>
      </c>
      <c r="H907" s="3"/>
      <c r="I907" s="16" t="s">
        <v>3766</v>
      </c>
      <c r="J907" s="52">
        <v>601083</v>
      </c>
      <c r="K907" s="16" t="str">
        <f t="shared" si="82"/>
        <v>601083 (PT. BPR Porsea Jaya)</v>
      </c>
    </row>
    <row r="908" spans="1:11" ht="12.75" customHeight="1" x14ac:dyDescent="0.35">
      <c r="A908" s="3"/>
      <c r="B908" s="2"/>
      <c r="C908" s="3"/>
      <c r="D908" s="3"/>
      <c r="E908" s="31" t="s">
        <v>3767</v>
      </c>
      <c r="F908" s="15">
        <v>539034</v>
      </c>
      <c r="G908" s="31" t="str">
        <f t="shared" si="85"/>
        <v>539034 (Perdagangan Ekspor Jasa Konstruksi)</v>
      </c>
      <c r="H908" s="3"/>
      <c r="I908" s="16" t="s">
        <v>3768</v>
      </c>
      <c r="J908" s="52">
        <v>601085</v>
      </c>
      <c r="K908" s="16" t="str">
        <f t="shared" si="82"/>
        <v>601085 (PT. BPR Dana Ganda)</v>
      </c>
    </row>
    <row r="909" spans="1:11" ht="12.75" customHeight="1" x14ac:dyDescent="0.35">
      <c r="A909" s="3"/>
      <c r="B909" s="2"/>
      <c r="C909" s="3"/>
      <c r="D909" s="3"/>
      <c r="E909" s="31" t="s">
        <v>3769</v>
      </c>
      <c r="F909" s="15">
        <v>539039</v>
      </c>
      <c r="G909" s="31" t="str">
        <f t="shared" si="85"/>
        <v>539039 (Perdagangan Ekspor yang Tidak Diklasifikasikan di Tempat Lain)</v>
      </c>
      <c r="H909" s="3"/>
      <c r="I909" s="16" t="s">
        <v>3770</v>
      </c>
      <c r="J909" s="52">
        <v>601086</v>
      </c>
      <c r="K909" s="16" t="str">
        <f t="shared" si="82"/>
        <v>601086 (PT. BPR Toelangan Dasa Nusantara)</v>
      </c>
    </row>
    <row r="910" spans="1:11" ht="12.75" customHeight="1" x14ac:dyDescent="0.35">
      <c r="A910" s="3"/>
      <c r="B910" s="2"/>
      <c r="C910" s="3"/>
      <c r="D910" s="3"/>
      <c r="E910" s="31" t="s">
        <v>3771</v>
      </c>
      <c r="F910" s="15">
        <v>541000</v>
      </c>
      <c r="G910" s="31" t="str">
        <f t="shared" si="85"/>
        <v>541000 (Perdagangan Impor Berdasarkan Balas Jasa (Fee) Atau Kontrak)</v>
      </c>
      <c r="H910" s="3"/>
      <c r="I910" s="16" t="s">
        <v>3772</v>
      </c>
      <c r="J910" s="52">
        <v>601087</v>
      </c>
      <c r="K910" s="16" t="str">
        <f t="shared" si="82"/>
        <v>601087 (PT BPR Surya Arthaguna Abadi)</v>
      </c>
    </row>
    <row r="911" spans="1:11" ht="12.75" customHeight="1" x14ac:dyDescent="0.35">
      <c r="A911" s="3"/>
      <c r="B911" s="2"/>
      <c r="C911" s="3"/>
      <c r="D911" s="3"/>
      <c r="E911" s="31" t="s">
        <v>3773</v>
      </c>
      <c r="F911" s="15">
        <v>542101</v>
      </c>
      <c r="G911" s="31" t="str">
        <f t="shared" si="85"/>
        <v>542101 (Perdagangan Impor Cengkeh)</v>
      </c>
      <c r="H911" s="3"/>
      <c r="I911" s="16" t="s">
        <v>3774</v>
      </c>
      <c r="J911" s="52">
        <v>601088</v>
      </c>
      <c r="K911" s="16" t="str">
        <f t="shared" si="82"/>
        <v>601088 (PT BPR Surya Artha Guna Mandiri)</v>
      </c>
    </row>
    <row r="912" spans="1:11" ht="12.75" customHeight="1" x14ac:dyDescent="0.35">
      <c r="A912" s="3"/>
      <c r="B912" s="2"/>
      <c r="C912" s="3"/>
      <c r="D912" s="3"/>
      <c r="E912" s="31" t="s">
        <v>3775</v>
      </c>
      <c r="F912" s="15">
        <v>542102</v>
      </c>
      <c r="G912" s="31" t="str">
        <f t="shared" si="85"/>
        <v>542102 (Perdagangan Impor Biji Gandum)</v>
      </c>
      <c r="H912" s="3"/>
      <c r="I912" s="16" t="s">
        <v>3776</v>
      </c>
      <c r="J912" s="52">
        <v>601089</v>
      </c>
      <c r="K912" s="16" t="str">
        <f t="shared" si="82"/>
        <v>601089 (PT. BPR Wlingi Pahala Pakto)</v>
      </c>
    </row>
    <row r="913" spans="1:11" ht="12.75" customHeight="1" x14ac:dyDescent="0.35">
      <c r="A913" s="3"/>
      <c r="B913" s="2"/>
      <c r="C913" s="3"/>
      <c r="D913" s="3"/>
      <c r="E913" s="31" t="s">
        <v>3777</v>
      </c>
      <c r="F913" s="15">
        <v>542103</v>
      </c>
      <c r="G913" s="31" t="str">
        <f t="shared" si="85"/>
        <v>542103 (Perdagangan Impor Jagung)</v>
      </c>
      <c r="H913" s="3"/>
      <c r="I913" s="16" t="s">
        <v>3778</v>
      </c>
      <c r="J913" s="52">
        <v>601091</v>
      </c>
      <c r="K913" s="16" t="str">
        <f t="shared" si="82"/>
        <v>601091 (KOP. BPR Sejahtera)</v>
      </c>
    </row>
    <row r="914" spans="1:11" ht="12.75" customHeight="1" x14ac:dyDescent="0.35">
      <c r="A914" s="3"/>
      <c r="B914" s="2"/>
      <c r="C914" s="3"/>
      <c r="D914" s="3"/>
      <c r="E914" s="31" t="s">
        <v>3779</v>
      </c>
      <c r="F914" s="15">
        <v>542104</v>
      </c>
      <c r="G914" s="31" t="str">
        <f t="shared" si="85"/>
        <v>542104 (Perdagangan Impor Kacang Kedelai)</v>
      </c>
      <c r="H914" s="3"/>
      <c r="I914" s="16" t="s">
        <v>3780</v>
      </c>
      <c r="J914" s="52">
        <v>601093</v>
      </c>
      <c r="K914" s="16" t="str">
        <f t="shared" si="82"/>
        <v>601093 (PT. BPR Sabee Meusampee)</v>
      </c>
    </row>
    <row r="915" spans="1:11" ht="12.75" customHeight="1" x14ac:dyDescent="0.35">
      <c r="A915" s="3"/>
      <c r="B915" s="2"/>
      <c r="C915" s="3"/>
      <c r="D915" s="3"/>
      <c r="E915" s="31" t="s">
        <v>3781</v>
      </c>
      <c r="F915" s="15">
        <v>542109</v>
      </c>
      <c r="G915" s="31" t="str">
        <f t="shared" si="85"/>
        <v>542109 (Perdagangan Impor Bahan Baku Hasil Pertanian, dan Binatang Hidup Lainnya)</v>
      </c>
      <c r="H915" s="3"/>
      <c r="I915" s="16" t="s">
        <v>3782</v>
      </c>
      <c r="J915" s="52">
        <v>601094</v>
      </c>
      <c r="K915" s="16" t="str">
        <f t="shared" si="82"/>
        <v>601094 (PT. BPR Karya Parhuta)</v>
      </c>
    </row>
    <row r="916" spans="1:11" ht="12.75" customHeight="1" x14ac:dyDescent="0.35">
      <c r="A916" s="3"/>
      <c r="B916" s="2"/>
      <c r="C916" s="3"/>
      <c r="D916" s="3"/>
      <c r="E916" s="31" t="s">
        <v>3783</v>
      </c>
      <c r="F916" s="15">
        <v>542201</v>
      </c>
      <c r="G916" s="31" t="str">
        <f t="shared" si="85"/>
        <v>542201 (Perdagangan Impor Beras)</v>
      </c>
      <c r="H916" s="3"/>
      <c r="I916" s="16" t="s">
        <v>3784</v>
      </c>
      <c r="J916" s="52">
        <v>601095</v>
      </c>
      <c r="K916" s="16" t="str">
        <f t="shared" si="82"/>
        <v>601095 (KOP. BPR Hasta Krida Jaya)</v>
      </c>
    </row>
    <row r="917" spans="1:11" ht="12.75" customHeight="1" x14ac:dyDescent="0.35">
      <c r="A917" s="3"/>
      <c r="B917" s="2"/>
      <c r="C917" s="3"/>
      <c r="D917" s="3"/>
      <c r="E917" s="31" t="s">
        <v>3785</v>
      </c>
      <c r="F917" s="15">
        <v>542202</v>
      </c>
      <c r="G917" s="31" t="str">
        <f t="shared" si="85"/>
        <v>542202 (Perdagangan Impor Gula)</v>
      </c>
      <c r="H917" s="3"/>
      <c r="I917" s="16" t="s">
        <v>3786</v>
      </c>
      <c r="J917" s="52">
        <v>601096</v>
      </c>
      <c r="K917" s="16" t="str">
        <f t="shared" si="82"/>
        <v>601096 (PT BPR Mulyo Raharjo)</v>
      </c>
    </row>
    <row r="918" spans="1:11" ht="12.75" customHeight="1" x14ac:dyDescent="0.35">
      <c r="A918" s="3"/>
      <c r="B918" s="2"/>
      <c r="C918" s="3"/>
      <c r="D918" s="3"/>
      <c r="E918" s="31" t="s">
        <v>3787</v>
      </c>
      <c r="F918" s="15">
        <v>542209</v>
      </c>
      <c r="G918" s="31" t="str">
        <f t="shared" si="85"/>
        <v>542209 (Perdagangan Impor Makanan, Minuman, dan Tembakau Lainnya)</v>
      </c>
      <c r="H918" s="3"/>
      <c r="I918" s="16" t="s">
        <v>3788</v>
      </c>
      <c r="J918" s="52">
        <v>601097</v>
      </c>
      <c r="K918" s="16" t="str">
        <f t="shared" si="82"/>
        <v>601097 (PT BPR Tunas Artha Jaya Abadi)</v>
      </c>
    </row>
    <row r="919" spans="1:11" ht="12.75" customHeight="1" x14ac:dyDescent="0.35">
      <c r="A919" s="3"/>
      <c r="B919" s="2"/>
      <c r="C919" s="3"/>
      <c r="D919" s="3"/>
      <c r="E919" s="31" t="s">
        <v>3789</v>
      </c>
      <c r="F919" s="15">
        <v>543100</v>
      </c>
      <c r="G919" s="31" t="str">
        <f t="shared" si="85"/>
        <v>543100 (Perdagangan Impor Tekstil, Pakaian Jadi, dan Kulit)</v>
      </c>
      <c r="H919" s="3"/>
      <c r="I919" s="16" t="s">
        <v>3790</v>
      </c>
      <c r="J919" s="52">
        <v>601098</v>
      </c>
      <c r="K919" s="16" t="str">
        <f t="shared" si="82"/>
        <v>601098 (PT. BPR Kertosono Saranaartha)</v>
      </c>
    </row>
    <row r="920" spans="1:11" ht="12.75" customHeight="1" x14ac:dyDescent="0.35">
      <c r="A920" s="3"/>
      <c r="B920" s="2"/>
      <c r="C920" s="3"/>
      <c r="D920" s="3"/>
      <c r="E920" s="31" t="s">
        <v>3791</v>
      </c>
      <c r="F920" s="15">
        <v>543900</v>
      </c>
      <c r="G920" s="31" t="str">
        <f t="shared" si="85"/>
        <v>543900 (Perdagangan Impor Barang-barang Keperluan Rumah Tangga lainnya)</v>
      </c>
      <c r="H920" s="3"/>
      <c r="I920" s="16" t="s">
        <v>3792</v>
      </c>
      <c r="J920" s="52">
        <v>601099</v>
      </c>
      <c r="K920" s="16" t="str">
        <f t="shared" si="82"/>
        <v>601099 (PT. BPR Arindomegah Abadi)</v>
      </c>
    </row>
    <row r="921" spans="1:11" ht="12.75" customHeight="1" x14ac:dyDescent="0.35">
      <c r="A921" s="3"/>
      <c r="B921" s="2"/>
      <c r="C921" s="3"/>
      <c r="D921" s="3"/>
      <c r="E921" s="31" t="s">
        <v>3793</v>
      </c>
      <c r="F921" s="15">
        <v>544100</v>
      </c>
      <c r="G921" s="31" t="str">
        <f t="shared" si="85"/>
        <v>544100 (Perdagangan Impor Bahan Bakar Gas, Cair, dan Padat Serta Produk Sejenis)</v>
      </c>
      <c r="H921" s="3"/>
      <c r="I921" s="16" t="s">
        <v>3794</v>
      </c>
      <c r="J921" s="52">
        <v>601100</v>
      </c>
      <c r="K921" s="16" t="str">
        <f t="shared" si="82"/>
        <v>601100 (PT. BPR Sukasada)</v>
      </c>
    </row>
    <row r="922" spans="1:11" ht="12.75" customHeight="1" x14ac:dyDescent="0.35">
      <c r="A922" s="3"/>
      <c r="B922" s="2"/>
      <c r="C922" s="3"/>
      <c r="D922" s="3"/>
      <c r="E922" s="31" t="s">
        <v>3795</v>
      </c>
      <c r="F922" s="15">
        <v>544200</v>
      </c>
      <c r="G922" s="31" t="str">
        <f t="shared" si="85"/>
        <v>544200 (Perdagangan Impor Logam dan Bijih Logam)</v>
      </c>
      <c r="H922" s="3"/>
      <c r="I922" s="16" t="s">
        <v>3796</v>
      </c>
      <c r="J922" s="52">
        <v>601101</v>
      </c>
      <c r="K922" s="16" t="str">
        <f t="shared" si="82"/>
        <v>601101 (PT BPR Rukun Karya Sari)</v>
      </c>
    </row>
    <row r="923" spans="1:11" ht="12.75" customHeight="1" x14ac:dyDescent="0.35">
      <c r="A923" s="3"/>
      <c r="B923" s="2"/>
      <c r="C923" s="3"/>
      <c r="D923" s="3"/>
      <c r="E923" s="31" t="s">
        <v>3797</v>
      </c>
      <c r="F923" s="15">
        <v>544301</v>
      </c>
      <c r="G923" s="31" t="str">
        <f t="shared" si="85"/>
        <v>544301 (Perdagangan Impor Besi Beton)</v>
      </c>
      <c r="H923" s="3"/>
      <c r="I923" s="16" t="s">
        <v>3798</v>
      </c>
      <c r="J923" s="52">
        <v>601102</v>
      </c>
      <c r="K923" s="16" t="str">
        <f t="shared" si="82"/>
        <v>601102 (KOP. BPR Bumi Arta)</v>
      </c>
    </row>
    <row r="924" spans="1:11" ht="12.75" customHeight="1" x14ac:dyDescent="0.35">
      <c r="A924" s="3"/>
      <c r="B924" s="2"/>
      <c r="C924" s="3"/>
      <c r="D924" s="3"/>
      <c r="E924" s="31" t="s">
        <v>3799</v>
      </c>
      <c r="F924" s="15">
        <v>544309</v>
      </c>
      <c r="G924" s="31" t="str">
        <f t="shared" si="85"/>
        <v>544309 (Perdagangan Impor Bahan-bahan Konstruksi Lainnya)</v>
      </c>
      <c r="H924" s="3"/>
      <c r="I924" s="16" t="s">
        <v>3800</v>
      </c>
      <c r="J924" s="52">
        <v>601103</v>
      </c>
      <c r="K924" s="16" t="str">
        <f t="shared" si="82"/>
        <v>601103 (PT BPR Bumi Jaya)</v>
      </c>
    </row>
    <row r="925" spans="1:11" ht="12.75" customHeight="1" x14ac:dyDescent="0.35">
      <c r="A925" s="3"/>
      <c r="B925" s="2"/>
      <c r="C925" s="3"/>
      <c r="D925" s="3"/>
      <c r="E925" s="31" t="s">
        <v>3801</v>
      </c>
      <c r="F925" s="15">
        <v>544901</v>
      </c>
      <c r="G925" s="31" t="str">
        <f t="shared" si="85"/>
        <v>544901 (Perdagangan Impor Pupuk dan Obat Hama)</v>
      </c>
      <c r="H925" s="3"/>
      <c r="I925" s="16" t="s">
        <v>3802</v>
      </c>
      <c r="J925" s="52">
        <v>601104</v>
      </c>
      <c r="K925" s="16" t="str">
        <f t="shared" si="82"/>
        <v>601104 (PT. BPR Vita Jasaguna)</v>
      </c>
    </row>
    <row r="926" spans="1:11" ht="12.75" customHeight="1" x14ac:dyDescent="0.35">
      <c r="A926" s="3"/>
      <c r="B926" s="2"/>
      <c r="C926" s="3"/>
      <c r="D926" s="3"/>
      <c r="E926" s="31" t="s">
        <v>3803</v>
      </c>
      <c r="F926" s="15">
        <v>544902</v>
      </c>
      <c r="G926" s="31" t="str">
        <f t="shared" si="85"/>
        <v>544902 (Perdagangan Impor Farmasi)</v>
      </c>
      <c r="H926" s="3"/>
      <c r="I926" s="16" t="s">
        <v>3804</v>
      </c>
      <c r="J926" s="52">
        <v>601105</v>
      </c>
      <c r="K926" s="16" t="str">
        <f t="shared" si="82"/>
        <v>601105 (PT. BPR Mojosari Pahalapakto)</v>
      </c>
    </row>
    <row r="927" spans="1:11" ht="12.75" customHeight="1" x14ac:dyDescent="0.35">
      <c r="A927" s="3"/>
      <c r="B927" s="2"/>
      <c r="C927" s="3"/>
      <c r="D927" s="3"/>
      <c r="E927" s="31" t="s">
        <v>3805</v>
      </c>
      <c r="F927" s="15">
        <v>544909</v>
      </c>
      <c r="G927" s="31" t="str">
        <f t="shared" si="85"/>
        <v>544909 (Perdagangan Impor Barang Antara Lainnya)</v>
      </c>
      <c r="H927" s="3"/>
      <c r="I927" s="16" t="s">
        <v>3806</v>
      </c>
      <c r="J927" s="52">
        <v>601106</v>
      </c>
      <c r="K927" s="16" t="str">
        <f t="shared" si="82"/>
        <v>601106 (PT. BPR Multi Arthanusa)</v>
      </c>
    </row>
    <row r="928" spans="1:11" ht="12.75" customHeight="1" x14ac:dyDescent="0.35">
      <c r="A928" s="3"/>
      <c r="B928" s="2"/>
      <c r="C928" s="3"/>
      <c r="D928" s="3"/>
      <c r="E928" s="31" t="s">
        <v>3807</v>
      </c>
      <c r="F928" s="15">
        <v>545001</v>
      </c>
      <c r="G928" s="31" t="str">
        <f t="shared" si="85"/>
        <v>545001 (Perdagangan Impor Suku Cadang Industri)</v>
      </c>
      <c r="H928" s="3"/>
      <c r="I928" s="16" t="s">
        <v>3808</v>
      </c>
      <c r="J928" s="52">
        <v>601107</v>
      </c>
      <c r="K928" s="16" t="str">
        <f t="shared" si="82"/>
        <v>601107 (PT. BPR Tjoekir Dasa Nusantara)</v>
      </c>
    </row>
    <row r="929" spans="1:11" ht="12.75" customHeight="1" x14ac:dyDescent="0.35">
      <c r="A929" s="3"/>
      <c r="B929" s="2"/>
      <c r="C929" s="3"/>
      <c r="D929" s="3"/>
      <c r="E929" s="31" t="s">
        <v>3809</v>
      </c>
      <c r="F929" s="15">
        <v>545009</v>
      </c>
      <c r="G929" s="31" t="str">
        <f t="shared" si="85"/>
        <v>545009 (Perdagangan Impor Suku Cadang Mesin-mesin, Suku Cadang dan Perlengkapannya Lainnya)</v>
      </c>
      <c r="H929" s="3"/>
      <c r="I929" s="16" t="s">
        <v>3810</v>
      </c>
      <c r="J929" s="52">
        <v>601108</v>
      </c>
      <c r="K929" s="16" t="str">
        <f t="shared" si="82"/>
        <v>601108 (PT. BPR Aji Caka)</v>
      </c>
    </row>
    <row r="930" spans="1:11" ht="12.75" customHeight="1" x14ac:dyDescent="0.35">
      <c r="A930" s="3"/>
      <c r="B930" s="2"/>
      <c r="C930" s="3"/>
      <c r="D930" s="3"/>
      <c r="E930" s="31" t="s">
        <v>3811</v>
      </c>
      <c r="F930" s="15">
        <v>549000</v>
      </c>
      <c r="G930" s="31" t="str">
        <f t="shared" si="85"/>
        <v>549000 (Perdagangan Impor Lainnya)</v>
      </c>
      <c r="H930" s="3"/>
      <c r="I930" s="16" t="s">
        <v>3812</v>
      </c>
      <c r="J930" s="52">
        <v>601109</v>
      </c>
      <c r="K930" s="16" t="str">
        <f t="shared" si="82"/>
        <v>601109 (PT. BPR Eka Bumi Artha)</v>
      </c>
    </row>
    <row r="931" spans="1:11" ht="12.75" customHeight="1" x14ac:dyDescent="0.35">
      <c r="A931" s="3"/>
      <c r="B931" s="2"/>
      <c r="C931" s="3"/>
      <c r="D931" s="3"/>
      <c r="E931" s="31" t="s">
        <v>3813</v>
      </c>
      <c r="F931" s="15">
        <v>551100</v>
      </c>
      <c r="G931" s="31" t="str">
        <f t="shared" si="85"/>
        <v>551100 (Hotel Bintang)</v>
      </c>
      <c r="H931" s="3"/>
      <c r="I931" s="16" t="s">
        <v>3814</v>
      </c>
      <c r="J931" s="52">
        <v>601110</v>
      </c>
      <c r="K931" s="16" t="str">
        <f t="shared" si="82"/>
        <v>601110 (PD BPR BP Kota Bandar Lampung)</v>
      </c>
    </row>
    <row r="932" spans="1:11" ht="12.75" customHeight="1" x14ac:dyDescent="0.35">
      <c r="A932" s="3"/>
      <c r="B932" s="2"/>
      <c r="C932" s="3"/>
      <c r="D932" s="3"/>
      <c r="E932" s="31" t="s">
        <v>3815</v>
      </c>
      <c r="F932" s="15">
        <v>551200</v>
      </c>
      <c r="G932" s="31" t="str">
        <f t="shared" si="85"/>
        <v>551200 (Hotel Melati)</v>
      </c>
      <c r="H932" s="3"/>
      <c r="I932" s="16" t="s">
        <v>3816</v>
      </c>
      <c r="J932" s="52">
        <v>601111</v>
      </c>
      <c r="K932" s="16" t="str">
        <f t="shared" si="82"/>
        <v>601111 (PT. BPR Swadaya Anugerah Utama)</v>
      </c>
    </row>
    <row r="933" spans="1:11" ht="12.75" customHeight="1" x14ac:dyDescent="0.35">
      <c r="A933" s="3"/>
      <c r="B933" s="2"/>
      <c r="C933" s="3"/>
      <c r="D933" s="3"/>
      <c r="E933" s="31" t="s">
        <v>3817</v>
      </c>
      <c r="F933" s="15">
        <v>551900</v>
      </c>
      <c r="G933" s="31" t="str">
        <f t="shared" si="85"/>
        <v>551900 (Jasa Akomodasi Lainnya)</v>
      </c>
      <c r="H933" s="3"/>
      <c r="I933" s="16" t="s">
        <v>3818</v>
      </c>
      <c r="J933" s="52">
        <v>601112</v>
      </c>
      <c r="K933" s="16" t="str">
        <f t="shared" si="82"/>
        <v>601112 (PT. BPR Dana Master Bahtera)</v>
      </c>
    </row>
    <row r="934" spans="1:11" ht="12.75" customHeight="1" x14ac:dyDescent="0.35">
      <c r="A934" s="3"/>
      <c r="B934" s="2"/>
      <c r="C934" s="3"/>
      <c r="D934" s="3"/>
      <c r="E934" s="31" t="s">
        <v>3819</v>
      </c>
      <c r="F934" s="15">
        <v>552100</v>
      </c>
      <c r="G934" s="31" t="str">
        <f t="shared" si="85"/>
        <v>552100 (Restoran / Rumah Makan)</v>
      </c>
      <c r="H934" s="3"/>
      <c r="I934" s="16" t="s">
        <v>3820</v>
      </c>
      <c r="J934" s="52">
        <v>601114</v>
      </c>
      <c r="K934" s="16" t="str">
        <f t="shared" si="82"/>
        <v>601114 (PT. BPR Bungamayang Agroloka)</v>
      </c>
    </row>
    <row r="935" spans="1:11" ht="12.75" customHeight="1" x14ac:dyDescent="0.35">
      <c r="A935" s="3"/>
      <c r="B935" s="2"/>
      <c r="C935" s="3"/>
      <c r="D935" s="3"/>
      <c r="E935" s="31" t="s">
        <v>3821</v>
      </c>
      <c r="F935" s="15">
        <v>552009</v>
      </c>
      <c r="G935" s="31" t="str">
        <f t="shared" si="85"/>
        <v>552009 (Penyediaan Makan Minum Lainnya)</v>
      </c>
      <c r="H935" s="3"/>
      <c r="I935" s="16" t="s">
        <v>3822</v>
      </c>
      <c r="J935" s="52">
        <v>601115</v>
      </c>
      <c r="K935" s="16" t="str">
        <f t="shared" si="82"/>
        <v>601115 (PT BPR Dwiartha Sagriya)</v>
      </c>
    </row>
    <row r="936" spans="1:11" ht="12.75" customHeight="1" x14ac:dyDescent="0.35">
      <c r="A936" s="3"/>
      <c r="B936" s="2"/>
      <c r="C936" s="3"/>
      <c r="D936" s="3"/>
      <c r="E936" s="31" t="s">
        <v>3823</v>
      </c>
      <c r="F936" s="15">
        <v>601000</v>
      </c>
      <c r="G936" s="31" t="str">
        <f t="shared" si="85"/>
        <v>601000 (Angkutan Jalan Rel)</v>
      </c>
      <c r="H936" s="3"/>
      <c r="I936" s="16" t="s">
        <v>3824</v>
      </c>
      <c r="J936" s="52">
        <v>601116</v>
      </c>
      <c r="K936" s="16" t="str">
        <f t="shared" si="82"/>
        <v>601116 (PT. BPR Cinta Manis Agroloka)</v>
      </c>
    </row>
    <row r="937" spans="1:11" ht="12.75" customHeight="1" x14ac:dyDescent="0.35">
      <c r="A937" s="3"/>
      <c r="B937" s="2"/>
      <c r="C937" s="3"/>
      <c r="D937" s="3"/>
      <c r="E937" s="31" t="s">
        <v>3825</v>
      </c>
      <c r="F937" s="15">
        <v>602100</v>
      </c>
      <c r="G937" s="31" t="str">
        <f t="shared" si="85"/>
        <v>602100 (Angkutan Jalan Dalam Trayek Untuk Penumpang)</v>
      </c>
      <c r="H937" s="3"/>
      <c r="I937" s="16" t="s">
        <v>3826</v>
      </c>
      <c r="J937" s="52">
        <v>601117</v>
      </c>
      <c r="K937" s="16" t="str">
        <f t="shared" si="82"/>
        <v>601117 (PT. BPR Agritans Batumarta)</v>
      </c>
    </row>
    <row r="938" spans="1:11" ht="12.75" customHeight="1" x14ac:dyDescent="0.35">
      <c r="A938" s="3"/>
      <c r="B938" s="2"/>
      <c r="C938" s="3"/>
      <c r="D938" s="3"/>
      <c r="E938" s="31" t="s">
        <v>3827</v>
      </c>
      <c r="F938" s="15">
        <v>602200</v>
      </c>
      <c r="G938" s="31" t="str">
        <f t="shared" si="85"/>
        <v>602200 (Angkutan Jalan Tidak Dalam Trayek Untuk Penumpang)</v>
      </c>
      <c r="H938" s="3"/>
      <c r="I938" s="16" t="s">
        <v>3828</v>
      </c>
      <c r="J938" s="52">
        <v>601118</v>
      </c>
      <c r="K938" s="16" t="str">
        <f t="shared" si="82"/>
        <v>601118 (PT. BPR Dana Nusantara)</v>
      </c>
    </row>
    <row r="939" spans="1:11" ht="12.75" customHeight="1" x14ac:dyDescent="0.35">
      <c r="A939" s="3"/>
      <c r="B939" s="2"/>
      <c r="C939" s="3"/>
      <c r="D939" s="3"/>
      <c r="E939" s="31" t="s">
        <v>3829</v>
      </c>
      <c r="F939" s="15">
        <v>602300</v>
      </c>
      <c r="G939" s="31" t="str">
        <f t="shared" si="85"/>
        <v>602300 (Angkutan Jalan Untuk Barang)</v>
      </c>
      <c r="H939" s="3"/>
      <c r="I939" s="16" t="s">
        <v>3830</v>
      </c>
      <c r="J939" s="52">
        <v>601119</v>
      </c>
      <c r="K939" s="16" t="str">
        <f t="shared" si="82"/>
        <v>601119 (PT. BPR Batanghari)</v>
      </c>
    </row>
    <row r="940" spans="1:11" ht="12.75" customHeight="1" x14ac:dyDescent="0.35">
      <c r="A940" s="3"/>
      <c r="B940" s="2"/>
      <c r="C940" s="3"/>
      <c r="D940" s="3"/>
      <c r="E940" s="31" t="s">
        <v>3831</v>
      </c>
      <c r="F940" s="15">
        <v>603000</v>
      </c>
      <c r="G940" s="31" t="str">
        <f t="shared" si="85"/>
        <v>603000 (Angkutan Dengan Saluran Pipa)</v>
      </c>
      <c r="H940" s="3"/>
      <c r="I940" s="16" t="s">
        <v>3832</v>
      </c>
      <c r="J940" s="52">
        <v>601120</v>
      </c>
      <c r="K940" s="16" t="str">
        <f t="shared" si="82"/>
        <v>601120 (PT. BPR Tulus Dadi)</v>
      </c>
    </row>
    <row r="941" spans="1:11" ht="12.75" customHeight="1" x14ac:dyDescent="0.35">
      <c r="A941" s="3"/>
      <c r="B941" s="2"/>
      <c r="C941" s="3"/>
      <c r="D941" s="3"/>
      <c r="E941" s="31" t="s">
        <v>3833</v>
      </c>
      <c r="F941" s="15">
        <v>611100</v>
      </c>
      <c r="G941" s="31" t="str">
        <f t="shared" si="85"/>
        <v>611100 (Angkutan Laut Domestik)</v>
      </c>
      <c r="H941" s="3"/>
      <c r="I941" s="16" t="s">
        <v>3834</v>
      </c>
      <c r="J941" s="52">
        <v>601121</v>
      </c>
      <c r="K941" s="16" t="str">
        <f t="shared" si="82"/>
        <v>601121 (PD. BP Kota Pontianak)</v>
      </c>
    </row>
    <row r="942" spans="1:11" ht="12.75" customHeight="1" x14ac:dyDescent="0.35">
      <c r="A942" s="3"/>
      <c r="B942" s="2"/>
      <c r="C942" s="3"/>
      <c r="D942" s="3"/>
      <c r="E942" s="31" t="s">
        <v>3835</v>
      </c>
      <c r="F942" s="15">
        <v>611200</v>
      </c>
      <c r="G942" s="31" t="str">
        <f t="shared" si="85"/>
        <v>611200 (Angkutan Laut Internasional)</v>
      </c>
      <c r="H942" s="3"/>
      <c r="I942" s="16" t="s">
        <v>3836</v>
      </c>
      <c r="J942" s="52">
        <v>601122</v>
      </c>
      <c r="K942" s="16" t="str">
        <f t="shared" si="82"/>
        <v>601122 (PT. BPR Lokadana Sentosa)</v>
      </c>
    </row>
    <row r="943" spans="1:11" ht="12.75" customHeight="1" x14ac:dyDescent="0.35">
      <c r="A943" s="3"/>
      <c r="B943" s="2"/>
      <c r="C943" s="3"/>
      <c r="D943" s="3"/>
      <c r="E943" s="31" t="s">
        <v>3837</v>
      </c>
      <c r="F943" s="15">
        <v>612100</v>
      </c>
      <c r="G943" s="31" t="str">
        <f t="shared" si="85"/>
        <v>612100 (Angkutan Sungai dan Danau)</v>
      </c>
      <c r="H943" s="3"/>
      <c r="I943" s="16" t="s">
        <v>3838</v>
      </c>
      <c r="J943" s="52">
        <v>601123</v>
      </c>
      <c r="K943" s="16" t="str">
        <f t="shared" si="82"/>
        <v>601123 (PT. BPR Mitratama Arthabuana)</v>
      </c>
    </row>
    <row r="944" spans="1:11" ht="12.75" customHeight="1" x14ac:dyDescent="0.35">
      <c r="A944" s="3"/>
      <c r="B944" s="2"/>
      <c r="C944" s="3"/>
      <c r="D944" s="3"/>
      <c r="E944" s="31" t="s">
        <v>3839</v>
      </c>
      <c r="F944" s="15">
        <v>612200</v>
      </c>
      <c r="G944" s="31" t="str">
        <f t="shared" si="85"/>
        <v>612200 (Angkutan Penyeberangan Domestik)</v>
      </c>
      <c r="H944" s="3"/>
      <c r="I944" s="16" t="s">
        <v>3840</v>
      </c>
      <c r="J944" s="52">
        <v>601124</v>
      </c>
      <c r="K944" s="16" t="str">
        <f t="shared" si="82"/>
        <v>601124 (PT. BPR Ingertad)</v>
      </c>
    </row>
    <row r="945" spans="1:11" ht="12.75" customHeight="1" x14ac:dyDescent="0.35">
      <c r="A945" s="3"/>
      <c r="B945" s="2"/>
      <c r="C945" s="3"/>
      <c r="D945" s="3"/>
      <c r="E945" s="31" t="s">
        <v>3841</v>
      </c>
      <c r="F945" s="15">
        <v>621000</v>
      </c>
      <c r="G945" s="31" t="str">
        <f t="shared" si="85"/>
        <v>621000 (Angkutan Udara Berjadwal)</v>
      </c>
      <c r="H945" s="3"/>
      <c r="I945" s="16" t="s">
        <v>3842</v>
      </c>
      <c r="J945" s="52">
        <v>601125</v>
      </c>
      <c r="K945" s="16" t="str">
        <f t="shared" si="82"/>
        <v>601125 (PT. BPR Dhanarta Dwiprima)</v>
      </c>
    </row>
    <row r="946" spans="1:11" ht="12.75" customHeight="1" x14ac:dyDescent="0.35">
      <c r="A946" s="3"/>
      <c r="B946" s="2"/>
      <c r="C946" s="3"/>
      <c r="D946" s="3"/>
      <c r="E946" s="31" t="s">
        <v>3843</v>
      </c>
      <c r="F946" s="15">
        <v>622000</v>
      </c>
      <c r="G946" s="31" t="str">
        <f t="shared" si="85"/>
        <v>622000 (Angkutan Udara Tidak Berjadwal)</v>
      </c>
      <c r="H946" s="3"/>
      <c r="I946" s="16" t="s">
        <v>3844</v>
      </c>
      <c r="J946" s="52">
        <v>601126</v>
      </c>
      <c r="K946" s="16" t="str">
        <f t="shared" si="82"/>
        <v>601126 (PT. BPR Centradana Kapuas)</v>
      </c>
    </row>
    <row r="947" spans="1:11" ht="12.75" customHeight="1" x14ac:dyDescent="0.35">
      <c r="A947" s="3"/>
      <c r="B947" s="2"/>
      <c r="C947" s="3"/>
      <c r="D947" s="3"/>
      <c r="E947" s="31" t="s">
        <v>3845</v>
      </c>
      <c r="F947" s="15">
        <v>623000</v>
      </c>
      <c r="G947" s="31" t="str">
        <f t="shared" si="85"/>
        <v>623000 (Angkutan Udara Khusus)</v>
      </c>
      <c r="H947" s="3"/>
      <c r="I947" s="16" t="s">
        <v>3846</v>
      </c>
      <c r="J947" s="52">
        <v>601127</v>
      </c>
      <c r="K947" s="16" t="str">
        <f t="shared" si="82"/>
        <v>601127 (PT. BPR Bayudhana)</v>
      </c>
    </row>
    <row r="948" spans="1:11" ht="12.75" customHeight="1" x14ac:dyDescent="0.35">
      <c r="A948" s="3"/>
      <c r="B948" s="2"/>
      <c r="C948" s="3"/>
      <c r="D948" s="3"/>
      <c r="E948" s="31" t="s">
        <v>3847</v>
      </c>
      <c r="F948" s="15">
        <v>631000</v>
      </c>
      <c r="G948" s="31" t="str">
        <f t="shared" si="85"/>
        <v>631000 (Jasa Pelayanan Bongkar Muat Barang)</v>
      </c>
      <c r="H948" s="3"/>
      <c r="I948" s="16" t="s">
        <v>3848</v>
      </c>
      <c r="J948" s="52">
        <v>601128</v>
      </c>
      <c r="K948" s="16" t="str">
        <f t="shared" si="82"/>
        <v>601128 (PT. BPR Parasari Sibang)</v>
      </c>
    </row>
    <row r="949" spans="1:11" ht="12.75" customHeight="1" x14ac:dyDescent="0.35">
      <c r="A949" s="3"/>
      <c r="B949" s="2"/>
      <c r="C949" s="3"/>
      <c r="D949" s="3"/>
      <c r="E949" s="31" t="s">
        <v>3849</v>
      </c>
      <c r="F949" s="15">
        <v>632000</v>
      </c>
      <c r="G949" s="31" t="str">
        <f t="shared" si="85"/>
        <v>632000 (Pergudangan, Jasa Cold  Storage, dan Jasa Wilayah Berikat)</v>
      </c>
      <c r="H949" s="3"/>
      <c r="I949" s="16" t="s">
        <v>3850</v>
      </c>
      <c r="J949" s="52">
        <v>601129</v>
      </c>
      <c r="K949" s="16" t="str">
        <f t="shared" si="82"/>
        <v>601129 (PT. BPR Saudara Kita d/h Pantura Jawa Ba)</v>
      </c>
    </row>
    <row r="950" spans="1:11" ht="12.75" customHeight="1" x14ac:dyDescent="0.35">
      <c r="A950" s="3"/>
      <c r="B950" s="2"/>
      <c r="C950" s="3"/>
      <c r="D950" s="3"/>
      <c r="E950" s="31" t="s">
        <v>3851</v>
      </c>
      <c r="F950" s="15">
        <v>633000</v>
      </c>
      <c r="G950" s="31" t="str">
        <f t="shared" si="85"/>
        <v>633000 (Jasa Penunjang Angkutan Kecuali Jasa Bongkar Muat dan Pergudangan)</v>
      </c>
      <c r="H950" s="3"/>
      <c r="I950" s="16" t="s">
        <v>3852</v>
      </c>
      <c r="J950" s="52">
        <v>601130</v>
      </c>
      <c r="K950" s="16" t="str">
        <f t="shared" si="82"/>
        <v>601130 (PT. BP Ronggolawe)</v>
      </c>
    </row>
    <row r="951" spans="1:11" ht="12.75" customHeight="1" x14ac:dyDescent="0.35">
      <c r="A951" s="3"/>
      <c r="B951" s="2"/>
      <c r="C951" s="3"/>
      <c r="D951" s="3"/>
      <c r="E951" s="31" t="s">
        <v>3853</v>
      </c>
      <c r="F951" s="15">
        <v>634000</v>
      </c>
      <c r="G951" s="31" t="str">
        <f t="shared" si="85"/>
        <v>634000 (Jasa Perjalanan Wisata)</v>
      </c>
      <c r="H951" s="3"/>
      <c r="I951" s="16" t="s">
        <v>3854</v>
      </c>
      <c r="J951" s="52">
        <v>601131</v>
      </c>
      <c r="K951" s="16" t="str">
        <f t="shared" si="82"/>
        <v>601131 (PT. BPR Mangatur Ganda)</v>
      </c>
    </row>
    <row r="952" spans="1:11" ht="12.75" customHeight="1" x14ac:dyDescent="0.35">
      <c r="A952" s="3"/>
      <c r="B952" s="2"/>
      <c r="C952" s="3"/>
      <c r="D952" s="3"/>
      <c r="E952" s="31" t="s">
        <v>3855</v>
      </c>
      <c r="F952" s="15">
        <v>635000</v>
      </c>
      <c r="G952" s="31" t="str">
        <f t="shared" si="85"/>
        <v>635000 (Jasa Pengiriman dan Pengepakan)</v>
      </c>
      <c r="H952" s="3"/>
      <c r="I952" s="16" t="s">
        <v>3856</v>
      </c>
      <c r="J952" s="52">
        <v>601132</v>
      </c>
      <c r="K952" s="16" t="str">
        <f t="shared" si="82"/>
        <v>601132 (PT. BPR Toeloengredjo Dasa Nusantara)</v>
      </c>
    </row>
    <row r="953" spans="1:11" ht="12.75" customHeight="1" x14ac:dyDescent="0.35">
      <c r="A953" s="3"/>
      <c r="B953" s="2"/>
      <c r="C953" s="3"/>
      <c r="D953" s="3"/>
      <c r="E953" s="31" t="s">
        <v>3857</v>
      </c>
      <c r="F953" s="15">
        <v>641000</v>
      </c>
      <c r="G953" s="31" t="str">
        <f t="shared" si="85"/>
        <v>641000 (Pos Nasional, Unit Pelayanan Pos dan Jasa Kurir)</v>
      </c>
      <c r="H953" s="3"/>
      <c r="I953" s="16" t="s">
        <v>3858</v>
      </c>
      <c r="J953" s="52">
        <v>601133</v>
      </c>
      <c r="K953" s="16" t="str">
        <f t="shared" si="82"/>
        <v>601133 (PT. BPR Artatama Sejahtera)</v>
      </c>
    </row>
    <row r="954" spans="1:11" ht="12.75" customHeight="1" x14ac:dyDescent="0.35">
      <c r="A954" s="3"/>
      <c r="B954" s="2"/>
      <c r="C954" s="3"/>
      <c r="D954" s="3"/>
      <c r="E954" s="31" t="s">
        <v>3859</v>
      </c>
      <c r="F954" s="15">
        <v>642000</v>
      </c>
      <c r="G954" s="31" t="str">
        <f t="shared" si="85"/>
        <v>642000 (Jaringan Telekomunikasi)</v>
      </c>
      <c r="H954" s="3"/>
      <c r="I954" s="16" t="s">
        <v>3860</v>
      </c>
      <c r="J954" s="52">
        <v>601134</v>
      </c>
      <c r="K954" s="16" t="str">
        <f t="shared" si="82"/>
        <v>601134 (PT. BPR Tanah Bandar)</v>
      </c>
    </row>
    <row r="955" spans="1:11" ht="12.75" customHeight="1" x14ac:dyDescent="0.35">
      <c r="A955" s="3"/>
      <c r="B955" s="2"/>
      <c r="C955" s="3"/>
      <c r="D955" s="3"/>
      <c r="E955" s="31" t="s">
        <v>3861</v>
      </c>
      <c r="F955" s="15">
        <v>643000</v>
      </c>
      <c r="G955" s="31" t="str">
        <f t="shared" si="85"/>
        <v>643000 (Jasa Telekomunikasi)</v>
      </c>
      <c r="H955" s="3"/>
      <c r="I955" s="16" t="s">
        <v>3862</v>
      </c>
      <c r="J955" s="52">
        <v>601135</v>
      </c>
      <c r="K955" s="16" t="str">
        <f t="shared" si="82"/>
        <v>601135 (PT. BPR Bumi Hayu)</v>
      </c>
    </row>
    <row r="956" spans="1:11" ht="12.75" customHeight="1" x14ac:dyDescent="0.35">
      <c r="A956" s="3"/>
      <c r="B956" s="2"/>
      <c r="C956" s="3"/>
      <c r="D956" s="3"/>
      <c r="E956" s="31" t="s">
        <v>3863</v>
      </c>
      <c r="F956" s="15">
        <v>644000</v>
      </c>
      <c r="G956" s="31" t="str">
        <f t="shared" si="85"/>
        <v>644000 (Telekomunikasi Khusus)</v>
      </c>
      <c r="H956" s="3"/>
      <c r="I956" s="16" t="s">
        <v>3864</v>
      </c>
      <c r="J956" s="52">
        <v>601136</v>
      </c>
      <c r="K956" s="16" t="str">
        <f t="shared" si="82"/>
        <v>601136 (PT. BPR Bhapertim Persada)</v>
      </c>
    </row>
    <row r="957" spans="1:11" ht="12.75" customHeight="1" x14ac:dyDescent="0.35">
      <c r="A957" s="3"/>
      <c r="B957" s="2"/>
      <c r="C957" s="3"/>
      <c r="D957" s="3"/>
      <c r="E957" s="31" t="s">
        <v>3865</v>
      </c>
      <c r="F957" s="15">
        <v>651000</v>
      </c>
      <c r="G957" s="31" t="str">
        <f t="shared" si="85"/>
        <v>651000 (Perantara Moneter (Bank))</v>
      </c>
      <c r="H957" s="3"/>
      <c r="I957" s="16" t="s">
        <v>3866</v>
      </c>
      <c r="J957" s="52">
        <v>601137</v>
      </c>
      <c r="K957" s="16" t="str">
        <f t="shared" si="82"/>
        <v>601137 (PT. BPR Taman Artha Kencana)</v>
      </c>
    </row>
    <row r="958" spans="1:11" ht="12.75" customHeight="1" x14ac:dyDescent="0.35">
      <c r="A958" s="3"/>
      <c r="B958" s="2"/>
      <c r="C958" s="3"/>
      <c r="D958" s="3"/>
      <c r="E958" s="31" t="s">
        <v>3867</v>
      </c>
      <c r="F958" s="15">
        <v>659001</v>
      </c>
      <c r="G958" s="31" t="str">
        <f t="shared" si="85"/>
        <v>659001 (Perantara Keuangan Lainnya (Non Bank) Leasing)</v>
      </c>
      <c r="H958" s="3"/>
      <c r="I958" s="16" t="s">
        <v>3868</v>
      </c>
      <c r="J958" s="52">
        <v>601139</v>
      </c>
      <c r="K958" s="16" t="str">
        <f t="shared" si="82"/>
        <v>601139 (KOP Bank Pegawai Pensiunan Indonesia)</v>
      </c>
    </row>
    <row r="959" spans="1:11" ht="12.75" customHeight="1" x14ac:dyDescent="0.35">
      <c r="A959" s="3"/>
      <c r="B959" s="2"/>
      <c r="C959" s="3"/>
      <c r="D959" s="3"/>
      <c r="E959" s="31" t="s">
        <v>3869</v>
      </c>
      <c r="F959" s="15">
        <v>659009</v>
      </c>
      <c r="G959" s="31" t="str">
        <f t="shared" si="85"/>
        <v>659009 (Perantara Keuangan Lainnya (Non Bank) Selain Leasing)</v>
      </c>
      <c r="H959" s="3"/>
      <c r="I959" s="16" t="s">
        <v>3870</v>
      </c>
      <c r="J959" s="52">
        <v>601140</v>
      </c>
      <c r="K959" s="16" t="str">
        <f t="shared" si="82"/>
        <v>601140 (PT. BPR Maesa Waya)</v>
      </c>
    </row>
    <row r="960" spans="1:11" ht="12.75" customHeight="1" x14ac:dyDescent="0.35">
      <c r="A960" s="3"/>
      <c r="B960" s="2"/>
      <c r="C960" s="3"/>
      <c r="D960" s="3"/>
      <c r="E960" s="31" t="s">
        <v>3871</v>
      </c>
      <c r="F960" s="15">
        <v>660000</v>
      </c>
      <c r="G960" s="31" t="str">
        <f t="shared" si="85"/>
        <v>660000 (Asuransi dan Dana Pensiun)</v>
      </c>
      <c r="H960" s="3"/>
      <c r="I960" s="16" t="s">
        <v>3872</v>
      </c>
      <c r="J960" s="52">
        <v>601141</v>
      </c>
      <c r="K960" s="16" t="str">
        <f t="shared" si="82"/>
        <v>601141 (PT. BPR Amurang Utama)</v>
      </c>
    </row>
    <row r="961" spans="1:11" ht="12.75" customHeight="1" x14ac:dyDescent="0.35">
      <c r="A961" s="3"/>
      <c r="B961" s="2"/>
      <c r="C961" s="3"/>
      <c r="D961" s="3"/>
      <c r="E961" s="31" t="s">
        <v>3873</v>
      </c>
      <c r="F961" s="15">
        <v>671000</v>
      </c>
      <c r="G961" s="31" t="str">
        <f t="shared" si="85"/>
        <v>671000 (Jasa Penunjang Perantara Keuangan Kecuali Asuransi dan Dana Pensiun)</v>
      </c>
      <c r="H961" s="3"/>
      <c r="I961" s="16" t="s">
        <v>3874</v>
      </c>
      <c r="J961" s="52">
        <v>601142</v>
      </c>
      <c r="K961" s="16" t="str">
        <f t="shared" si="82"/>
        <v>601142 (PT BPR Millenia)</v>
      </c>
    </row>
    <row r="962" spans="1:11" ht="12.75" customHeight="1" x14ac:dyDescent="0.35">
      <c r="A962" s="3"/>
      <c r="B962" s="2"/>
      <c r="C962" s="3"/>
      <c r="D962" s="3"/>
      <c r="E962" s="31" t="s">
        <v>3875</v>
      </c>
      <c r="F962" s="15">
        <v>671001</v>
      </c>
      <c r="G962" s="31" t="str">
        <f t="shared" si="85"/>
        <v>671001 (Jasa Penukaran Mata Uang atau Pedagang Valuta Asing (Money Changer))</v>
      </c>
      <c r="H962" s="3"/>
      <c r="I962" s="16" t="s">
        <v>3876</v>
      </c>
      <c r="J962" s="52">
        <v>601143</v>
      </c>
      <c r="K962" s="16" t="str">
        <f t="shared" si="82"/>
        <v>601143 (PT. BPR Mitrabina Arthamakmur)</v>
      </c>
    </row>
    <row r="963" spans="1:11" ht="12.75" customHeight="1" x14ac:dyDescent="0.35">
      <c r="A963" s="3"/>
      <c r="B963" s="2"/>
      <c r="C963" s="3"/>
      <c r="D963" s="3"/>
      <c r="E963" s="31" t="s">
        <v>3877</v>
      </c>
      <c r="F963" s="15">
        <v>671002</v>
      </c>
      <c r="G963" s="31" t="str">
        <f t="shared" si="85"/>
        <v>671002 (Jasa Penunjang Perantara Keuangan Lainnya)</v>
      </c>
      <c r="H963" s="3"/>
      <c r="I963" s="16" t="s">
        <v>3878</v>
      </c>
      <c r="J963" s="52">
        <v>601144</v>
      </c>
      <c r="K963" s="16" t="str">
        <f t="shared" si="82"/>
        <v>601144 (PT. BPR Pinang Artha)</v>
      </c>
    </row>
    <row r="964" spans="1:11" ht="12.75" customHeight="1" x14ac:dyDescent="0.35">
      <c r="A964" s="3"/>
      <c r="B964" s="2"/>
      <c r="C964" s="3"/>
      <c r="D964" s="3"/>
      <c r="E964" s="31" t="s">
        <v>3879</v>
      </c>
      <c r="F964" s="15">
        <v>672000</v>
      </c>
      <c r="G964" s="31" t="str">
        <f t="shared" si="85"/>
        <v>672000 (Jasa Penunjang Asuransi dan dana Pensiun)</v>
      </c>
      <c r="H964" s="3"/>
      <c r="I964" s="16" t="s">
        <v>3880</v>
      </c>
      <c r="J964" s="52">
        <v>601145</v>
      </c>
      <c r="K964" s="16" t="str">
        <f t="shared" si="82"/>
        <v>601145 (PT. BPR Ciledug Dhana Semesta)</v>
      </c>
    </row>
    <row r="965" spans="1:11" ht="12.75" customHeight="1" x14ac:dyDescent="0.35">
      <c r="A965" s="3"/>
      <c r="B965" s="2"/>
      <c r="C965" s="3"/>
      <c r="D965" s="3"/>
      <c r="E965" s="31" t="s">
        <v>3881</v>
      </c>
      <c r="F965" s="15">
        <v>701001</v>
      </c>
      <c r="G965" s="31" t="str">
        <f t="shared" si="85"/>
        <v>701001 (Real Estate Perumahan Sederhana - Perumnas)</v>
      </c>
      <c r="H965" s="3"/>
      <c r="I965" s="16" t="s">
        <v>3882</v>
      </c>
      <c r="J965" s="52">
        <v>601146</v>
      </c>
      <c r="K965" s="16" t="str">
        <f t="shared" si="82"/>
        <v>601146 (KOP. BP Abang Pasar)</v>
      </c>
    </row>
    <row r="966" spans="1:11" ht="12.75" customHeight="1" x14ac:dyDescent="0.35">
      <c r="A966" s="3"/>
      <c r="B966" s="2"/>
      <c r="C966" s="3"/>
      <c r="D966" s="3"/>
      <c r="E966" s="31" t="s">
        <v>3883</v>
      </c>
      <c r="F966" s="15">
        <v>701002</v>
      </c>
      <c r="G966" s="31" t="str">
        <f t="shared" si="85"/>
        <v>701002 (Real Estate Perumahan Sederhana - Selain Perumnas s.d. Tipe  21)</v>
      </c>
      <c r="H966" s="3"/>
      <c r="I966" s="16" t="s">
        <v>3884</v>
      </c>
      <c r="J966" s="52">
        <v>601147</v>
      </c>
      <c r="K966" s="16" t="str">
        <f t="shared" si="82"/>
        <v>601147 (PT. BPR Agrimakmur Lestari)</v>
      </c>
    </row>
    <row r="967" spans="1:11" ht="12.75" customHeight="1" x14ac:dyDescent="0.35">
      <c r="A967" s="3"/>
      <c r="B967" s="2"/>
      <c r="C967" s="3"/>
      <c r="D967" s="3"/>
      <c r="E967" s="31" t="s">
        <v>3885</v>
      </c>
      <c r="F967" s="15">
        <v>701003</v>
      </c>
      <c r="G967" s="31" t="str">
        <f t="shared" si="85"/>
        <v>701003 (Real Estate Perumahan Sederhana - Selain Perumnas s.d. Tipe  22 s.d. 70)</v>
      </c>
      <c r="H967" s="3"/>
      <c r="I967" s="16" t="s">
        <v>3886</v>
      </c>
      <c r="J967" s="52">
        <v>601148</v>
      </c>
      <c r="K967" s="16" t="str">
        <f t="shared" si="82"/>
        <v>601148 (PD. BP Kota Tk. II Ujung Pandang)</v>
      </c>
    </row>
    <row r="968" spans="1:11" ht="12.75" customHeight="1" x14ac:dyDescent="0.35">
      <c r="A968" s="3"/>
      <c r="B968" s="2"/>
      <c r="C968" s="3"/>
      <c r="D968" s="3"/>
      <c r="E968" s="31" t="s">
        <v>3887</v>
      </c>
      <c r="F968" s="15">
        <v>701004</v>
      </c>
      <c r="G968" s="31" t="str">
        <f t="shared" si="85"/>
        <v>701004 (Real Estate Perumahan Menengah, Besar Atau Mewah (Tipe  Diatas 70))</v>
      </c>
      <c r="H968" s="3"/>
      <c r="I968" s="16" t="s">
        <v>3888</v>
      </c>
      <c r="J968" s="52">
        <v>601149</v>
      </c>
      <c r="K968" s="16" t="str">
        <f t="shared" si="82"/>
        <v>601149 (PT. BPR Taruna Jujur Sakti)</v>
      </c>
    </row>
    <row r="969" spans="1:11" ht="12.75" customHeight="1" x14ac:dyDescent="0.35">
      <c r="A969" s="3"/>
      <c r="B969" s="2"/>
      <c r="C969" s="3"/>
      <c r="D969" s="3"/>
      <c r="E969" s="31" t="s">
        <v>3889</v>
      </c>
      <c r="F969" s="15">
        <v>701005</v>
      </c>
      <c r="G969" s="31" t="str">
        <f t="shared" si="85"/>
        <v>701005 (Real Estate Perumahan Flat / Apartemen)</v>
      </c>
      <c r="H969" s="3"/>
      <c r="I969" s="16" t="s">
        <v>3890</v>
      </c>
      <c r="J969" s="52">
        <v>601151</v>
      </c>
      <c r="K969" s="16" t="str">
        <f t="shared" si="82"/>
        <v>601151 (PT BPR LPN Taeh Baruh)</v>
      </c>
    </row>
    <row r="970" spans="1:11" ht="12.75" customHeight="1" x14ac:dyDescent="0.35">
      <c r="A970" s="3"/>
      <c r="B970" s="2"/>
      <c r="C970" s="3"/>
      <c r="D970" s="3"/>
      <c r="E970" s="31" t="s">
        <v>3891</v>
      </c>
      <c r="F970" s="15">
        <v>701006</v>
      </c>
      <c r="G970" s="31" t="str">
        <f t="shared" si="85"/>
        <v>701006 (Real Estate Gedung Perbelanjaan (Mal, Plaza))</v>
      </c>
      <c r="H970" s="3"/>
      <c r="I970" s="16" t="s">
        <v>3892</v>
      </c>
      <c r="J970" s="52">
        <v>601152</v>
      </c>
      <c r="K970" s="16" t="str">
        <f t="shared" si="82"/>
        <v>601152 (PT BPR LPN Padang Kuning)</v>
      </c>
    </row>
    <row r="971" spans="1:11" ht="12.75" customHeight="1" x14ac:dyDescent="0.35">
      <c r="A971" s="3"/>
      <c r="B971" s="2"/>
      <c r="C971" s="3"/>
      <c r="D971" s="3"/>
      <c r="E971" s="31" t="s">
        <v>3893</v>
      </c>
      <c r="F971" s="15">
        <v>701007</v>
      </c>
      <c r="G971" s="31" t="str">
        <f t="shared" si="85"/>
        <v>701007 (Real Estate Gedung Perkantoran)</v>
      </c>
      <c r="H971" s="3"/>
      <c r="I971" s="16" t="s">
        <v>3894</v>
      </c>
      <c r="J971" s="52">
        <v>601153</v>
      </c>
      <c r="K971" s="16" t="str">
        <f t="shared" si="82"/>
        <v>601153 (PT BPR Labuh Gunung)</v>
      </c>
    </row>
    <row r="972" spans="1:11" ht="12.75" customHeight="1" x14ac:dyDescent="0.35">
      <c r="A972" s="3"/>
      <c r="B972" s="2"/>
      <c r="C972" s="3"/>
      <c r="D972" s="3"/>
      <c r="E972" s="31" t="s">
        <v>3895</v>
      </c>
      <c r="F972" s="15">
        <v>701008</v>
      </c>
      <c r="G972" s="31" t="str">
        <f t="shared" si="85"/>
        <v>701008 (Real Estate Gedung Rumah Toko  (Ruko) atau Rumah Kantor (Rukan))</v>
      </c>
      <c r="H972" s="3"/>
      <c r="I972" s="16" t="s">
        <v>3896</v>
      </c>
      <c r="J972" s="52">
        <v>601154</v>
      </c>
      <c r="K972" s="16" t="str">
        <f t="shared" si="82"/>
        <v>601154 (PT BPR Central Micro)</v>
      </c>
    </row>
    <row r="973" spans="1:11" ht="12.75" customHeight="1" x14ac:dyDescent="0.35">
      <c r="A973" s="3"/>
      <c r="B973" s="2"/>
      <c r="C973" s="3"/>
      <c r="D973" s="3"/>
      <c r="E973" s="31" t="s">
        <v>3897</v>
      </c>
      <c r="F973" s="15">
        <v>701009</v>
      </c>
      <c r="G973" s="31" t="str">
        <f t="shared" si="85"/>
        <v>701009 (Real Estate Lainnya)</v>
      </c>
      <c r="H973" s="3"/>
      <c r="I973" s="16" t="s">
        <v>3898</v>
      </c>
      <c r="J973" s="52">
        <v>601155</v>
      </c>
      <c r="K973" s="16" t="str">
        <f t="shared" si="82"/>
        <v>601155 (PT BPR MITRA USAHA MUARO PAITI)</v>
      </c>
    </row>
    <row r="974" spans="1:11" ht="12.75" customHeight="1" x14ac:dyDescent="0.35">
      <c r="A974" s="3"/>
      <c r="B974" s="2"/>
      <c r="C974" s="3"/>
      <c r="D974" s="3"/>
      <c r="E974" s="31" t="s">
        <v>3899</v>
      </c>
      <c r="F974" s="15">
        <v>702000</v>
      </c>
      <c r="G974" s="31" t="str">
        <f t="shared" si="85"/>
        <v>702000 (Real Estate Atas Dasar Balas Jasa (Fee) Atau Kontrak)</v>
      </c>
      <c r="H974" s="3"/>
      <c r="I974" s="16" t="s">
        <v>3900</v>
      </c>
      <c r="J974" s="52">
        <v>601157</v>
      </c>
      <c r="K974" s="16" t="str">
        <f t="shared" si="82"/>
        <v>601157 (PT. BPR Rangkiang Denai)</v>
      </c>
    </row>
    <row r="975" spans="1:11" ht="12.75" customHeight="1" x14ac:dyDescent="0.35">
      <c r="A975" s="3"/>
      <c r="B975" s="2"/>
      <c r="C975" s="3"/>
      <c r="D975" s="3"/>
      <c r="E975" s="31" t="s">
        <v>3901</v>
      </c>
      <c r="F975" s="15">
        <v>703000</v>
      </c>
      <c r="G975" s="31" t="str">
        <f t="shared" si="85"/>
        <v>703000 (Kawasan Pariwisata dan Penyediaan Sarana Wisata Tirta Kawasan Pariwisata)</v>
      </c>
      <c r="H975" s="3"/>
      <c r="I975" s="16" t="s">
        <v>3902</v>
      </c>
      <c r="J975" s="52">
        <v>601158</v>
      </c>
      <c r="K975" s="16" t="str">
        <f t="shared" si="82"/>
        <v>601158 (PT. BPR Modern Express)</v>
      </c>
    </row>
    <row r="976" spans="1:11" ht="12.75" customHeight="1" x14ac:dyDescent="0.35">
      <c r="A976" s="3"/>
      <c r="B976" s="2"/>
      <c r="C976" s="3"/>
      <c r="D976" s="3"/>
      <c r="E976" s="31" t="s">
        <v>3903</v>
      </c>
      <c r="F976" s="15">
        <v>711100</v>
      </c>
      <c r="G976" s="31" t="str">
        <f t="shared" si="85"/>
        <v>711100 (Persewaan Alat Transportasi Darat)</v>
      </c>
      <c r="H976" s="3"/>
      <c r="I976" s="16" t="s">
        <v>3904</v>
      </c>
      <c r="J976" s="52">
        <v>601159</v>
      </c>
      <c r="K976" s="16" t="str">
        <f t="shared" si="82"/>
        <v>601159 (BPR LPN Batang Palangki)</v>
      </c>
    </row>
    <row r="977" spans="1:11" ht="12.75" customHeight="1" x14ac:dyDescent="0.35">
      <c r="A977" s="3"/>
      <c r="B977" s="2"/>
      <c r="C977" s="3"/>
      <c r="D977" s="3"/>
      <c r="E977" s="31" t="s">
        <v>3905</v>
      </c>
      <c r="F977" s="15">
        <v>711200</v>
      </c>
      <c r="G977" s="31" t="str">
        <f t="shared" si="85"/>
        <v>711200 (Persewaan Alat Transportasi Air)</v>
      </c>
      <c r="H977" s="3"/>
      <c r="I977" s="16" t="s">
        <v>3906</v>
      </c>
      <c r="J977" s="52">
        <v>601161</v>
      </c>
      <c r="K977" s="16" t="str">
        <f t="shared" si="82"/>
        <v>601161 (BPR LPN Pasar Baru Durian)</v>
      </c>
    </row>
    <row r="978" spans="1:11" ht="12.75" customHeight="1" x14ac:dyDescent="0.35">
      <c r="A978" s="3"/>
      <c r="B978" s="2"/>
      <c r="C978" s="3"/>
      <c r="D978" s="3"/>
      <c r="E978" s="31" t="s">
        <v>3907</v>
      </c>
      <c r="F978" s="15">
        <v>711300</v>
      </c>
      <c r="G978" s="31" t="str">
        <f t="shared" si="85"/>
        <v>711300 (Persewaan Alat Transportasi Udara)</v>
      </c>
      <c r="H978" s="3"/>
      <c r="I978" s="16" t="s">
        <v>3908</v>
      </c>
      <c r="J978" s="52">
        <v>601162</v>
      </c>
      <c r="K978" s="16" t="str">
        <f t="shared" si="82"/>
        <v>601162 (BPR LPN Kubang)</v>
      </c>
    </row>
    <row r="979" spans="1:11" ht="12.75" customHeight="1" x14ac:dyDescent="0.35">
      <c r="A979" s="3"/>
      <c r="B979" s="2"/>
      <c r="C979" s="3"/>
      <c r="D979" s="3"/>
      <c r="E979" s="31" t="s">
        <v>3909</v>
      </c>
      <c r="F979" s="15">
        <v>712100</v>
      </c>
      <c r="G979" s="31" t="str">
        <f t="shared" si="85"/>
        <v>712100 (Persewaan Mesin Pertanian dan Peralatannya)</v>
      </c>
      <c r="H979" s="3"/>
      <c r="I979" s="16" t="s">
        <v>3910</v>
      </c>
      <c r="J979" s="52">
        <v>601163</v>
      </c>
      <c r="K979" s="16" t="str">
        <f t="shared" si="82"/>
        <v>601163 (PT BPR LPN Talawi Sakato)</v>
      </c>
    </row>
    <row r="980" spans="1:11" ht="12.75" customHeight="1" x14ac:dyDescent="0.35">
      <c r="A980" s="3"/>
      <c r="B980" s="2"/>
      <c r="C980" s="3"/>
      <c r="D980" s="3"/>
      <c r="E980" s="31" t="s">
        <v>3911</v>
      </c>
      <c r="F980" s="15">
        <v>712200</v>
      </c>
      <c r="G980" s="31" t="str">
        <f t="shared" si="85"/>
        <v>712200 (Persewaan Mesin Konstruksi dan Teknik Sipil  dan Peralatannya)</v>
      </c>
      <c r="H980" s="3"/>
      <c r="I980" s="16" t="s">
        <v>3912</v>
      </c>
      <c r="J980" s="52">
        <v>601164</v>
      </c>
      <c r="K980" s="16" t="str">
        <f t="shared" si="82"/>
        <v>601164 (PT BPR LPN Sungai Rumbai)</v>
      </c>
    </row>
    <row r="981" spans="1:11" ht="12.75" customHeight="1" x14ac:dyDescent="0.35">
      <c r="A981" s="3"/>
      <c r="B981" s="2"/>
      <c r="C981" s="3"/>
      <c r="D981" s="3"/>
      <c r="E981" s="31" t="s">
        <v>3913</v>
      </c>
      <c r="F981" s="15">
        <v>712300</v>
      </c>
      <c r="G981" s="31" t="str">
        <f t="shared" si="85"/>
        <v>712300 (Persewaan Mesin Kantor dan Peralatannya (Termasuk Komputer))</v>
      </c>
      <c r="H981" s="3"/>
      <c r="I981" s="16" t="s">
        <v>3914</v>
      </c>
      <c r="J981" s="52">
        <v>601165</v>
      </c>
      <c r="K981" s="16" t="str">
        <f t="shared" si="82"/>
        <v>601165 (PT BPR LPN Tarantang)</v>
      </c>
    </row>
    <row r="982" spans="1:11" ht="12.75" customHeight="1" x14ac:dyDescent="0.35">
      <c r="A982" s="3"/>
      <c r="B982" s="2"/>
      <c r="C982" s="3"/>
      <c r="D982" s="3"/>
      <c r="E982" s="31" t="s">
        <v>3915</v>
      </c>
      <c r="F982" s="15">
        <v>712900</v>
      </c>
      <c r="G982" s="31" t="str">
        <f t="shared" si="85"/>
        <v>712900 (Persewaan Mesin Lainnya dan Peralatannya yang Tidak Diklasifikasikan di Tempat Lain)</v>
      </c>
      <c r="H982" s="3"/>
      <c r="I982" s="16" t="s">
        <v>3916</v>
      </c>
      <c r="J982" s="52">
        <v>601166</v>
      </c>
      <c r="K982" s="16" t="str">
        <f t="shared" si="82"/>
        <v>601166 (BPR LPN Kampung Dalam)</v>
      </c>
    </row>
    <row r="983" spans="1:11" ht="12.75" customHeight="1" x14ac:dyDescent="0.35">
      <c r="A983" s="3"/>
      <c r="B983" s="2"/>
      <c r="C983" s="3"/>
      <c r="D983" s="3"/>
      <c r="E983" s="31" t="s">
        <v>3917</v>
      </c>
      <c r="F983" s="15">
        <v>713000</v>
      </c>
      <c r="G983" s="31" t="str">
        <f t="shared" si="85"/>
        <v>713000 (Persewaan Barang-barang Keperluan Rumah Tangga dan Pribadi yang Tidak Diklasifikasikan di Tempat Lain)</v>
      </c>
      <c r="H983" s="3"/>
      <c r="I983" s="16" t="s">
        <v>3918</v>
      </c>
      <c r="J983" s="52">
        <v>601167</v>
      </c>
      <c r="K983" s="16" t="str">
        <f t="shared" si="82"/>
        <v>601167 (PT. BPR Dharma Nagari)</v>
      </c>
    </row>
    <row r="984" spans="1:11" ht="12.75" customHeight="1" x14ac:dyDescent="0.35">
      <c r="A984" s="3"/>
      <c r="B984" s="2"/>
      <c r="C984" s="3"/>
      <c r="D984" s="3"/>
      <c r="E984" s="31" t="s">
        <v>3919</v>
      </c>
      <c r="F984" s="15">
        <v>721000</v>
      </c>
      <c r="G984" s="31" t="str">
        <f t="shared" si="85"/>
        <v>721000 (Jasa Konsultasi Piranti Keras (Hardware Consulting))</v>
      </c>
      <c r="H984" s="3"/>
      <c r="I984" s="16" t="s">
        <v>3920</v>
      </c>
      <c r="J984" s="52">
        <v>601168</v>
      </c>
      <c r="K984" s="16" t="str">
        <f t="shared" si="82"/>
        <v>601168 (PT. BPR Sungai Puar)</v>
      </c>
    </row>
    <row r="985" spans="1:11" ht="12.75" customHeight="1" x14ac:dyDescent="0.35">
      <c r="A985" s="3"/>
      <c r="B985" s="2"/>
      <c r="C985" s="3"/>
      <c r="D985" s="3"/>
      <c r="E985" s="31" t="s">
        <v>3921</v>
      </c>
      <c r="F985" s="15">
        <v>722000</v>
      </c>
      <c r="G985" s="31" t="str">
        <f t="shared" si="85"/>
        <v>722000 (Jasa Konsultasi Piranti Lunak (Software Consulting))</v>
      </c>
      <c r="H985" s="3"/>
      <c r="I985" s="16" t="s">
        <v>3922</v>
      </c>
      <c r="J985" s="52">
        <v>601169</v>
      </c>
      <c r="K985" s="16" t="str">
        <f t="shared" si="82"/>
        <v>601169 (PT BPR LPN Panampung)</v>
      </c>
    </row>
    <row r="986" spans="1:11" ht="12.75" customHeight="1" x14ac:dyDescent="0.35">
      <c r="A986" s="3"/>
      <c r="B986" s="2"/>
      <c r="C986" s="3"/>
      <c r="D986" s="3"/>
      <c r="E986" s="31" t="s">
        <v>3923</v>
      </c>
      <c r="F986" s="15">
        <v>723000</v>
      </c>
      <c r="G986" s="31" t="str">
        <f t="shared" si="85"/>
        <v>723000 (Pengolahan Data)</v>
      </c>
      <c r="H986" s="3"/>
      <c r="I986" s="16" t="s">
        <v>3924</v>
      </c>
      <c r="J986" s="52">
        <v>601170</v>
      </c>
      <c r="K986" s="16" t="str">
        <f t="shared" si="82"/>
        <v>601170 (PT. BPR Padang Tarab)</v>
      </c>
    </row>
    <row r="987" spans="1:11" ht="12.75" customHeight="1" x14ac:dyDescent="0.35">
      <c r="A987" s="3"/>
      <c r="B987" s="2"/>
      <c r="C987" s="3"/>
      <c r="D987" s="3"/>
      <c r="E987" s="31" t="s">
        <v>3925</v>
      </c>
      <c r="F987" s="15">
        <v>724000</v>
      </c>
      <c r="G987" s="31" t="str">
        <f t="shared" si="85"/>
        <v>724000 (Jasa Kegiatan Data Base)</v>
      </c>
      <c r="H987" s="3"/>
      <c r="I987" s="16" t="s">
        <v>3926</v>
      </c>
      <c r="J987" s="52">
        <v>601171</v>
      </c>
      <c r="K987" s="16" t="str">
        <f t="shared" si="82"/>
        <v>601171 (PT. BPR Rangkiang Aur (Kamang Mudik))</v>
      </c>
    </row>
    <row r="988" spans="1:11" ht="12.75" customHeight="1" x14ac:dyDescent="0.35">
      <c r="A988" s="3"/>
      <c r="B988" s="2"/>
      <c r="C988" s="3"/>
      <c r="D988" s="3"/>
      <c r="E988" s="31" t="s">
        <v>3927</v>
      </c>
      <c r="F988" s="15">
        <v>725000</v>
      </c>
      <c r="G988" s="31" t="str">
        <f t="shared" si="85"/>
        <v>725000 (Perawatan dan Reparasi Mesin-mesin Kantor, Akuntansi, dan Komputer)</v>
      </c>
      <c r="H988" s="3"/>
      <c r="I988" s="16" t="s">
        <v>3928</v>
      </c>
      <c r="J988" s="52">
        <v>601172</v>
      </c>
      <c r="K988" s="16" t="str">
        <f t="shared" si="82"/>
        <v>601172 (BPR LPN Magek)</v>
      </c>
    </row>
    <row r="989" spans="1:11" ht="12.75" customHeight="1" x14ac:dyDescent="0.35">
      <c r="A989" s="3"/>
      <c r="B989" s="2"/>
      <c r="C989" s="3"/>
      <c r="D989" s="3"/>
      <c r="E989" s="31" t="s">
        <v>3929</v>
      </c>
      <c r="F989" s="15">
        <v>729000</v>
      </c>
      <c r="G989" s="31" t="str">
        <f t="shared" si="85"/>
        <v>729000 (Kegiatan Lain yang Berkaitan Dengan Komputer)</v>
      </c>
      <c r="H989" s="3"/>
      <c r="I989" s="16" t="s">
        <v>3930</v>
      </c>
      <c r="J989" s="52">
        <v>601173</v>
      </c>
      <c r="K989" s="16" t="str">
        <f t="shared" si="82"/>
        <v>601173 (PT BPR Raga Dana Sejahtera)</v>
      </c>
    </row>
    <row r="990" spans="1:11" ht="12.75" customHeight="1" x14ac:dyDescent="0.35">
      <c r="A990" s="3"/>
      <c r="B990" s="2"/>
      <c r="C990" s="3"/>
      <c r="D990" s="3"/>
      <c r="E990" s="31" t="s">
        <v>3931</v>
      </c>
      <c r="F990" s="15">
        <v>731000</v>
      </c>
      <c r="G990" s="31" t="str">
        <f t="shared" si="85"/>
        <v>731000 (Penelitian dan Pengembangan Ilmu Pengetahuan Alam dan  Teknologi)</v>
      </c>
      <c r="H990" s="3"/>
      <c r="I990" s="16" t="s">
        <v>3932</v>
      </c>
      <c r="J990" s="52">
        <v>601174</v>
      </c>
      <c r="K990" s="16" t="str">
        <f t="shared" si="82"/>
        <v>601174 (PT BPR Mutiara Pesisir)</v>
      </c>
    </row>
    <row r="991" spans="1:11" ht="12.75" customHeight="1" x14ac:dyDescent="0.35">
      <c r="A991" s="3"/>
      <c r="B991" s="2"/>
      <c r="C991" s="3"/>
      <c r="D991" s="3"/>
      <c r="E991" s="31" t="s">
        <v>3933</v>
      </c>
      <c r="F991" s="15">
        <v>732000</v>
      </c>
      <c r="G991" s="31" t="str">
        <f t="shared" si="85"/>
        <v>732000 (Penelitian dan Pengembangan Ilmu Pengetahuan Sosial dan Humaniora)</v>
      </c>
      <c r="H991" s="3"/>
      <c r="I991" s="16" t="s">
        <v>3934</v>
      </c>
      <c r="J991" s="52">
        <v>601175</v>
      </c>
      <c r="K991" s="16" t="str">
        <f t="shared" si="82"/>
        <v>601175 (PT. BPR Gebu Harapan (Bayur))</v>
      </c>
    </row>
    <row r="992" spans="1:11" ht="12.75" customHeight="1" x14ac:dyDescent="0.35">
      <c r="A992" s="3"/>
      <c r="B992" s="2"/>
      <c r="C992" s="3"/>
      <c r="D992" s="3"/>
      <c r="E992" s="31" t="s">
        <v>3935</v>
      </c>
      <c r="F992" s="15">
        <v>741000</v>
      </c>
      <c r="G992" s="31" t="str">
        <f t="shared" si="85"/>
        <v>741000 (Jasa Hukum, Akuntansi dan Pembukuan, Konsultasi Pajak, Penelitian Pasar, dan Konsultasi Bisnis dan Manajemen)</v>
      </c>
      <c r="H992" s="3"/>
      <c r="I992" s="16" t="s">
        <v>3936</v>
      </c>
      <c r="J992" s="52">
        <v>601176</v>
      </c>
      <c r="K992" s="16" t="str">
        <f t="shared" si="82"/>
        <v>601176 (PT. BPR Pembangunan Nagari (Manggopoh))</v>
      </c>
    </row>
    <row r="993" spans="1:11" ht="12.75" customHeight="1" x14ac:dyDescent="0.35">
      <c r="A993" s="3"/>
      <c r="B993" s="2"/>
      <c r="C993" s="3"/>
      <c r="D993" s="3"/>
      <c r="E993" s="31" t="s">
        <v>3937</v>
      </c>
      <c r="F993" s="15">
        <v>742000</v>
      </c>
      <c r="G993" s="31" t="str">
        <f t="shared" si="85"/>
        <v>742000 (Jasa Konsultasi Arsitek, Kegiatan Teknik dan Rekayasa, Serta Analisis dan Testing)</v>
      </c>
      <c r="H993" s="3"/>
      <c r="I993" s="16" t="s">
        <v>3938</v>
      </c>
      <c r="J993" s="52">
        <v>601177</v>
      </c>
      <c r="K993" s="16" t="str">
        <f t="shared" si="82"/>
        <v>601177 (PT. BPR Cempaka Wadah Sejahtera)</v>
      </c>
    </row>
    <row r="994" spans="1:11" ht="12.75" customHeight="1" x14ac:dyDescent="0.35">
      <c r="A994" s="3"/>
      <c r="B994" s="2"/>
      <c r="C994" s="3"/>
      <c r="D994" s="3"/>
      <c r="E994" s="31" t="s">
        <v>3939</v>
      </c>
      <c r="F994" s="15">
        <v>743000</v>
      </c>
      <c r="G994" s="31" t="str">
        <f t="shared" si="85"/>
        <v>743000 (Jasa Periklanan)</v>
      </c>
      <c r="H994" s="3"/>
      <c r="I994" s="16" t="s">
        <v>3940</v>
      </c>
      <c r="J994" s="52">
        <v>601178</v>
      </c>
      <c r="K994" s="16" t="str">
        <f t="shared" si="82"/>
        <v>601178 (PT. BPR Mandar)</v>
      </c>
    </row>
    <row r="995" spans="1:11" ht="12.75" customHeight="1" x14ac:dyDescent="0.35">
      <c r="A995" s="3"/>
      <c r="B995" s="2"/>
      <c r="C995" s="3"/>
      <c r="D995" s="3"/>
      <c r="E995" s="31" t="s">
        <v>3941</v>
      </c>
      <c r="F995" s="15">
        <v>749000</v>
      </c>
      <c r="G995" s="31" t="str">
        <f t="shared" si="85"/>
        <v>749000 (Jasa Perusahaan  Lainnya yang Tidak Diklasifikasikan di Tempat Lain)</v>
      </c>
      <c r="H995" s="3"/>
      <c r="I995" s="16" t="s">
        <v>3942</v>
      </c>
      <c r="J995" s="52">
        <v>601180</v>
      </c>
      <c r="K995" s="16" t="str">
        <f t="shared" si="82"/>
        <v>601180 (PT. BPR Surya Katialo)</v>
      </c>
    </row>
    <row r="996" spans="1:11" ht="12.75" customHeight="1" x14ac:dyDescent="0.35">
      <c r="A996" s="3"/>
      <c r="B996" s="2"/>
      <c r="C996" s="3"/>
      <c r="D996" s="3"/>
      <c r="E996" s="31" t="s">
        <v>3943</v>
      </c>
      <c r="F996" s="15">
        <v>751000</v>
      </c>
      <c r="G996" s="31" t="str">
        <f t="shared" si="85"/>
        <v>751000 (Administrasi Pemerintahan, dan Kebijaksanaan Ekonomi dan Sosial)</v>
      </c>
      <c r="H996" s="3"/>
      <c r="I996" s="16" t="s">
        <v>3944</v>
      </c>
      <c r="J996" s="52">
        <v>601181</v>
      </c>
      <c r="K996" s="16" t="str">
        <f t="shared" si="82"/>
        <v>601181 (PT. BPR Piala Makmur)</v>
      </c>
    </row>
    <row r="997" spans="1:11" ht="12.75" customHeight="1" x14ac:dyDescent="0.35">
      <c r="A997" s="3"/>
      <c r="B997" s="2"/>
      <c r="C997" s="3"/>
      <c r="D997" s="3"/>
      <c r="E997" s="31" t="s">
        <v>3945</v>
      </c>
      <c r="F997" s="15">
        <v>752000</v>
      </c>
      <c r="G997" s="31" t="str">
        <f t="shared" si="85"/>
        <v>752000 (Hubungan Luar Negeri, Pertahanan, dan Keamanan)</v>
      </c>
      <c r="H997" s="3"/>
      <c r="I997" s="16" t="s">
        <v>3946</v>
      </c>
      <c r="J997" s="52">
        <v>601183</v>
      </c>
      <c r="K997" s="16" t="str">
        <f t="shared" si="82"/>
        <v>601183 (PT. BPR Rangkiang Nagari)</v>
      </c>
    </row>
    <row r="998" spans="1:11" ht="12.75" customHeight="1" x14ac:dyDescent="0.35">
      <c r="A998" s="3"/>
      <c r="B998" s="2"/>
      <c r="C998" s="3"/>
      <c r="D998" s="3"/>
      <c r="E998" s="31" t="s">
        <v>3947</v>
      </c>
      <c r="F998" s="15">
        <v>753000</v>
      </c>
      <c r="G998" s="31" t="str">
        <f t="shared" si="85"/>
        <v>753000 (Jaminan Sosial Wajib)</v>
      </c>
      <c r="H998" s="3"/>
      <c r="I998" s="16" t="s">
        <v>3948</v>
      </c>
      <c r="J998" s="52">
        <v>601185</v>
      </c>
      <c r="K998" s="16" t="str">
        <f t="shared" si="82"/>
        <v>601185 (PT BPR Solok Sakato)</v>
      </c>
    </row>
    <row r="999" spans="1:11" ht="12.75" customHeight="1" x14ac:dyDescent="0.35">
      <c r="A999" s="3"/>
      <c r="B999" s="2"/>
      <c r="C999" s="3"/>
      <c r="D999" s="3"/>
      <c r="E999" s="31" t="s">
        <v>3949</v>
      </c>
      <c r="F999" s="15">
        <v>801000</v>
      </c>
      <c r="G999" s="31" t="str">
        <f t="shared" si="85"/>
        <v>801000 (Jasa Pendidikan Dasar)</v>
      </c>
      <c r="H999" s="3"/>
      <c r="I999" s="16" t="s">
        <v>3950</v>
      </c>
      <c r="J999" s="52">
        <v>601186</v>
      </c>
      <c r="K999" s="16" t="str">
        <f t="shared" si="82"/>
        <v>601186 (PT BPR Lugas Dana Mandiri)</v>
      </c>
    </row>
    <row r="1000" spans="1:11" ht="12.75" customHeight="1" x14ac:dyDescent="0.35">
      <c r="A1000" s="3"/>
      <c r="B1000" s="2"/>
      <c r="C1000" s="3"/>
      <c r="D1000" s="3"/>
      <c r="E1000" s="31" t="s">
        <v>3951</v>
      </c>
      <c r="F1000" s="15">
        <v>802000</v>
      </c>
      <c r="G1000" s="31" t="str">
        <f t="shared" si="85"/>
        <v>802000 (Jasa Pendidikan Menengah)</v>
      </c>
      <c r="H1000" s="3"/>
      <c r="I1000" s="16" t="s">
        <v>3952</v>
      </c>
      <c r="J1000" s="52">
        <v>601187</v>
      </c>
      <c r="K1000" s="16" t="str">
        <f t="shared" si="82"/>
        <v>601187 (BPR LPN Saning Bakar)</v>
      </c>
    </row>
    <row r="1001" spans="1:11" ht="12.75" customHeight="1" x14ac:dyDescent="0.35">
      <c r="A1001" s="3"/>
      <c r="B1001" s="2"/>
      <c r="C1001" s="3"/>
      <c r="D1001" s="3"/>
      <c r="E1001" s="31" t="s">
        <v>3953</v>
      </c>
      <c r="F1001" s="15">
        <v>803000</v>
      </c>
      <c r="G1001" s="31" t="str">
        <f t="shared" si="85"/>
        <v>803000 (Jasa Pendidikan Tinggi)</v>
      </c>
      <c r="H1001" s="3"/>
      <c r="I1001" s="16" t="s">
        <v>3954</v>
      </c>
      <c r="J1001" s="52">
        <v>601188</v>
      </c>
      <c r="K1001" s="16" t="str">
        <f t="shared" si="82"/>
        <v>601188 (PT BPR Solok Selatan)</v>
      </c>
    </row>
    <row r="1002" spans="1:11" ht="12.75" customHeight="1" x14ac:dyDescent="0.35">
      <c r="A1002" s="3"/>
      <c r="B1002" s="2"/>
      <c r="C1002" s="3"/>
      <c r="D1002" s="3"/>
      <c r="E1002" s="31" t="s">
        <v>3955</v>
      </c>
      <c r="F1002" s="15">
        <v>804000</v>
      </c>
      <c r="G1002" s="31" t="str">
        <f t="shared" si="85"/>
        <v>804000 (Jasa Pendidikan Lainnya)</v>
      </c>
      <c r="H1002" s="3"/>
      <c r="I1002" s="16" t="s">
        <v>3956</v>
      </c>
      <c r="J1002" s="52">
        <v>601189</v>
      </c>
      <c r="K1002" s="16" t="str">
        <f t="shared" si="82"/>
        <v>601189 (PT BPR Sarantau Sasurambi)</v>
      </c>
    </row>
    <row r="1003" spans="1:11" ht="12.75" customHeight="1" x14ac:dyDescent="0.35">
      <c r="A1003" s="3"/>
      <c r="B1003" s="2"/>
      <c r="C1003" s="3"/>
      <c r="D1003" s="3"/>
      <c r="E1003" s="31" t="s">
        <v>3957</v>
      </c>
      <c r="F1003" s="15">
        <v>851001</v>
      </c>
      <c r="G1003" s="31" t="str">
        <f t="shared" si="85"/>
        <v>851001 (Jasa Kesehatan Manusia - Rumah sakit)</v>
      </c>
      <c r="H1003" s="3"/>
      <c r="I1003" s="16" t="s">
        <v>3958</v>
      </c>
      <c r="J1003" s="52">
        <v>601190</v>
      </c>
      <c r="K1003" s="16" t="str">
        <f t="shared" si="82"/>
        <v>601190 (BPR LPN Pekan Rabaa)</v>
      </c>
    </row>
    <row r="1004" spans="1:11" ht="12.75" customHeight="1" x14ac:dyDescent="0.35">
      <c r="A1004" s="3"/>
      <c r="B1004" s="2"/>
      <c r="C1004" s="3"/>
      <c r="D1004" s="3"/>
      <c r="E1004" s="31" t="s">
        <v>3959</v>
      </c>
      <c r="F1004" s="15">
        <v>851002</v>
      </c>
      <c r="G1004" s="31" t="str">
        <f t="shared" si="85"/>
        <v>851002 (Jasa Kesehatan Manusia - Poliklinik / Rumah Bersalin)</v>
      </c>
      <c r="H1004" s="3"/>
      <c r="I1004" s="16" t="s">
        <v>3960</v>
      </c>
      <c r="J1004" s="52">
        <v>601191</v>
      </c>
      <c r="K1004" s="16" t="str">
        <f t="shared" si="82"/>
        <v>601191 (PT BPR Gonjong Limo)</v>
      </c>
    </row>
    <row r="1005" spans="1:11" ht="12.75" customHeight="1" x14ac:dyDescent="0.35">
      <c r="A1005" s="3"/>
      <c r="B1005" s="2"/>
      <c r="C1005" s="3"/>
      <c r="D1005" s="3"/>
      <c r="E1005" s="31" t="s">
        <v>3961</v>
      </c>
      <c r="F1005" s="15">
        <v>851003</v>
      </c>
      <c r="G1005" s="31" t="str">
        <f t="shared" si="85"/>
        <v>851003 (Jasa Kesehatan Manusia - Tempat Perawatan / Pengobatan)</v>
      </c>
      <c r="H1005" s="3"/>
      <c r="I1005" s="16" t="s">
        <v>3962</v>
      </c>
      <c r="J1005" s="52">
        <v>601192</v>
      </c>
      <c r="K1005" s="16" t="str">
        <f t="shared" si="82"/>
        <v>601192 (PT BPR X Koto Singkarak)</v>
      </c>
    </row>
    <row r="1006" spans="1:11" ht="12.75" customHeight="1" x14ac:dyDescent="0.35">
      <c r="A1006" s="3"/>
      <c r="B1006" s="2"/>
      <c r="C1006" s="3"/>
      <c r="D1006" s="3"/>
      <c r="E1006" s="31" t="s">
        <v>3963</v>
      </c>
      <c r="F1006" s="15">
        <v>851004</v>
      </c>
      <c r="G1006" s="31" t="str">
        <f t="shared" si="85"/>
        <v>851004 (Jasa Kesehatan Manusia - Profesi Dokter)</v>
      </c>
      <c r="H1006" s="3"/>
      <c r="I1006" s="16" t="s">
        <v>3964</v>
      </c>
      <c r="J1006" s="52">
        <v>601193</v>
      </c>
      <c r="K1006" s="16" t="str">
        <f t="shared" si="82"/>
        <v>601193 (PT BPR Prima Mulia Anugrah)</v>
      </c>
    </row>
    <row r="1007" spans="1:11" ht="12.75" customHeight="1" x14ac:dyDescent="0.35">
      <c r="A1007" s="3"/>
      <c r="B1007" s="2"/>
      <c r="C1007" s="3"/>
      <c r="D1007" s="3"/>
      <c r="E1007" s="31" t="s">
        <v>3965</v>
      </c>
      <c r="F1007" s="15">
        <v>852000</v>
      </c>
      <c r="G1007" s="31" t="str">
        <f t="shared" si="85"/>
        <v>852000 (Jasa Kesehatan Hewan)</v>
      </c>
      <c r="H1007" s="3"/>
      <c r="I1007" s="16" t="s">
        <v>3966</v>
      </c>
      <c r="J1007" s="52">
        <v>601194</v>
      </c>
      <c r="K1007" s="16" t="str">
        <f t="shared" si="82"/>
        <v>601194 (PT. BPR Lubuk Raya Mandiri)</v>
      </c>
    </row>
    <row r="1008" spans="1:11" ht="12.75" customHeight="1" x14ac:dyDescent="0.35">
      <c r="A1008" s="3"/>
      <c r="B1008" s="2"/>
      <c r="C1008" s="3"/>
      <c r="D1008" s="3"/>
      <c r="E1008" s="31" t="s">
        <v>3967</v>
      </c>
      <c r="F1008" s="15">
        <v>853000</v>
      </c>
      <c r="G1008" s="31" t="str">
        <f t="shared" si="85"/>
        <v>853000 (Jasa Kegiatan Sosial)</v>
      </c>
      <c r="H1008" s="3"/>
      <c r="I1008" s="16" t="s">
        <v>3968</v>
      </c>
      <c r="J1008" s="52">
        <v>601197</v>
      </c>
      <c r="K1008" s="16" t="str">
        <f t="shared" si="82"/>
        <v>601197 (PT BPR Gudam)</v>
      </c>
    </row>
    <row r="1009" spans="1:11" ht="12.75" customHeight="1" x14ac:dyDescent="0.35">
      <c r="A1009" s="3"/>
      <c r="B1009" s="2"/>
      <c r="C1009" s="3"/>
      <c r="D1009" s="3"/>
      <c r="E1009" s="31" t="s">
        <v>3969</v>
      </c>
      <c r="F1009" s="15">
        <v>900000</v>
      </c>
      <c r="G1009" s="31" t="str">
        <f t="shared" si="85"/>
        <v>900000 (Jasa Kebersihan)</v>
      </c>
      <c r="H1009" s="3"/>
      <c r="I1009" s="16" t="s">
        <v>3970</v>
      </c>
      <c r="J1009" s="52">
        <v>601198</v>
      </c>
      <c r="K1009" s="16" t="str">
        <f t="shared" si="82"/>
        <v>601198 (PT BPR Batang Selo)</v>
      </c>
    </row>
    <row r="1010" spans="1:11" ht="12.75" customHeight="1" x14ac:dyDescent="0.35">
      <c r="A1010" s="3"/>
      <c r="B1010" s="2"/>
      <c r="C1010" s="3"/>
      <c r="D1010" s="3"/>
      <c r="E1010" s="31" t="s">
        <v>3971</v>
      </c>
      <c r="F1010" s="15">
        <v>910000</v>
      </c>
      <c r="G1010" s="31" t="str">
        <f t="shared" si="85"/>
        <v>910000 (Organisasi Bisnis, Pengusaha dan Profesional)</v>
      </c>
      <c r="H1010" s="3"/>
      <c r="I1010" s="16" t="s">
        <v>3972</v>
      </c>
      <c r="J1010" s="52">
        <v>601199</v>
      </c>
      <c r="K1010" s="16" t="str">
        <f t="shared" si="82"/>
        <v>601199 (BPR LPN Balerong Bunta)</v>
      </c>
    </row>
    <row r="1011" spans="1:11" ht="12.75" customHeight="1" x14ac:dyDescent="0.35">
      <c r="A1011" s="3"/>
      <c r="B1011" s="2"/>
      <c r="C1011" s="3"/>
      <c r="D1011" s="3"/>
      <c r="E1011" s="31" t="s">
        <v>3973</v>
      </c>
      <c r="F1011" s="15">
        <v>912000</v>
      </c>
      <c r="G1011" s="31" t="str">
        <f t="shared" si="85"/>
        <v>912000 (Organisasi Buruh)</v>
      </c>
      <c r="H1011" s="3"/>
      <c r="I1011" s="16" t="s">
        <v>3974</v>
      </c>
      <c r="J1011" s="52">
        <v>601200</v>
      </c>
      <c r="K1011" s="16" t="str">
        <f t="shared" si="82"/>
        <v>601200 (BPR LPN Pandai Sikek)</v>
      </c>
    </row>
    <row r="1012" spans="1:11" ht="12.75" customHeight="1" x14ac:dyDescent="0.35">
      <c r="A1012" s="3"/>
      <c r="B1012" s="2"/>
      <c r="C1012" s="3"/>
      <c r="D1012" s="3"/>
      <c r="E1012" s="31" t="s">
        <v>3975</v>
      </c>
      <c r="F1012" s="15">
        <v>919000</v>
      </c>
      <c r="G1012" s="31" t="str">
        <f t="shared" si="85"/>
        <v>919000 (Organisasi Lainnya)</v>
      </c>
      <c r="H1012" s="3"/>
      <c r="I1012" s="16" t="s">
        <v>3976</v>
      </c>
      <c r="J1012" s="52">
        <v>601201</v>
      </c>
      <c r="K1012" s="16" t="str">
        <f t="shared" si="82"/>
        <v>601201 (PT BPR Luhak Nan Tuo)</v>
      </c>
    </row>
    <row r="1013" spans="1:11" ht="12.75" customHeight="1" x14ac:dyDescent="0.35">
      <c r="A1013" s="3"/>
      <c r="B1013" s="2"/>
      <c r="C1013" s="3"/>
      <c r="D1013" s="3"/>
      <c r="E1013" s="31" t="s">
        <v>3977</v>
      </c>
      <c r="F1013" s="15">
        <v>921000</v>
      </c>
      <c r="G1013" s="31" t="str">
        <f t="shared" si="85"/>
        <v>921000 (Kegiatan Perfilman, Radio, Televisi, dan Hiburan Lainnya)</v>
      </c>
      <c r="H1013" s="3"/>
      <c r="I1013" s="16" t="s">
        <v>3978</v>
      </c>
      <c r="J1013" s="52">
        <v>601202</v>
      </c>
      <c r="K1013" s="16" t="str">
        <f t="shared" si="82"/>
        <v>601202 (PT. BPR Batipuh)</v>
      </c>
    </row>
    <row r="1014" spans="1:11" ht="12.75" customHeight="1" x14ac:dyDescent="0.35">
      <c r="A1014" s="3"/>
      <c r="B1014" s="2"/>
      <c r="C1014" s="3"/>
      <c r="D1014" s="3"/>
      <c r="E1014" s="31" t="s">
        <v>3979</v>
      </c>
      <c r="F1014" s="15">
        <v>922000</v>
      </c>
      <c r="G1014" s="31" t="str">
        <f t="shared" si="85"/>
        <v>922000 (Kegiatan Kantor Berita)</v>
      </c>
      <c r="H1014" s="3"/>
      <c r="I1014" s="16" t="s">
        <v>3980</v>
      </c>
      <c r="J1014" s="52">
        <v>601203</v>
      </c>
      <c r="K1014" s="16" t="str">
        <f t="shared" si="82"/>
        <v>601203 (PT BPR Malibu)</v>
      </c>
    </row>
    <row r="1015" spans="1:11" ht="12.75" customHeight="1" x14ac:dyDescent="0.35">
      <c r="A1015" s="3"/>
      <c r="B1015" s="2"/>
      <c r="C1015" s="3"/>
      <c r="D1015" s="3"/>
      <c r="E1015" s="31" t="s">
        <v>3981</v>
      </c>
      <c r="F1015" s="15">
        <v>923000</v>
      </c>
      <c r="G1015" s="31" t="str">
        <f t="shared" si="85"/>
        <v>923000 (Perpustakaan, Arsip, Museum, dan Kegiatan Kebudayaan Lainnya)</v>
      </c>
      <c r="H1015" s="3"/>
      <c r="I1015" s="16" t="s">
        <v>3982</v>
      </c>
      <c r="J1015" s="52">
        <v>601204</v>
      </c>
      <c r="K1015" s="16" t="str">
        <f t="shared" si="82"/>
        <v>601204 (PT BPR Cahaya Intan Mandiri)</v>
      </c>
    </row>
    <row r="1016" spans="1:11" ht="12.75" customHeight="1" x14ac:dyDescent="0.35">
      <c r="A1016" s="3"/>
      <c r="B1016" s="2"/>
      <c r="C1016" s="3"/>
      <c r="D1016" s="3"/>
      <c r="E1016" s="31" t="s">
        <v>3983</v>
      </c>
      <c r="F1016" s="15">
        <v>930000</v>
      </c>
      <c r="G1016" s="31" t="str">
        <f t="shared" si="85"/>
        <v>930000 (Jasa Kegiatan Lainnya)</v>
      </c>
      <c r="H1016" s="3"/>
      <c r="I1016" s="16" t="s">
        <v>3984</v>
      </c>
      <c r="J1016" s="52">
        <v>601205</v>
      </c>
      <c r="K1016" s="16" t="str">
        <f t="shared" si="82"/>
        <v>601205 (PT BPR LPN Padang Magek)</v>
      </c>
    </row>
    <row r="1017" spans="1:11" ht="12.75" customHeight="1" x14ac:dyDescent="0.35">
      <c r="A1017" s="3"/>
      <c r="B1017" s="2"/>
      <c r="C1017" s="3"/>
      <c r="D1017" s="3"/>
      <c r="E1017" s="31" t="s">
        <v>3985</v>
      </c>
      <c r="F1017" s="15">
        <v>950000</v>
      </c>
      <c r="G1017" s="31" t="str">
        <f t="shared" si="85"/>
        <v>950000 (Jasa Perorangan yang Melayani Rumah Tangga)</v>
      </c>
      <c r="H1017" s="3"/>
      <c r="I1017" s="16" t="s">
        <v>3986</v>
      </c>
      <c r="J1017" s="52">
        <v>601206</v>
      </c>
      <c r="K1017" s="16" t="str">
        <f t="shared" si="82"/>
        <v>601206 (BPR LPN Andalas Baruh Bukit)</v>
      </c>
    </row>
    <row r="1018" spans="1:11" ht="12.75" customHeight="1" x14ac:dyDescent="0.35">
      <c r="A1018" s="3"/>
      <c r="B1018" s="2"/>
      <c r="C1018" s="3"/>
      <c r="D1018" s="3"/>
      <c r="E1018" s="31" t="s">
        <v>3987</v>
      </c>
      <c r="F1018" s="15">
        <v>990000</v>
      </c>
      <c r="G1018" s="31" t="str">
        <f t="shared" si="85"/>
        <v>990000 (Badan Internasional dan Badan Ekstra Internasional Lainnya)</v>
      </c>
      <c r="H1018" s="3"/>
      <c r="I1018" s="16" t="s">
        <v>3988</v>
      </c>
      <c r="J1018" s="52">
        <v>601207</v>
      </c>
      <c r="K1018" s="16" t="str">
        <f t="shared" si="82"/>
        <v>601207 (PT BPR Pagaruyung)</v>
      </c>
    </row>
    <row r="1019" spans="1:11" ht="12.75" customHeight="1" x14ac:dyDescent="0.35">
      <c r="A1019" s="3"/>
      <c r="B1019" s="2"/>
      <c r="C1019" s="3"/>
      <c r="D1019" s="3"/>
      <c r="E1019" s="31" t="s">
        <v>3989</v>
      </c>
      <c r="F1019" s="24" t="s">
        <v>3990</v>
      </c>
      <c r="G1019" s="31" t="str">
        <f t="shared" si="85"/>
        <v>000001 (Kegiatan yang Belum Jelas Batasannya Perorangan)</v>
      </c>
      <c r="H1019" s="3"/>
      <c r="I1019" s="16" t="s">
        <v>3991</v>
      </c>
      <c r="J1019" s="52">
        <v>601208</v>
      </c>
      <c r="K1019" s="16" t="str">
        <f t="shared" si="82"/>
        <v>601208 (PT BPR Swadaya Anak Nagari)</v>
      </c>
    </row>
    <row r="1020" spans="1:11" ht="12.75" customHeight="1" x14ac:dyDescent="0.35">
      <c r="A1020" s="3"/>
      <c r="B1020" s="2"/>
      <c r="C1020" s="3"/>
      <c r="D1020" s="3"/>
      <c r="E1020" s="31" t="s">
        <v>3992</v>
      </c>
      <c r="F1020" s="24" t="s">
        <v>3993</v>
      </c>
      <c r="G1020" s="31" t="str">
        <f t="shared" si="85"/>
        <v>000002 (Kegiatan yang Belum Jelas Batasannya Badan Usaha)</v>
      </c>
      <c r="H1020" s="3"/>
      <c r="I1020" s="16" t="s">
        <v>3994</v>
      </c>
      <c r="J1020" s="52">
        <v>601210</v>
      </c>
      <c r="K1020" s="16" t="str">
        <f t="shared" si="82"/>
        <v>601210 (PT BPR Sembilan Mutiara)</v>
      </c>
    </row>
    <row r="1021" spans="1:11" ht="12.75" customHeight="1" x14ac:dyDescent="0.35">
      <c r="A1021" s="3"/>
      <c r="B1021" s="2"/>
      <c r="C1021" s="3"/>
      <c r="D1021" s="3"/>
      <c r="E1021" s="31" t="s">
        <v>3995</v>
      </c>
      <c r="F1021" s="24" t="s">
        <v>3996</v>
      </c>
      <c r="G1021" s="31" t="str">
        <f t="shared" si="85"/>
        <v>001100 (Rumah Tangga untuk Pemilikan Rumah Tinggal)</v>
      </c>
      <c r="H1021" s="3"/>
      <c r="I1021" s="16" t="s">
        <v>3997</v>
      </c>
      <c r="J1021" s="52">
        <v>601211</v>
      </c>
      <c r="K1021" s="16" t="str">
        <f t="shared" si="82"/>
        <v>601211 (PT. BPR Khatulistiwa Bonjol)</v>
      </c>
    </row>
    <row r="1022" spans="1:11" ht="12.75" customHeight="1" x14ac:dyDescent="0.35">
      <c r="A1022" s="3"/>
      <c r="B1022" s="2"/>
      <c r="C1022" s="3"/>
      <c r="D1022" s="3"/>
      <c r="E1022" s="31" t="s">
        <v>3998</v>
      </c>
      <c r="F1022" s="24" t="s">
        <v>3999</v>
      </c>
      <c r="G1022" s="31" t="str">
        <f t="shared" si="85"/>
        <v>001110 (Rumah Tangga untuk Pemilikan Rumah Tinggal s.d. Tipe  21)</v>
      </c>
      <c r="H1022" s="3"/>
      <c r="I1022" s="16" t="s">
        <v>4000</v>
      </c>
      <c r="J1022" s="52">
        <v>601212</v>
      </c>
      <c r="K1022" s="16" t="str">
        <f t="shared" si="82"/>
        <v>601212 (BPR LPN Kampung Manggis)</v>
      </c>
    </row>
    <row r="1023" spans="1:11" ht="12.75" customHeight="1" x14ac:dyDescent="0.35">
      <c r="A1023" s="3"/>
      <c r="B1023" s="2"/>
      <c r="C1023" s="3"/>
      <c r="D1023" s="3"/>
      <c r="E1023" s="31" t="s">
        <v>4001</v>
      </c>
      <c r="F1023" s="24" t="s">
        <v>4002</v>
      </c>
      <c r="G1023" s="31" t="str">
        <f t="shared" si="85"/>
        <v>001120 (Rumah Tangga untuk Pemilikan Rumah Tinggal Tipe  22  s.d. 70)</v>
      </c>
      <c r="H1023" s="3"/>
      <c r="I1023" s="16" t="s">
        <v>4003</v>
      </c>
      <c r="J1023" s="52">
        <v>601213</v>
      </c>
      <c r="K1023" s="16" t="str">
        <f t="shared" si="82"/>
        <v>601213 (PT BPR Baringin Padang Panjang Sakato)</v>
      </c>
    </row>
    <row r="1024" spans="1:11" ht="12.75" customHeight="1" x14ac:dyDescent="0.35">
      <c r="A1024" s="3"/>
      <c r="B1024" s="2"/>
      <c r="C1024" s="3"/>
      <c r="D1024" s="3"/>
      <c r="E1024" s="31" t="s">
        <v>4004</v>
      </c>
      <c r="F1024" s="24" t="s">
        <v>4005</v>
      </c>
      <c r="G1024" s="31" t="str">
        <f t="shared" si="85"/>
        <v>001130 (Rumah Tangga untuk Pemilikan Rumah Tinggal Tipe  Diatas 70)</v>
      </c>
      <c r="H1024" s="3"/>
      <c r="I1024" s="16" t="s">
        <v>4006</v>
      </c>
      <c r="J1024" s="52">
        <v>601217</v>
      </c>
      <c r="K1024" s="16" t="str">
        <f t="shared" si="82"/>
        <v>601217 (PT. BPR Koto Dalam)</v>
      </c>
    </row>
    <row r="1025" spans="1:11" ht="12.75" customHeight="1" x14ac:dyDescent="0.35">
      <c r="A1025" s="3"/>
      <c r="B1025" s="2"/>
      <c r="C1025" s="3"/>
      <c r="D1025" s="3"/>
      <c r="E1025" s="31" t="s">
        <v>4007</v>
      </c>
      <c r="F1025" s="24" t="s">
        <v>4008</v>
      </c>
      <c r="G1025" s="31" t="str">
        <f t="shared" si="85"/>
        <v>001210 (Rumah Tangga untuk Pemilikan Flat atau Apartemen s.d. Tipe  21)</v>
      </c>
      <c r="H1025" s="3"/>
      <c r="I1025" s="16" t="s">
        <v>4009</v>
      </c>
      <c r="J1025" s="52">
        <v>601218</v>
      </c>
      <c r="K1025" s="16" t="str">
        <f t="shared" ref="K1025:K1279" si="86">CONCATENATE(J1025," (",SUBSTITUTE(I1025,"  ",""),")")</f>
        <v>601218 (PT BPR Jorong Kampung Tangah)</v>
      </c>
    </row>
    <row r="1026" spans="1:11" ht="12.75" customHeight="1" x14ac:dyDescent="0.35">
      <c r="A1026" s="3"/>
      <c r="B1026" s="2"/>
      <c r="C1026" s="3"/>
      <c r="D1026" s="3"/>
      <c r="E1026" s="31" t="s">
        <v>4010</v>
      </c>
      <c r="F1026" s="24" t="s">
        <v>4011</v>
      </c>
      <c r="G1026" s="31" t="str">
        <f t="shared" si="85"/>
        <v>001220 (Rumah Tangga untuk Pemilikan Flat atau Apartemen Tipe  22  s.d. 70)</v>
      </c>
      <c r="H1026" s="3"/>
      <c r="I1026" s="16" t="s">
        <v>4012</v>
      </c>
      <c r="J1026" s="52">
        <v>601219</v>
      </c>
      <c r="K1026" s="16" t="str">
        <f t="shared" si="86"/>
        <v>601219 (PT BPR LA Mangau Sejahtera)</v>
      </c>
    </row>
    <row r="1027" spans="1:11" ht="12.75" customHeight="1" x14ac:dyDescent="0.35">
      <c r="A1027" s="3"/>
      <c r="B1027" s="2"/>
      <c r="C1027" s="3"/>
      <c r="D1027" s="3"/>
      <c r="E1027" s="31" t="s">
        <v>4013</v>
      </c>
      <c r="F1027" s="24" t="s">
        <v>4014</v>
      </c>
      <c r="G1027" s="31" t="str">
        <f t="shared" si="85"/>
        <v>001230 (Rumah Tangga untuk Pemilikan Flat atau Apartemen Tipe  Diatas 70)</v>
      </c>
      <c r="H1027" s="3"/>
      <c r="I1027" s="16" t="s">
        <v>4015</v>
      </c>
      <c r="J1027" s="52">
        <v>601220</v>
      </c>
      <c r="K1027" s="16" t="str">
        <f t="shared" si="86"/>
        <v>601220 (PT. BPR Ganto Nagari 1954)</v>
      </c>
    </row>
    <row r="1028" spans="1:11" ht="12.75" customHeight="1" x14ac:dyDescent="0.35">
      <c r="A1028" s="3"/>
      <c r="B1028" s="2"/>
      <c r="C1028" s="3"/>
      <c r="D1028" s="3"/>
      <c r="E1028" s="31" t="s">
        <v>4016</v>
      </c>
      <c r="F1028" s="24" t="s">
        <v>4017</v>
      </c>
      <c r="G1028" s="31" t="str">
        <f t="shared" si="85"/>
        <v>001300 (Rumah Tangga untuk Pemilikan Rumah Toko  (Ruko) atau Rumah Kantor (Rukan))</v>
      </c>
      <c r="H1028" s="3"/>
      <c r="I1028" s="16" t="s">
        <v>4018</v>
      </c>
      <c r="J1028" s="52">
        <v>601221</v>
      </c>
      <c r="K1028" s="16" t="str">
        <f t="shared" si="86"/>
        <v>601221 (PT BPR Nagari Kasang)</v>
      </c>
    </row>
    <row r="1029" spans="1:11" ht="12.75" customHeight="1" x14ac:dyDescent="0.35">
      <c r="A1029" s="3"/>
      <c r="B1029" s="2"/>
      <c r="C1029" s="3"/>
      <c r="D1029" s="3"/>
      <c r="E1029" s="31" t="s">
        <v>4019</v>
      </c>
      <c r="F1029" s="24" t="s">
        <v>4020</v>
      </c>
      <c r="G1029" s="31" t="str">
        <f t="shared" si="85"/>
        <v>002100 (Rumah Tangga untuk Pemilikan Mobil  Roda Empat)</v>
      </c>
      <c r="H1029" s="3"/>
      <c r="I1029" s="16" t="s">
        <v>4021</v>
      </c>
      <c r="J1029" s="52">
        <v>601222</v>
      </c>
      <c r="K1029" s="16" t="str">
        <f t="shared" si="86"/>
        <v>601222 (PT BPR Cempaka Mitra Nagari)</v>
      </c>
    </row>
    <row r="1030" spans="1:11" ht="12.75" customHeight="1" x14ac:dyDescent="0.35">
      <c r="A1030" s="3"/>
      <c r="B1030" s="2"/>
      <c r="C1030" s="3"/>
      <c r="D1030" s="3"/>
      <c r="E1030" s="31" t="s">
        <v>4022</v>
      </c>
      <c r="F1030" s="24" t="s">
        <v>4023</v>
      </c>
      <c r="G1030" s="31" t="str">
        <f t="shared" si="85"/>
        <v>002200 (Rumah Tangga untuk Pemilikan Sepeda Bermotor)</v>
      </c>
      <c r="H1030" s="3"/>
      <c r="I1030" s="16" t="s">
        <v>4024</v>
      </c>
      <c r="J1030" s="52">
        <v>601223</v>
      </c>
      <c r="K1030" s="16" t="str">
        <f t="shared" si="86"/>
        <v>601223 (BPR LPN Tapan)</v>
      </c>
    </row>
    <row r="1031" spans="1:11" ht="12.75" customHeight="1" x14ac:dyDescent="0.35">
      <c r="A1031" s="3"/>
      <c r="B1031" s="2"/>
      <c r="C1031" s="3"/>
      <c r="D1031" s="3"/>
      <c r="E1031" s="31" t="s">
        <v>4025</v>
      </c>
      <c r="F1031" s="24" t="s">
        <v>4026</v>
      </c>
      <c r="G1031" s="31" t="str">
        <f t="shared" si="85"/>
        <v>002300 (Rumah Tangga untuk Pemilikan Truk dan Kendaraan Bermotor Roda Enam atau Lebih)</v>
      </c>
      <c r="H1031" s="3"/>
      <c r="I1031" s="16" t="s">
        <v>4027</v>
      </c>
      <c r="J1031" s="52">
        <v>601224</v>
      </c>
      <c r="K1031" s="16" t="str">
        <f t="shared" si="86"/>
        <v>601224 (PT BPR LPN Batang Tarusan)</v>
      </c>
    </row>
    <row r="1032" spans="1:11" ht="12.75" customHeight="1" x14ac:dyDescent="0.35">
      <c r="A1032" s="3"/>
      <c r="B1032" s="2"/>
      <c r="C1032" s="3"/>
      <c r="D1032" s="3"/>
      <c r="E1032" s="31" t="s">
        <v>4028</v>
      </c>
      <c r="F1032" s="24" t="s">
        <v>4029</v>
      </c>
      <c r="G1032" s="31" t="str">
        <f t="shared" si="85"/>
        <v>002900 (Rumah Tangga untuk Pemilikan Kendaraan Bermotor Lainnya)</v>
      </c>
      <c r="H1032" s="3"/>
      <c r="I1032" s="16" t="s">
        <v>4030</v>
      </c>
      <c r="J1032" s="52">
        <v>601225</v>
      </c>
      <c r="K1032" s="16" t="str">
        <f t="shared" si="86"/>
        <v>601225 (PT. BPR Batang Kapas)</v>
      </c>
    </row>
    <row r="1033" spans="1:11" ht="12.75" customHeight="1" x14ac:dyDescent="0.35">
      <c r="A1033" s="3"/>
      <c r="B1033" s="2"/>
      <c r="C1033" s="3"/>
      <c r="D1033" s="3"/>
      <c r="E1033" s="31" t="s">
        <v>4031</v>
      </c>
      <c r="F1033" s="24" t="s">
        <v>4032</v>
      </c>
      <c r="G1033" s="31" t="str">
        <f t="shared" si="85"/>
        <v>003100 (Rumah Tangga untuk Pemilikan Furnitur dan Peralatan Rumah Tangga)</v>
      </c>
      <c r="H1033" s="3"/>
      <c r="I1033" s="16" t="s">
        <v>4033</v>
      </c>
      <c r="J1033" s="52">
        <v>601226</v>
      </c>
      <c r="K1033" s="16" t="str">
        <f t="shared" si="86"/>
        <v>601226 (PT BPR Guguk Mas Makmur)</v>
      </c>
    </row>
    <row r="1034" spans="1:11" ht="12.75" customHeight="1" x14ac:dyDescent="0.35">
      <c r="A1034" s="3"/>
      <c r="B1034" s="2"/>
      <c r="C1034" s="3"/>
      <c r="D1034" s="3"/>
      <c r="E1034" s="31" t="s">
        <v>4034</v>
      </c>
      <c r="F1034" s="24" t="s">
        <v>4035</v>
      </c>
      <c r="G1034" s="31" t="str">
        <f t="shared" si="85"/>
        <v>003200 (Rumah Tangga untuk Pemilikan  Televisi, Radio, dan  Alat Elektronik)</v>
      </c>
      <c r="H1034" s="3"/>
      <c r="I1034" s="16" t="s">
        <v>4036</v>
      </c>
      <c r="J1034" s="52">
        <v>601228</v>
      </c>
      <c r="K1034" s="16" t="str">
        <f t="shared" si="86"/>
        <v>601228 (PT BPR Muaro Bodi)</v>
      </c>
    </row>
    <row r="1035" spans="1:11" ht="12.75" customHeight="1" x14ac:dyDescent="0.35">
      <c r="A1035" s="3"/>
      <c r="B1035" s="2"/>
      <c r="C1035" s="3"/>
      <c r="D1035" s="3"/>
      <c r="E1035" s="31" t="s">
        <v>4037</v>
      </c>
      <c r="F1035" s="24" t="s">
        <v>4038</v>
      </c>
      <c r="G1035" s="31" t="str">
        <f t="shared" si="85"/>
        <v>003300 (Rumah Tangga untuk Pemilikan Komputer dan Alat Komunikasi)</v>
      </c>
      <c r="H1035" s="3"/>
      <c r="I1035" s="16" t="s">
        <v>4039</v>
      </c>
      <c r="J1035" s="52">
        <v>601229</v>
      </c>
      <c r="K1035" s="16" t="str">
        <f t="shared" si="86"/>
        <v>601229 (PT. BPR Bukit Cati Pematang Panjang)</v>
      </c>
    </row>
    <row r="1036" spans="1:11" ht="12.75" customHeight="1" x14ac:dyDescent="0.35">
      <c r="A1036" s="3"/>
      <c r="B1036" s="2"/>
      <c r="C1036" s="3"/>
      <c r="D1036" s="3"/>
      <c r="E1036" s="31" t="s">
        <v>4040</v>
      </c>
      <c r="F1036" s="24" t="s">
        <v>4041</v>
      </c>
      <c r="G1036" s="31" t="str">
        <f t="shared" si="85"/>
        <v>003900 (Rumah Tangga untuk Pemilikan Peralatan Lainnya)</v>
      </c>
      <c r="H1036" s="3"/>
      <c r="I1036" s="16" t="s">
        <v>4042</v>
      </c>
      <c r="J1036" s="52">
        <v>601230</v>
      </c>
      <c r="K1036" s="16" t="str">
        <f t="shared" si="86"/>
        <v>601230 (PT BPR Sijunjung)</v>
      </c>
    </row>
    <row r="1037" spans="1:11" ht="12.75" customHeight="1" x14ac:dyDescent="0.35">
      <c r="A1037" s="3"/>
      <c r="B1037" s="2"/>
      <c r="C1037" s="3"/>
      <c r="D1037" s="3"/>
      <c r="E1037" s="31" t="s">
        <v>4043</v>
      </c>
      <c r="F1037" s="24" t="s">
        <v>4044</v>
      </c>
      <c r="G1037" s="31" t="str">
        <f t="shared" si="85"/>
        <v>004120 (Rumah Tangga untuk Keperluan yang Tidak Diklasifikasikan di Tempat Lain - Rumah Tangga Untuk Keperluan Multiguna Beragunan Rumah Tinggal s.d Tipe  21)</v>
      </c>
      <c r="H1037" s="3"/>
      <c r="I1037" s="16" t="s">
        <v>4045</v>
      </c>
      <c r="J1037" s="52">
        <v>601231</v>
      </c>
      <c r="K1037" s="16" t="str">
        <f t="shared" si="86"/>
        <v>601231 (PT. BPR Jayamora Krida)</v>
      </c>
    </row>
    <row r="1038" spans="1:11" ht="12.75" customHeight="1" x14ac:dyDescent="0.35">
      <c r="A1038" s="3"/>
      <c r="B1038" s="2"/>
      <c r="C1038" s="3"/>
      <c r="D1038" s="3"/>
      <c r="E1038" s="31" t="s">
        <v>4046</v>
      </c>
      <c r="F1038" s="24" t="s">
        <v>4047</v>
      </c>
      <c r="G1038" s="31" t="str">
        <f t="shared" si="85"/>
        <v>004130 (Rumah Tangga untuk Keperluan yang Tidak Diklasifikasikan di Tempat Lain - Rumah Tangga Untuk Keperluan Multiguna Beragunan Rumah Tinggal Tipe  22  s.d 70)</v>
      </c>
      <c r="H1038" s="3"/>
      <c r="I1038" s="16" t="s">
        <v>4048</v>
      </c>
      <c r="J1038" s="52">
        <v>601232</v>
      </c>
      <c r="K1038" s="16" t="str">
        <f t="shared" si="86"/>
        <v>601232 (PT. BPR Setia Natapala)</v>
      </c>
    </row>
    <row r="1039" spans="1:11" ht="12.75" customHeight="1" x14ac:dyDescent="0.35">
      <c r="A1039" s="3"/>
      <c r="B1039" s="2"/>
      <c r="C1039" s="3"/>
      <c r="D1039" s="3"/>
      <c r="E1039" s="31" t="s">
        <v>4049</v>
      </c>
      <c r="F1039" s="24" t="s">
        <v>4050</v>
      </c>
      <c r="G1039" s="31" t="str">
        <f t="shared" si="85"/>
        <v>004140 (Rumah Tangga untuk Keperluan yang Tidak Diklasifikasikan di Tempat Lain - Rumah Tangga Untuk Keperluan Multiguna Beragunan Rumah Tinggal Tipe  diatas 70)</v>
      </c>
      <c r="H1039" s="3"/>
      <c r="I1039" s="16" t="s">
        <v>4051</v>
      </c>
      <c r="J1039" s="52">
        <v>601233</v>
      </c>
      <c r="K1039" s="16" t="str">
        <f t="shared" si="86"/>
        <v>601233 (PT. BPR Naribi Perkasa)</v>
      </c>
    </row>
    <row r="1040" spans="1:11" ht="12.75" customHeight="1" x14ac:dyDescent="0.35">
      <c r="A1040" s="3"/>
      <c r="B1040" s="2"/>
      <c r="C1040" s="3"/>
      <c r="D1040" s="3"/>
      <c r="E1040" s="31" t="s">
        <v>4052</v>
      </c>
      <c r="F1040" s="24" t="s">
        <v>4053</v>
      </c>
      <c r="G1040" s="31" t="str">
        <f t="shared" si="85"/>
        <v>004150 (Rumah Tangga untuk Keperluan yang Tidak Diklasifikasikan di Tempat Lain - Rumah Tangga Untuk Keperluan Multiguna Beragunan Apartemen s.d Tipe  21)</v>
      </c>
      <c r="H1040" s="3"/>
      <c r="I1040" s="16" t="s">
        <v>4054</v>
      </c>
      <c r="J1040" s="52">
        <v>601234</v>
      </c>
      <c r="K1040" s="16" t="str">
        <f t="shared" si="86"/>
        <v>601234 (PT. BPR Artha Makmur Lestari)</v>
      </c>
    </row>
    <row r="1041" spans="1:11" ht="12.75" customHeight="1" x14ac:dyDescent="0.35">
      <c r="A1041" s="3"/>
      <c r="B1041" s="2"/>
      <c r="C1041" s="3"/>
      <c r="D1041" s="3"/>
      <c r="E1041" s="31" t="s">
        <v>4055</v>
      </c>
      <c r="F1041" s="24" t="s">
        <v>4056</v>
      </c>
      <c r="G1041" s="31" t="str">
        <f t="shared" si="85"/>
        <v>004160 (Rumah Tangga untuk Keperluan yang Tidak Diklasifikasikan di Tempat Lain - Rumah Tangga Untuk Keperluan Multiguna Beragunan Apartemen Tipe  22  s.d 70)</v>
      </c>
      <c r="H1041" s="3"/>
      <c r="I1041" s="16" t="s">
        <v>4057</v>
      </c>
      <c r="J1041" s="52">
        <v>601235</v>
      </c>
      <c r="K1041" s="16" t="str">
        <f t="shared" si="86"/>
        <v>601235 (PT. BPR Talabumi Ekapersada)</v>
      </c>
    </row>
    <row r="1042" spans="1:11" ht="12.75" customHeight="1" x14ac:dyDescent="0.35">
      <c r="A1042" s="3"/>
      <c r="B1042" s="2"/>
      <c r="C1042" s="3"/>
      <c r="D1042" s="3"/>
      <c r="E1042" s="31" t="s">
        <v>4058</v>
      </c>
      <c r="F1042" s="24" t="s">
        <v>4059</v>
      </c>
      <c r="G1042" s="31" t="str">
        <f t="shared" si="85"/>
        <v>004170 (Rumah Tangga untuk Keperluan yang Tidak Diklasifikasikan di Tempat Lain - Rumah Tangga Untuk Keperluan Multiguna Beragunan Tipe  diatas 70)</v>
      </c>
      <c r="H1042" s="3"/>
      <c r="I1042" s="16" t="s">
        <v>4060</v>
      </c>
      <c r="J1042" s="52">
        <v>601237</v>
      </c>
      <c r="K1042" s="16" t="str">
        <f t="shared" si="86"/>
        <v>601237 (PT. BPR Pinasungkulan)</v>
      </c>
    </row>
    <row r="1043" spans="1:11" ht="12.75" customHeight="1" x14ac:dyDescent="0.35">
      <c r="A1043" s="3"/>
      <c r="B1043" s="2"/>
      <c r="C1043" s="3"/>
      <c r="D1043" s="3"/>
      <c r="E1043" s="31" t="s">
        <v>4061</v>
      </c>
      <c r="F1043" s="24" t="s">
        <v>4062</v>
      </c>
      <c r="G1043" s="31" t="str">
        <f t="shared" si="85"/>
        <v>004180 (Rumah Tangga untuk Keperluan yang Tidak Diklasifikasikan di Tempat Lain - Rumah Tangga Untuk Keperluan Multiguna Beragunan Ruko/Rukan)</v>
      </c>
      <c r="H1043" s="3"/>
      <c r="I1043" s="16" t="s">
        <v>4063</v>
      </c>
      <c r="J1043" s="52">
        <v>601238</v>
      </c>
      <c r="K1043" s="16" t="str">
        <f t="shared" si="86"/>
        <v>601238 (PT. BPR Cileungsi Krida Sejahtera)</v>
      </c>
    </row>
    <row r="1044" spans="1:11" ht="12.75" customHeight="1" x14ac:dyDescent="0.35">
      <c r="A1044" s="3"/>
      <c r="B1044" s="2"/>
      <c r="C1044" s="3"/>
      <c r="D1044" s="3"/>
      <c r="E1044" s="31" t="s">
        <v>4064</v>
      </c>
      <c r="F1044" s="24" t="s">
        <v>4065</v>
      </c>
      <c r="G1044" s="31" t="str">
        <f t="shared" si="85"/>
        <v>004190 (Rumah Tangga Untuk Keperluan Multiguna Lainnya)</v>
      </c>
      <c r="H1044" s="3"/>
      <c r="I1044" s="16" t="s">
        <v>4066</v>
      </c>
      <c r="J1044" s="52">
        <v>601239</v>
      </c>
      <c r="K1044" s="16" t="str">
        <f t="shared" si="86"/>
        <v>601239 (PT BPR Nasional Nusantara)</v>
      </c>
    </row>
    <row r="1045" spans="1:11" ht="12.75" customHeight="1" x14ac:dyDescent="0.35">
      <c r="A1045" s="3"/>
      <c r="B1045" s="2"/>
      <c r="C1045" s="3"/>
      <c r="D1045" s="3"/>
      <c r="E1045" s="282" t="s">
        <v>4067</v>
      </c>
      <c r="F1045" s="283" t="s">
        <v>4068</v>
      </c>
      <c r="G1045" s="282" t="str">
        <f t="shared" si="85"/>
        <v>004900 (Rumah Tangga Untuk Keperluan yang tidak diklasifikasikan di tempat lain)</v>
      </c>
      <c r="H1045" s="3"/>
      <c r="I1045" s="16" t="s">
        <v>4069</v>
      </c>
      <c r="J1045" s="52">
        <v>601240</v>
      </c>
      <c r="K1045" s="16" t="str">
        <f t="shared" si="86"/>
        <v>601240 (PT. BPR Nusantara Bona Pasogit 2)</v>
      </c>
    </row>
    <row r="1046" spans="1:11" ht="12.75" customHeight="1" x14ac:dyDescent="0.35">
      <c r="A1046" s="3"/>
      <c r="B1046" s="2"/>
      <c r="C1046" s="3"/>
      <c r="D1046" s="3"/>
      <c r="E1046" s="284" t="s">
        <v>4070</v>
      </c>
      <c r="F1046" s="285" t="s">
        <v>4071</v>
      </c>
      <c r="G1046" s="284" t="str">
        <f t="shared" si="85"/>
        <v>009000 (Bukan Lapangan Usaha Lainnya)</v>
      </c>
      <c r="H1046" s="3"/>
      <c r="I1046" s="16" t="s">
        <v>4072</v>
      </c>
      <c r="J1046" s="52">
        <v>601241</v>
      </c>
      <c r="K1046" s="16" t="str">
        <f t="shared" si="86"/>
        <v>601241 (PT. BPR Danaberkah Lestari)</v>
      </c>
    </row>
    <row r="1047" spans="1:11" ht="12.75" customHeight="1" x14ac:dyDescent="0.35">
      <c r="A1047" s="3"/>
      <c r="B1047" s="2"/>
      <c r="C1047" s="3"/>
      <c r="D1047" s="3"/>
      <c r="E1047" s="286" t="s">
        <v>6015</v>
      </c>
      <c r="F1047" s="287" t="s">
        <v>2922</v>
      </c>
      <c r="G1047" s="284" t="str">
        <f t="shared" si="85"/>
        <v>011110 (PERTANIAN JAGUNG)</v>
      </c>
      <c r="H1047" s="3"/>
      <c r="I1047" s="16" t="s">
        <v>4073</v>
      </c>
      <c r="J1047" s="52">
        <v>601243</v>
      </c>
      <c r="K1047" s="16" t="str">
        <f t="shared" si="86"/>
        <v>601243 (PT. BPR Niaga Mandiri)</v>
      </c>
    </row>
    <row r="1048" spans="1:11" ht="12.75" customHeight="1" x14ac:dyDescent="0.35">
      <c r="A1048" s="3"/>
      <c r="B1048" s="2"/>
      <c r="C1048" s="3"/>
      <c r="D1048" s="3"/>
      <c r="E1048" s="286" t="s">
        <v>6017</v>
      </c>
      <c r="F1048" s="287" t="s">
        <v>2949</v>
      </c>
      <c r="G1048" s="284" t="str">
        <f t="shared" si="85"/>
        <v>011130 (PERTANIAN KEDELAI)</v>
      </c>
      <c r="H1048" s="3"/>
      <c r="I1048" s="16" t="s">
        <v>4074</v>
      </c>
      <c r="J1048" s="52">
        <v>601244</v>
      </c>
      <c r="K1048" s="16" t="str">
        <f t="shared" si="86"/>
        <v>601244 (PT. BPR Polin Jaya)</v>
      </c>
    </row>
    <row r="1049" spans="1:11" ht="12.75" customHeight="1" x14ac:dyDescent="0.35">
      <c r="A1049" s="3"/>
      <c r="B1049" s="2"/>
      <c r="C1049" s="3"/>
      <c r="D1049" s="3"/>
      <c r="E1049" s="286" t="s">
        <v>6018</v>
      </c>
      <c r="F1049" s="287" t="s">
        <v>2953</v>
      </c>
      <c r="G1049" s="284" t="str">
        <f t="shared" si="85"/>
        <v>011140 (PERTANIAN KACANG DAN TANAH)</v>
      </c>
      <c r="H1049" s="3"/>
      <c r="I1049" s="16" t="s">
        <v>4075</v>
      </c>
      <c r="J1049" s="52">
        <v>601245</v>
      </c>
      <c r="K1049" s="16" t="str">
        <f t="shared" si="86"/>
        <v>601245 (PT. BPR Artha Bersama)</v>
      </c>
    </row>
    <row r="1050" spans="1:11" ht="12.75" customHeight="1" x14ac:dyDescent="0.35">
      <c r="A1050" s="3"/>
      <c r="B1050" s="2"/>
      <c r="C1050" s="3"/>
      <c r="D1050" s="3"/>
      <c r="E1050" s="288" t="s">
        <v>6019</v>
      </c>
      <c r="F1050" s="289" t="s">
        <v>3999</v>
      </c>
      <c r="G1050" s="284" t="str">
        <f t="shared" si="85"/>
        <v>001110 (RUMAH TANGGA UNTUK PEMILIKAN RUMAH TINGGAL S.D. TIPE 21)</v>
      </c>
      <c r="H1050" s="3"/>
      <c r="I1050" s="16" t="s">
        <v>4076</v>
      </c>
      <c r="J1050" s="52">
        <v>601246</v>
      </c>
      <c r="K1050" s="16" t="str">
        <f t="shared" si="86"/>
        <v>601246 (PT. BPR Karunia)</v>
      </c>
    </row>
    <row r="1051" spans="1:11" ht="12.75" customHeight="1" x14ac:dyDescent="0.35">
      <c r="A1051" s="3"/>
      <c r="B1051" s="2"/>
      <c r="C1051" s="3"/>
      <c r="D1051" s="3"/>
      <c r="H1051" s="3"/>
      <c r="I1051" s="16" t="s">
        <v>4077</v>
      </c>
      <c r="J1051" s="52">
        <v>601247</v>
      </c>
      <c r="K1051" s="16" t="str">
        <f t="shared" si="86"/>
        <v>601247 (PT. BPR Swadana Tridharma)</v>
      </c>
    </row>
    <row r="1052" spans="1:11" ht="12.75" customHeight="1" x14ac:dyDescent="0.35">
      <c r="A1052" s="3"/>
      <c r="B1052" s="2"/>
      <c r="C1052" s="3"/>
      <c r="D1052" s="3"/>
      <c r="H1052" s="3"/>
      <c r="I1052" s="16" t="s">
        <v>4078</v>
      </c>
      <c r="J1052" s="52">
        <v>601248</v>
      </c>
      <c r="K1052" s="16" t="str">
        <f t="shared" si="86"/>
        <v>601248 (PT. BPR Tutur Ganda)</v>
      </c>
    </row>
    <row r="1053" spans="1:11" ht="12.75" customHeight="1" x14ac:dyDescent="0.35">
      <c r="A1053" s="3"/>
      <c r="B1053" s="2"/>
      <c r="C1053" s="3"/>
      <c r="D1053" s="3"/>
      <c r="H1053" s="3"/>
      <c r="I1053" s="16" t="s">
        <v>4079</v>
      </c>
      <c r="J1053" s="52">
        <v>601249</v>
      </c>
      <c r="K1053" s="16" t="str">
        <f t="shared" si="86"/>
        <v>601249 (PT. BPR Sukma Kemang Agung)</v>
      </c>
    </row>
    <row r="1054" spans="1:11" ht="12.75" customHeight="1" x14ac:dyDescent="0.35">
      <c r="A1054" s="3"/>
      <c r="B1054" s="2"/>
      <c r="C1054" s="3"/>
      <c r="D1054" s="3"/>
      <c r="E1054" s="3"/>
      <c r="F1054" s="3"/>
      <c r="G1054" s="3"/>
      <c r="H1054" s="3"/>
      <c r="I1054" s="16" t="s">
        <v>4080</v>
      </c>
      <c r="J1054" s="52">
        <v>601252</v>
      </c>
      <c r="K1054" s="16" t="str">
        <f t="shared" si="86"/>
        <v>601252 (PT. BPR Citra Bersada Abadi)</v>
      </c>
    </row>
    <row r="1055" spans="1:11" ht="12.75" customHeight="1" x14ac:dyDescent="0.35">
      <c r="A1055" s="3"/>
      <c r="B1055" s="2"/>
      <c r="C1055" s="3"/>
      <c r="D1055" s="3"/>
      <c r="E1055" s="3"/>
      <c r="F1055" s="3"/>
      <c r="G1055" s="3"/>
      <c r="H1055" s="3"/>
      <c r="I1055" s="16" t="s">
        <v>4081</v>
      </c>
      <c r="J1055" s="52">
        <v>601254</v>
      </c>
      <c r="K1055" s="16" t="str">
        <f t="shared" si="86"/>
        <v>601254 (PT. BPR Gede Artaguna)</v>
      </c>
    </row>
    <row r="1056" spans="1:11" ht="12.75" customHeight="1" x14ac:dyDescent="0.35">
      <c r="A1056" s="3"/>
      <c r="B1056" s="2"/>
      <c r="C1056" s="3"/>
      <c r="D1056" s="3"/>
      <c r="E1056" s="3"/>
      <c r="F1056" s="3"/>
      <c r="G1056" s="3"/>
      <c r="H1056" s="3"/>
      <c r="I1056" s="16" t="s">
        <v>4082</v>
      </c>
      <c r="J1056" s="52">
        <v>601255</v>
      </c>
      <c r="K1056" s="16" t="str">
        <f t="shared" si="86"/>
        <v>601255 (PT. BPR Genades Putranindo)</v>
      </c>
    </row>
    <row r="1057" spans="1:11" ht="12.75" customHeight="1" x14ac:dyDescent="0.35">
      <c r="A1057" s="3"/>
      <c r="B1057" s="2"/>
      <c r="C1057" s="3"/>
      <c r="D1057" s="3"/>
      <c r="E1057" s="3"/>
      <c r="F1057" s="3"/>
      <c r="G1057" s="3"/>
      <c r="H1057" s="3"/>
      <c r="I1057" s="16" t="s">
        <v>4083</v>
      </c>
      <c r="J1057" s="52">
        <v>601256</v>
      </c>
      <c r="K1057" s="16" t="str">
        <f t="shared" si="86"/>
        <v>601256 (PT. BPR Bantoru Perintis)</v>
      </c>
    </row>
    <row r="1058" spans="1:11" ht="12.75" customHeight="1" x14ac:dyDescent="0.35">
      <c r="A1058" s="3"/>
      <c r="B1058" s="2"/>
      <c r="C1058" s="3"/>
      <c r="D1058" s="3"/>
      <c r="E1058" s="3"/>
      <c r="F1058" s="3"/>
      <c r="G1058" s="3"/>
      <c r="H1058" s="3"/>
      <c r="I1058" s="16" t="s">
        <v>4084</v>
      </c>
      <c r="J1058" s="52">
        <v>601257</v>
      </c>
      <c r="K1058" s="16" t="str">
        <f t="shared" si="86"/>
        <v>601257 (PT. BPR Prabu Mitra)</v>
      </c>
    </row>
    <row r="1059" spans="1:11" ht="12.75" customHeight="1" x14ac:dyDescent="0.35">
      <c r="A1059" s="3"/>
      <c r="B1059" s="2"/>
      <c r="C1059" s="3"/>
      <c r="D1059" s="3"/>
      <c r="E1059" s="3"/>
      <c r="F1059" s="3"/>
      <c r="G1059" s="3"/>
      <c r="H1059" s="3"/>
      <c r="I1059" s="16" t="s">
        <v>4085</v>
      </c>
      <c r="J1059" s="52">
        <v>601258</v>
      </c>
      <c r="K1059" s="16" t="str">
        <f t="shared" si="86"/>
        <v>601258 (PT. BPR Difobutama)</v>
      </c>
    </row>
    <row r="1060" spans="1:11" ht="12.75" customHeight="1" x14ac:dyDescent="0.35">
      <c r="A1060" s="3"/>
      <c r="B1060" s="2"/>
      <c r="C1060" s="3"/>
      <c r="D1060" s="3"/>
      <c r="E1060" s="3"/>
      <c r="F1060" s="3"/>
      <c r="G1060" s="3"/>
      <c r="H1060" s="3"/>
      <c r="I1060" s="16" t="s">
        <v>4086</v>
      </c>
      <c r="J1060" s="52">
        <v>601259</v>
      </c>
      <c r="K1060" s="16" t="str">
        <f t="shared" si="86"/>
        <v>601259 (PT BPR Fidusia Civitas)</v>
      </c>
    </row>
    <row r="1061" spans="1:11" ht="12.75" customHeight="1" x14ac:dyDescent="0.35">
      <c r="I1061" s="16" t="s">
        <v>4087</v>
      </c>
      <c r="J1061" s="52">
        <v>601260</v>
      </c>
      <c r="K1061" s="16" t="str">
        <f t="shared" si="86"/>
        <v>601260 (PT. BPR Sarana Utama Multidana)</v>
      </c>
    </row>
    <row r="1062" spans="1:11" ht="12.75" customHeight="1" x14ac:dyDescent="0.35">
      <c r="I1062" s="16" t="s">
        <v>4088</v>
      </c>
      <c r="J1062" s="52">
        <v>601261</v>
      </c>
      <c r="K1062" s="16" t="str">
        <f t="shared" si="86"/>
        <v>601261 (PT. BPR Pularta Mandiri)</v>
      </c>
    </row>
    <row r="1063" spans="1:11" ht="12.75" customHeight="1" x14ac:dyDescent="0.35">
      <c r="I1063" s="16" t="s">
        <v>4089</v>
      </c>
      <c r="J1063" s="52">
        <v>601262</v>
      </c>
      <c r="K1063" s="16" t="str">
        <f t="shared" si="86"/>
        <v>601262 (PT. BPR Dana Lestari)</v>
      </c>
    </row>
    <row r="1064" spans="1:11" ht="12.75" customHeight="1" x14ac:dyDescent="0.35">
      <c r="I1064" s="16" t="s">
        <v>4090</v>
      </c>
      <c r="J1064" s="52">
        <v>601263</v>
      </c>
      <c r="K1064" s="16" t="str">
        <f t="shared" si="86"/>
        <v>601263 (PT. BPR Danasari Persada)</v>
      </c>
    </row>
    <row r="1065" spans="1:11" ht="12.75" customHeight="1" x14ac:dyDescent="0.35">
      <c r="I1065" s="16" t="s">
        <v>4091</v>
      </c>
      <c r="J1065" s="52">
        <v>601264</v>
      </c>
      <c r="K1065" s="16" t="str">
        <f t="shared" si="86"/>
        <v>601264 (PT. BPR Arthamutiara Permai)</v>
      </c>
    </row>
    <row r="1066" spans="1:11" ht="12.75" customHeight="1" x14ac:dyDescent="0.35">
      <c r="I1066" s="16" t="s">
        <v>4092</v>
      </c>
      <c r="J1066" s="52">
        <v>601265</v>
      </c>
      <c r="K1066" s="16" t="str">
        <f t="shared" si="86"/>
        <v>601265 (PT. BPR Cahaya Arthasejati)</v>
      </c>
    </row>
    <row r="1067" spans="1:11" ht="12.75" customHeight="1" x14ac:dyDescent="0.35">
      <c r="I1067" s="16" t="s">
        <v>4093</v>
      </c>
      <c r="J1067" s="52">
        <v>601266</v>
      </c>
      <c r="K1067" s="16" t="str">
        <f t="shared" si="86"/>
        <v>601266 (PT. BPR Mutiara Jaya Sukses)</v>
      </c>
    </row>
    <row r="1068" spans="1:11" ht="12.75" customHeight="1" x14ac:dyDescent="0.35">
      <c r="I1068" s="16" t="s">
        <v>4094</v>
      </c>
      <c r="J1068" s="52">
        <v>601267</v>
      </c>
      <c r="K1068" s="16" t="str">
        <f t="shared" si="86"/>
        <v>601267 (PT. BPR Markoni Saranajaya)</v>
      </c>
    </row>
    <row r="1069" spans="1:11" ht="12.75" customHeight="1" x14ac:dyDescent="0.35">
      <c r="I1069" s="16" t="s">
        <v>4095</v>
      </c>
      <c r="J1069" s="52">
        <v>601268</v>
      </c>
      <c r="K1069" s="16" t="str">
        <f t="shared" si="86"/>
        <v>601268 (PT. BPR Tata Asia)</v>
      </c>
    </row>
    <row r="1070" spans="1:11" ht="12.75" customHeight="1" x14ac:dyDescent="0.35">
      <c r="I1070" s="16" t="s">
        <v>4096</v>
      </c>
      <c r="J1070" s="52">
        <v>601269</v>
      </c>
      <c r="K1070" s="16" t="str">
        <f t="shared" si="86"/>
        <v>601269 (PT. BPR Mitra Karya)</v>
      </c>
    </row>
    <row r="1071" spans="1:11" ht="12.75" customHeight="1" x14ac:dyDescent="0.35">
      <c r="I1071" s="16" t="s">
        <v>4097</v>
      </c>
      <c r="J1071" s="52">
        <v>601270</v>
      </c>
      <c r="K1071" s="16" t="str">
        <f t="shared" si="86"/>
        <v>601270 (PT. BPR Artharindo)</v>
      </c>
    </row>
    <row r="1072" spans="1:11" ht="12.75" customHeight="1" x14ac:dyDescent="0.35">
      <c r="I1072" s="16" t="s">
        <v>4098</v>
      </c>
      <c r="J1072" s="52">
        <v>601271</v>
      </c>
      <c r="K1072" s="16" t="str">
        <f t="shared" si="86"/>
        <v>601271 (PT. BPR Karinamas Permai)</v>
      </c>
    </row>
    <row r="1073" spans="9:11" ht="12.75" customHeight="1" x14ac:dyDescent="0.35">
      <c r="I1073" s="16" t="s">
        <v>4099</v>
      </c>
      <c r="J1073" s="52">
        <v>601272</v>
      </c>
      <c r="K1073" s="16" t="str">
        <f t="shared" si="86"/>
        <v>601272 (PT. BPR Aditama Arta)</v>
      </c>
    </row>
    <row r="1074" spans="9:11" ht="12.75" customHeight="1" x14ac:dyDescent="0.35">
      <c r="I1074" s="16" t="s">
        <v>4100</v>
      </c>
      <c r="J1074" s="52">
        <v>601274</v>
      </c>
      <c r="K1074" s="16" t="str">
        <f t="shared" si="86"/>
        <v>601274 (PT. BPR Usaha Rakyat)</v>
      </c>
    </row>
    <row r="1075" spans="9:11" ht="12.75" customHeight="1" x14ac:dyDescent="0.35">
      <c r="I1075" s="16" t="s">
        <v>4101</v>
      </c>
      <c r="J1075" s="52">
        <v>601275</v>
      </c>
      <c r="K1075" s="16" t="str">
        <f t="shared" si="86"/>
        <v>601275 (PT. BPR Kranji Krida Sejahtera)</v>
      </c>
    </row>
    <row r="1076" spans="9:11" ht="12.75" customHeight="1" x14ac:dyDescent="0.35">
      <c r="I1076" s="16" t="s">
        <v>4102</v>
      </c>
      <c r="J1076" s="52">
        <v>601276</v>
      </c>
      <c r="K1076" s="16" t="str">
        <f t="shared" si="86"/>
        <v>601276 (PT. BPR Bangun Mitra Wadas)</v>
      </c>
    </row>
    <row r="1077" spans="9:11" ht="12.75" customHeight="1" x14ac:dyDescent="0.35">
      <c r="I1077" s="16" t="s">
        <v>4103</v>
      </c>
      <c r="J1077" s="52">
        <v>601277</v>
      </c>
      <c r="K1077" s="16" t="str">
        <f t="shared" si="86"/>
        <v>601277 (PT. BPR Timika Dinamika Sarana)</v>
      </c>
    </row>
    <row r="1078" spans="9:11" ht="12.75" customHeight="1" x14ac:dyDescent="0.35">
      <c r="I1078" s="16" t="s">
        <v>4104</v>
      </c>
      <c r="J1078" s="52">
        <v>601278</v>
      </c>
      <c r="K1078" s="16" t="str">
        <f t="shared" si="86"/>
        <v>601278 (PT. BPR Sekar)</v>
      </c>
    </row>
    <row r="1079" spans="9:11" ht="12.75" customHeight="1" x14ac:dyDescent="0.35">
      <c r="I1079" s="16" t="s">
        <v>4105</v>
      </c>
      <c r="J1079" s="52">
        <v>601279</v>
      </c>
      <c r="K1079" s="16" t="str">
        <f t="shared" si="86"/>
        <v>601279 (PT. BPR Darmawan Adhiguna Lestari)</v>
      </c>
    </row>
    <row r="1080" spans="9:11" ht="12.75" customHeight="1" x14ac:dyDescent="0.35">
      <c r="I1080" s="16" t="s">
        <v>4106</v>
      </c>
      <c r="J1080" s="52">
        <v>601280</v>
      </c>
      <c r="K1080" s="16" t="str">
        <f t="shared" si="86"/>
        <v>601280 (PT BPR Nusantara Bona Pasogit 12)</v>
      </c>
    </row>
    <row r="1081" spans="9:11" ht="12.75" customHeight="1" x14ac:dyDescent="0.35">
      <c r="I1081" s="16" t="s">
        <v>4107</v>
      </c>
      <c r="J1081" s="52">
        <v>601281</v>
      </c>
      <c r="K1081" s="16" t="str">
        <f t="shared" si="86"/>
        <v>601281 (PT. BPR Alsaba Prima)</v>
      </c>
    </row>
    <row r="1082" spans="9:11" ht="12.75" customHeight="1" x14ac:dyDescent="0.35">
      <c r="I1082" s="16" t="s">
        <v>4108</v>
      </c>
      <c r="J1082" s="52">
        <v>601283</v>
      </c>
      <c r="K1082" s="16" t="str">
        <f t="shared" si="86"/>
        <v>601283 (PT. BPR Cakra Danarta)</v>
      </c>
    </row>
    <row r="1083" spans="9:11" ht="12.75" customHeight="1" x14ac:dyDescent="0.35">
      <c r="I1083" s="16" t="s">
        <v>4109</v>
      </c>
      <c r="J1083" s="52">
        <v>601284</v>
      </c>
      <c r="K1083" s="16" t="str">
        <f t="shared" si="86"/>
        <v>601284 (PT BPR Artha Mitra Kencana)</v>
      </c>
    </row>
    <row r="1084" spans="9:11" ht="12.75" customHeight="1" x14ac:dyDescent="0.35">
      <c r="I1084" s="16" t="s">
        <v>4110</v>
      </c>
      <c r="J1084" s="52">
        <v>601285</v>
      </c>
      <c r="K1084" s="16" t="str">
        <f t="shared" si="86"/>
        <v>601285 (PT. BPR Central Artha Rezeki)</v>
      </c>
    </row>
    <row r="1085" spans="9:11" ht="12.75" customHeight="1" x14ac:dyDescent="0.35">
      <c r="I1085" s="16" t="s">
        <v>4111</v>
      </c>
      <c r="J1085" s="52">
        <v>601286</v>
      </c>
      <c r="K1085" s="16" t="str">
        <f t="shared" si="86"/>
        <v>601286 (PT. BPR Datagita Mustika)</v>
      </c>
    </row>
    <row r="1086" spans="9:11" ht="12.75" customHeight="1" x14ac:dyDescent="0.35">
      <c r="I1086" s="16" t="s">
        <v>4112</v>
      </c>
      <c r="J1086" s="52">
        <v>601287</v>
      </c>
      <c r="K1086" s="16" t="str">
        <f t="shared" si="86"/>
        <v>601287 (PT. BPR Tricipta Mandiri)</v>
      </c>
    </row>
    <row r="1087" spans="9:11" ht="12.75" customHeight="1" x14ac:dyDescent="0.35">
      <c r="I1087" s="16" t="s">
        <v>4113</v>
      </c>
      <c r="J1087" s="52">
        <v>601288</v>
      </c>
      <c r="K1087" s="16" t="str">
        <f t="shared" si="86"/>
        <v>601288 (PT. BPR Sumber Pangasean)</v>
      </c>
    </row>
    <row r="1088" spans="9:11" ht="12.75" customHeight="1" x14ac:dyDescent="0.35">
      <c r="I1088" s="16" t="s">
        <v>4114</v>
      </c>
      <c r="J1088" s="52">
        <v>601289</v>
      </c>
      <c r="K1088" s="16" t="str">
        <f t="shared" si="86"/>
        <v>601289 (PT BPR Bahtera Masyarakat Papua )</v>
      </c>
    </row>
    <row r="1089" spans="9:11" ht="12.75" customHeight="1" x14ac:dyDescent="0.35">
      <c r="I1089" s="16" t="s">
        <v>4115</v>
      </c>
      <c r="J1089" s="52">
        <v>601290</v>
      </c>
      <c r="K1089" s="16" t="str">
        <f t="shared" si="86"/>
        <v>601290 (PT BPR Mitra Sejahtera Lestari)</v>
      </c>
    </row>
    <row r="1090" spans="9:11" ht="12.75" customHeight="1" x14ac:dyDescent="0.35">
      <c r="I1090" s="16" t="s">
        <v>4116</v>
      </c>
      <c r="J1090" s="52">
        <v>601291</v>
      </c>
      <c r="K1090" s="16" t="str">
        <f t="shared" si="86"/>
        <v>601291 (PT. BPR Arta Jakarta)</v>
      </c>
    </row>
    <row r="1091" spans="9:11" ht="12.75" customHeight="1" x14ac:dyDescent="0.35">
      <c r="I1091" s="16" t="s">
        <v>4117</v>
      </c>
      <c r="J1091" s="52">
        <v>601292</v>
      </c>
      <c r="K1091" s="16" t="str">
        <f t="shared" si="86"/>
        <v>601292 (PT. BPR Hosing Jaya)</v>
      </c>
    </row>
    <row r="1092" spans="9:11" ht="12.75" customHeight="1" x14ac:dyDescent="0.35">
      <c r="I1092" s="16" t="s">
        <v>4118</v>
      </c>
      <c r="J1092" s="52">
        <v>601293</v>
      </c>
      <c r="K1092" s="16" t="str">
        <f t="shared" si="86"/>
        <v>601293 (PT. BPR Kreo Lestari)</v>
      </c>
    </row>
    <row r="1093" spans="9:11" ht="12.75" customHeight="1" x14ac:dyDescent="0.35">
      <c r="I1093" s="16" t="s">
        <v>4119</v>
      </c>
      <c r="J1093" s="52">
        <v>601294</v>
      </c>
      <c r="K1093" s="16" t="str">
        <f t="shared" si="86"/>
        <v>601294 (PT. BPR Trisurya Binaartha)</v>
      </c>
    </row>
    <row r="1094" spans="9:11" ht="12.75" customHeight="1" x14ac:dyDescent="0.35">
      <c r="I1094" s="16" t="s">
        <v>4120</v>
      </c>
      <c r="J1094" s="52">
        <v>601295</v>
      </c>
      <c r="K1094" s="16" t="str">
        <f t="shared" si="86"/>
        <v>601295 (PT BPR Vinski Mukti Arta)</v>
      </c>
    </row>
    <row r="1095" spans="9:11" ht="12.75" customHeight="1" x14ac:dyDescent="0.35">
      <c r="I1095" s="16" t="s">
        <v>4121</v>
      </c>
      <c r="J1095" s="52">
        <v>601296</v>
      </c>
      <c r="K1095" s="16" t="str">
        <f t="shared" si="86"/>
        <v>601296 (PT BPR Mitra Daya Mandiri)</v>
      </c>
    </row>
    <row r="1096" spans="9:11" ht="12.75" customHeight="1" x14ac:dyDescent="0.35">
      <c r="I1096" s="16" t="s">
        <v>4122</v>
      </c>
      <c r="J1096" s="52">
        <v>601298</v>
      </c>
      <c r="K1096" s="16" t="str">
        <f t="shared" si="86"/>
        <v>601298 (PT. BPR Bina Dian Citra)</v>
      </c>
    </row>
    <row r="1097" spans="9:11" ht="12.75" customHeight="1" x14ac:dyDescent="0.35">
      <c r="I1097" s="16" t="s">
        <v>4123</v>
      </c>
      <c r="J1097" s="52">
        <v>601299</v>
      </c>
      <c r="K1097" s="16" t="str">
        <f t="shared" si="86"/>
        <v>601299 (PT. BPR Artadamas Mandiri)</v>
      </c>
    </row>
    <row r="1098" spans="9:11" ht="12.75" customHeight="1" x14ac:dyDescent="0.35">
      <c r="I1098" s="16" t="s">
        <v>4124</v>
      </c>
      <c r="J1098" s="52">
        <v>601300</v>
      </c>
      <c r="K1098" s="16" t="str">
        <f t="shared" si="86"/>
        <v>601300 (PT. BPR Rifi Maligi)</v>
      </c>
    </row>
    <row r="1099" spans="9:11" ht="12.75" customHeight="1" x14ac:dyDescent="0.35">
      <c r="I1099" s="16" t="s">
        <v>4125</v>
      </c>
      <c r="J1099" s="52">
        <v>601301</v>
      </c>
      <c r="K1099" s="16" t="str">
        <f t="shared" si="86"/>
        <v>601301 (PT. BPR Sehat Sejahtera)</v>
      </c>
    </row>
    <row r="1100" spans="9:11" ht="12.75" customHeight="1" x14ac:dyDescent="0.35">
      <c r="I1100" s="16" t="s">
        <v>4126</v>
      </c>
      <c r="J1100" s="52">
        <v>601302</v>
      </c>
      <c r="K1100" s="16" t="str">
        <f t="shared" si="86"/>
        <v>601302 (PT BPR Gamon)</v>
      </c>
    </row>
    <row r="1101" spans="9:11" ht="12.75" customHeight="1" x14ac:dyDescent="0.35">
      <c r="I1101" s="16" t="s">
        <v>4127</v>
      </c>
      <c r="J1101" s="52">
        <v>601303</v>
      </c>
      <c r="K1101" s="16" t="str">
        <f t="shared" si="86"/>
        <v>601303 (PT BPR Surya Kencana)</v>
      </c>
    </row>
    <row r="1102" spans="9:11" ht="12.75" customHeight="1" x14ac:dyDescent="0.35">
      <c r="I1102" s="16" t="s">
        <v>4128</v>
      </c>
      <c r="J1102" s="52">
        <v>601305</v>
      </c>
      <c r="K1102" s="16" t="str">
        <f t="shared" si="86"/>
        <v>601305 (PT. BPR Berfasi Raharja)</v>
      </c>
    </row>
    <row r="1103" spans="9:11" ht="12.75" customHeight="1" x14ac:dyDescent="0.35">
      <c r="I1103" s="16" t="s">
        <v>4129</v>
      </c>
      <c r="J1103" s="52">
        <v>601306</v>
      </c>
      <c r="K1103" s="16" t="str">
        <f t="shared" si="86"/>
        <v>601306 (PT. BPR Bekasi Binatanjung Makmur)</v>
      </c>
    </row>
    <row r="1104" spans="9:11" ht="12.75" customHeight="1" x14ac:dyDescent="0.35">
      <c r="I1104" s="16" t="s">
        <v>4130</v>
      </c>
      <c r="J1104" s="52">
        <v>601307</v>
      </c>
      <c r="K1104" s="16" t="str">
        <f t="shared" si="86"/>
        <v>601307 (PT. BPR Cibitung Tanjungraya)</v>
      </c>
    </row>
    <row r="1105" spans="9:11" ht="12.75" customHeight="1" x14ac:dyDescent="0.35">
      <c r="I1105" s="16" t="s">
        <v>4131</v>
      </c>
      <c r="J1105" s="52">
        <v>601308</v>
      </c>
      <c r="K1105" s="16" t="str">
        <f t="shared" si="86"/>
        <v>601308 (PT. BPR Varia Central Artha)</v>
      </c>
    </row>
    <row r="1106" spans="9:11" ht="12.75" customHeight="1" x14ac:dyDescent="0.35">
      <c r="I1106" s="16" t="s">
        <v>4132</v>
      </c>
      <c r="J1106" s="52">
        <v>601309</v>
      </c>
      <c r="K1106" s="16" t="str">
        <f t="shared" si="86"/>
        <v>601309 (PT. BPR Arta Pundi Mekar)</v>
      </c>
    </row>
    <row r="1107" spans="9:11" ht="12.75" customHeight="1" x14ac:dyDescent="0.35">
      <c r="I1107" s="16" t="s">
        <v>4133</v>
      </c>
      <c r="J1107" s="52">
        <v>601310</v>
      </c>
      <c r="K1107" s="16" t="str">
        <f t="shared" si="86"/>
        <v>601310 (PT. BPR Duta Pakuan Mandiri)</v>
      </c>
    </row>
    <row r="1108" spans="9:11" ht="12.75" customHeight="1" x14ac:dyDescent="0.35">
      <c r="I1108" s="16" t="s">
        <v>4134</v>
      </c>
      <c r="J1108" s="52">
        <v>601311</v>
      </c>
      <c r="K1108" s="16" t="str">
        <f t="shared" si="86"/>
        <v>601311 (PT. BPR Sumber Lumbanmual)</v>
      </c>
    </row>
    <row r="1109" spans="9:11" ht="12.75" customHeight="1" x14ac:dyDescent="0.35">
      <c r="I1109" s="16" t="s">
        <v>4135</v>
      </c>
      <c r="J1109" s="52">
        <v>601312</v>
      </c>
      <c r="K1109" s="16" t="str">
        <f t="shared" si="86"/>
        <v>601312 (PT. BPR Bumidhana Adigraha)</v>
      </c>
    </row>
    <row r="1110" spans="9:11" ht="12.75" customHeight="1" x14ac:dyDescent="0.35">
      <c r="I1110" s="16" t="s">
        <v>4136</v>
      </c>
      <c r="J1110" s="52">
        <v>601314</v>
      </c>
      <c r="K1110" s="16" t="str">
        <f t="shared" si="86"/>
        <v>601314 (PT. BPR Arthakelola Cahayatama)</v>
      </c>
    </row>
    <row r="1111" spans="9:11" ht="12.75" customHeight="1" x14ac:dyDescent="0.35">
      <c r="I1111" s="16" t="s">
        <v>4137</v>
      </c>
      <c r="J1111" s="52">
        <v>601315</v>
      </c>
      <c r="K1111" s="16" t="str">
        <f t="shared" si="86"/>
        <v>601315 (PT. BPR Prismaberlian Danarta)</v>
      </c>
    </row>
    <row r="1112" spans="9:11" ht="12.75" customHeight="1" x14ac:dyDescent="0.35">
      <c r="I1112" s="16" t="s">
        <v>4138</v>
      </c>
      <c r="J1112" s="52">
        <v>601316</v>
      </c>
      <c r="K1112" s="16" t="str">
        <f t="shared" si="86"/>
        <v>601316 (PT. BPR Dian Faraqo Gemilang)</v>
      </c>
    </row>
    <row r="1113" spans="9:11" ht="12.75" customHeight="1" x14ac:dyDescent="0.35">
      <c r="I1113" s="16" t="s">
        <v>4139</v>
      </c>
      <c r="J1113" s="52">
        <v>601317</v>
      </c>
      <c r="K1113" s="16" t="str">
        <f t="shared" si="86"/>
        <v>601317 (PT. BPR Bintara Pratama Sejahtera)</v>
      </c>
    </row>
    <row r="1114" spans="9:11" ht="12.75" customHeight="1" x14ac:dyDescent="0.35">
      <c r="I1114" s="16" t="s">
        <v>4140</v>
      </c>
      <c r="J1114" s="52">
        <v>601319</v>
      </c>
      <c r="K1114" s="16" t="str">
        <f t="shared" si="86"/>
        <v>601319 (PT. BPR Gracia Mandiri)</v>
      </c>
    </row>
    <row r="1115" spans="9:11" ht="12.75" customHeight="1" x14ac:dyDescent="0.35">
      <c r="I1115" s="16" t="s">
        <v>4141</v>
      </c>
      <c r="J1115" s="52">
        <v>601320</v>
      </c>
      <c r="K1115" s="16" t="str">
        <f t="shared" si="86"/>
        <v>601320 (PT. BPR Sinar Mitra Sejahtera)</v>
      </c>
    </row>
    <row r="1116" spans="9:11" ht="12.75" customHeight="1" x14ac:dyDescent="0.35">
      <c r="I1116" s="16" t="s">
        <v>4142</v>
      </c>
      <c r="J1116" s="52">
        <v>601321</v>
      </c>
      <c r="K1116" s="16" t="str">
        <f t="shared" si="86"/>
        <v>601321 (PT. BPR Sumber Artha Rahayu)</v>
      </c>
    </row>
    <row r="1117" spans="9:11" ht="12.75" customHeight="1" x14ac:dyDescent="0.35">
      <c r="I1117" s="16" t="s">
        <v>4143</v>
      </c>
      <c r="J1117" s="52">
        <v>601322</v>
      </c>
      <c r="K1117" s="16" t="str">
        <f t="shared" si="86"/>
        <v>601322 (PT. BPR Laksana Binacilegon)</v>
      </c>
    </row>
    <row r="1118" spans="9:11" ht="12.75" customHeight="1" x14ac:dyDescent="0.35">
      <c r="I1118" s="16" t="s">
        <v>4144</v>
      </c>
      <c r="J1118" s="52">
        <v>601323</v>
      </c>
      <c r="K1118" s="16" t="str">
        <f t="shared" si="86"/>
        <v>601323 (PT. BPR Laksana Binacimanggis)</v>
      </c>
    </row>
    <row r="1119" spans="9:11" ht="12.75" customHeight="1" x14ac:dyDescent="0.35">
      <c r="I1119" s="16" t="s">
        <v>4145</v>
      </c>
      <c r="J1119" s="52">
        <v>601325</v>
      </c>
      <c r="K1119" s="16" t="str">
        <f t="shared" si="86"/>
        <v>601325 (PT. BPR Laksana Lestari Serpong)</v>
      </c>
    </row>
    <row r="1120" spans="9:11" ht="12.75" customHeight="1" x14ac:dyDescent="0.35">
      <c r="I1120" s="16" t="s">
        <v>4146</v>
      </c>
      <c r="J1120" s="52">
        <v>601326</v>
      </c>
      <c r="K1120" s="16" t="str">
        <f t="shared" si="86"/>
        <v>601326 (PT. BPR Artha Niaga Finatama)</v>
      </c>
    </row>
    <row r="1121" spans="9:11" ht="12.75" customHeight="1" x14ac:dyDescent="0.35">
      <c r="I1121" s="16" t="s">
        <v>4147</v>
      </c>
      <c r="J1121" s="52">
        <v>601328</v>
      </c>
      <c r="K1121" s="16" t="str">
        <f t="shared" si="86"/>
        <v>601328 (PT. BPR Bumi Pendawa Raharja)</v>
      </c>
    </row>
    <row r="1122" spans="9:11" ht="12.75" customHeight="1" x14ac:dyDescent="0.35">
      <c r="I1122" s="16" t="s">
        <v>4148</v>
      </c>
      <c r="J1122" s="52">
        <v>601329</v>
      </c>
      <c r="K1122" s="16" t="str">
        <f t="shared" si="86"/>
        <v>601329 (PT. BPR Nata Citraperdana)</v>
      </c>
    </row>
    <row r="1123" spans="9:11" ht="12.75" customHeight="1" x14ac:dyDescent="0.35">
      <c r="I1123" s="16" t="s">
        <v>4149</v>
      </c>
      <c r="J1123" s="52">
        <v>601330</v>
      </c>
      <c r="K1123" s="16" t="str">
        <f t="shared" si="86"/>
        <v>601330 (PT. BPR Universal Karya Mandiri Puncak)</v>
      </c>
    </row>
    <row r="1124" spans="9:11" ht="12.75" customHeight="1" x14ac:dyDescent="0.35">
      <c r="I1124" s="16" t="s">
        <v>4150</v>
      </c>
      <c r="J1124" s="52">
        <v>601331</v>
      </c>
      <c r="K1124" s="16" t="str">
        <f t="shared" si="86"/>
        <v>601331 (PT. BPR Pamanukan Bangunarta)</v>
      </c>
    </row>
    <row r="1125" spans="9:11" ht="12.75" customHeight="1" x14ac:dyDescent="0.35">
      <c r="I1125" s="16" t="s">
        <v>4151</v>
      </c>
      <c r="J1125" s="52">
        <v>601332</v>
      </c>
      <c r="K1125" s="16" t="str">
        <f t="shared" si="86"/>
        <v>601332 (PT. BPR Artha Gandita)</v>
      </c>
    </row>
    <row r="1126" spans="9:11" ht="12.75" customHeight="1" x14ac:dyDescent="0.35">
      <c r="I1126" s="16" t="s">
        <v>4152</v>
      </c>
      <c r="J1126" s="52">
        <v>601333</v>
      </c>
      <c r="K1126" s="16" t="str">
        <f t="shared" si="86"/>
        <v>601333 (PT. BPR Kertamulia)</v>
      </c>
    </row>
    <row r="1127" spans="9:11" ht="12.75" customHeight="1" x14ac:dyDescent="0.35">
      <c r="I1127" s="16" t="s">
        <v>4153</v>
      </c>
      <c r="J1127" s="52">
        <v>601335</v>
      </c>
      <c r="K1127" s="16" t="str">
        <f t="shared" si="86"/>
        <v>601335 (PT. BPR Bumi Bandung Kencana)</v>
      </c>
    </row>
    <row r="1128" spans="9:11" ht="12.75" customHeight="1" x14ac:dyDescent="0.35">
      <c r="I1128" s="16" t="s">
        <v>4154</v>
      </c>
      <c r="J1128" s="52">
        <v>601336</v>
      </c>
      <c r="K1128" s="16" t="str">
        <f t="shared" si="86"/>
        <v>601336 (PT. BPR Pangandaran)</v>
      </c>
    </row>
    <row r="1129" spans="9:11" ht="12.75" customHeight="1" x14ac:dyDescent="0.35">
      <c r="I1129" s="16" t="s">
        <v>4155</v>
      </c>
      <c r="J1129" s="52">
        <v>601337</v>
      </c>
      <c r="K1129" s="16" t="str">
        <f t="shared" si="86"/>
        <v>601337 (PT. BPR Pola Dana)</v>
      </c>
    </row>
    <row r="1130" spans="9:11" ht="12.75" customHeight="1" x14ac:dyDescent="0.35">
      <c r="I1130" s="16" t="s">
        <v>4156</v>
      </c>
      <c r="J1130" s="52">
        <v>601338</v>
      </c>
      <c r="K1130" s="16" t="str">
        <f t="shared" si="86"/>
        <v>601338 (PT. BPR Dipon Sejahtera)</v>
      </c>
    </row>
    <row r="1131" spans="9:11" ht="12.75" customHeight="1" x14ac:dyDescent="0.35">
      <c r="I1131" s="16" t="s">
        <v>4157</v>
      </c>
      <c r="J1131" s="52">
        <v>601339</v>
      </c>
      <c r="K1131" s="16" t="str">
        <f t="shared" si="86"/>
        <v>601339 (PT. BPR Mustika Permai)</v>
      </c>
    </row>
    <row r="1132" spans="9:11" ht="12.75" customHeight="1" x14ac:dyDescent="0.35">
      <c r="I1132" s="16" t="s">
        <v>4158</v>
      </c>
      <c r="J1132" s="52">
        <v>601340</v>
      </c>
      <c r="K1132" s="16" t="str">
        <f t="shared" si="86"/>
        <v>601340 (PT. BPR Permata Dhanawira)</v>
      </c>
    </row>
    <row r="1133" spans="9:11" ht="12.75" customHeight="1" x14ac:dyDescent="0.35">
      <c r="I1133" s="16" t="s">
        <v>4159</v>
      </c>
      <c r="J1133" s="52">
        <v>601341</v>
      </c>
      <c r="K1133" s="16" t="str">
        <f t="shared" si="86"/>
        <v>601341 (PT. BPR Dhanagung Karang Ampel)</v>
      </c>
    </row>
    <row r="1134" spans="9:11" ht="12.75" customHeight="1" x14ac:dyDescent="0.35">
      <c r="I1134" s="16" t="s">
        <v>4160</v>
      </c>
      <c r="J1134" s="52">
        <v>601342</v>
      </c>
      <c r="K1134" s="16" t="str">
        <f t="shared" si="86"/>
        <v>601342 (PT BPR Nusantara Bona Pasogit 11)</v>
      </c>
    </row>
    <row r="1135" spans="9:11" ht="12.75" customHeight="1" x14ac:dyDescent="0.35">
      <c r="I1135" s="16" t="s">
        <v>4161</v>
      </c>
      <c r="J1135" s="52">
        <v>601343</v>
      </c>
      <c r="K1135" s="16" t="str">
        <f t="shared" si="86"/>
        <v>601343 (PT. BPR Mangun Pundiyasa)</v>
      </c>
    </row>
    <row r="1136" spans="9:11" ht="12.75" customHeight="1" x14ac:dyDescent="0.35">
      <c r="I1136" s="16" t="s">
        <v>4162</v>
      </c>
      <c r="J1136" s="52">
        <v>601345</v>
      </c>
      <c r="K1136" s="16" t="str">
        <f t="shared" si="86"/>
        <v>601345 (PT. BPR Bahtera Masyarakat Jabar)</v>
      </c>
    </row>
    <row r="1137" spans="9:11" ht="12.75" customHeight="1" x14ac:dyDescent="0.35">
      <c r="I1137" s="16" t="s">
        <v>4163</v>
      </c>
      <c r="J1137" s="52">
        <v>601346</v>
      </c>
      <c r="K1137" s="16" t="str">
        <f t="shared" si="86"/>
        <v>601346 (PT. BPR Emasnusantara Sentosa)</v>
      </c>
    </row>
    <row r="1138" spans="9:11" ht="12.75" customHeight="1" x14ac:dyDescent="0.35">
      <c r="I1138" s="16" t="s">
        <v>4164</v>
      </c>
      <c r="J1138" s="52">
        <v>601347</v>
      </c>
      <c r="K1138" s="16" t="str">
        <f t="shared" si="86"/>
        <v>601347 (PT. BPR Lexi Pratama Mandiri d/h Pradipt)</v>
      </c>
    </row>
    <row r="1139" spans="9:11" ht="12.75" customHeight="1" x14ac:dyDescent="0.35">
      <c r="I1139" s="16" t="s">
        <v>4165</v>
      </c>
      <c r="J1139" s="52">
        <v>601348</v>
      </c>
      <c r="K1139" s="16" t="str">
        <f t="shared" si="86"/>
        <v>601348 (PT BPR Sahabat Sejati)</v>
      </c>
    </row>
    <row r="1140" spans="9:11" ht="12.75" customHeight="1" x14ac:dyDescent="0.35">
      <c r="I1140" s="16" t="s">
        <v>4166</v>
      </c>
      <c r="J1140" s="52">
        <v>601349</v>
      </c>
      <c r="K1140" s="16" t="str">
        <f t="shared" si="86"/>
        <v>601349 (PT. BPR Sahat Sentosa)</v>
      </c>
    </row>
    <row r="1141" spans="9:11" ht="12.75" customHeight="1" x14ac:dyDescent="0.35">
      <c r="I1141" s="16" t="s">
        <v>4167</v>
      </c>
      <c r="J1141" s="52">
        <v>601350</v>
      </c>
      <c r="K1141" s="16" t="str">
        <f t="shared" si="86"/>
        <v>601350 (PT BPR Mitra Parahyangan)</v>
      </c>
    </row>
    <row r="1142" spans="9:11" ht="12.75" customHeight="1" x14ac:dyDescent="0.35">
      <c r="I1142" s="16" t="s">
        <v>4168</v>
      </c>
      <c r="J1142" s="52">
        <v>601351</v>
      </c>
      <c r="K1142" s="16" t="str">
        <f t="shared" si="86"/>
        <v>601351 (PT BPR Mulia Yuganta Indonesia)</v>
      </c>
    </row>
    <row r="1143" spans="9:11" ht="12.75" customHeight="1" x14ac:dyDescent="0.35">
      <c r="I1143" s="16" t="s">
        <v>4169</v>
      </c>
      <c r="J1143" s="52">
        <v>601352</v>
      </c>
      <c r="K1143" s="16" t="str">
        <f t="shared" si="86"/>
        <v>601352 (PT. BPR Banjar Arthasariguna)</v>
      </c>
    </row>
    <row r="1144" spans="9:11" ht="12.75" customHeight="1" x14ac:dyDescent="0.35">
      <c r="I1144" s="16" t="s">
        <v>4170</v>
      </c>
      <c r="J1144" s="52">
        <v>601353</v>
      </c>
      <c r="K1144" s="16" t="str">
        <f t="shared" si="86"/>
        <v>601353 (PT. BPR Mekar Adidana)</v>
      </c>
    </row>
    <row r="1145" spans="9:11" ht="12.75" customHeight="1" x14ac:dyDescent="0.35">
      <c r="I1145" s="16" t="s">
        <v>4171</v>
      </c>
      <c r="J1145" s="52">
        <v>601354</v>
      </c>
      <c r="K1145" s="16" t="str">
        <f t="shared" si="86"/>
        <v>601354 (PT. BPR Sarikusuma Surya)</v>
      </c>
    </row>
    <row r="1146" spans="9:11" ht="12.75" customHeight="1" x14ac:dyDescent="0.35">
      <c r="I1146" s="16" t="s">
        <v>4172</v>
      </c>
      <c r="J1146" s="52">
        <v>601356</v>
      </c>
      <c r="K1146" s="16" t="str">
        <f t="shared" si="86"/>
        <v>601356 (PT. BPR Mitra Kanaka Santosa)</v>
      </c>
    </row>
    <row r="1147" spans="9:11" ht="12.75" customHeight="1" x14ac:dyDescent="0.35">
      <c r="I1147" s="16" t="s">
        <v>4173</v>
      </c>
      <c r="J1147" s="52">
        <v>601357</v>
      </c>
      <c r="K1147" s="16" t="str">
        <f t="shared" si="86"/>
        <v>601357 (PT BPR Nusa)</v>
      </c>
    </row>
    <row r="1148" spans="9:11" ht="12.75" customHeight="1" x14ac:dyDescent="0.35">
      <c r="I1148" s="16" t="s">
        <v>4174</v>
      </c>
      <c r="J1148" s="52">
        <v>601358</v>
      </c>
      <c r="K1148" s="16" t="str">
        <f t="shared" si="86"/>
        <v>601358 (PT. BPR Jujur Arghadana)</v>
      </c>
    </row>
    <row r="1149" spans="9:11" ht="12.75" customHeight="1" x14ac:dyDescent="0.35">
      <c r="I1149" s="16" t="s">
        <v>4175</v>
      </c>
      <c r="J1149" s="52">
        <v>601359</v>
      </c>
      <c r="K1149" s="16" t="str">
        <f t="shared" si="86"/>
        <v>601359 (PT. BPR Supra Artapersada)</v>
      </c>
    </row>
    <row r="1150" spans="9:11" ht="12.75" customHeight="1" x14ac:dyDescent="0.35">
      <c r="I1150" s="16" t="s">
        <v>4176</v>
      </c>
      <c r="J1150" s="52">
        <v>601360</v>
      </c>
      <c r="K1150" s="16" t="str">
        <f t="shared" si="86"/>
        <v>601360 (PT. BPR Arthia Sere)</v>
      </c>
    </row>
    <row r="1151" spans="9:11" ht="12.75" customHeight="1" x14ac:dyDescent="0.35">
      <c r="I1151" s="16" t="s">
        <v>4177</v>
      </c>
      <c r="J1151" s="52">
        <v>601361</v>
      </c>
      <c r="K1151" s="16" t="str">
        <f t="shared" si="86"/>
        <v>601361 (PT. BPR Duta Pasundan)</v>
      </c>
    </row>
    <row r="1152" spans="9:11" ht="12.75" customHeight="1" x14ac:dyDescent="0.35">
      <c r="I1152" s="16" t="s">
        <v>4178</v>
      </c>
      <c r="J1152" s="52">
        <v>601362</v>
      </c>
      <c r="K1152" s="16" t="str">
        <f t="shared" si="86"/>
        <v>601362 (PT. BPR Lambang Ganda)</v>
      </c>
    </row>
    <row r="1153" spans="9:11" ht="12.75" customHeight="1" x14ac:dyDescent="0.35">
      <c r="I1153" s="16" t="s">
        <v>4179</v>
      </c>
      <c r="J1153" s="52">
        <v>601363</v>
      </c>
      <c r="K1153" s="16" t="str">
        <f t="shared" si="86"/>
        <v>601363 (PT. BPR Pundi Kencana Makmur)</v>
      </c>
    </row>
    <row r="1154" spans="9:11" ht="12.75" customHeight="1" x14ac:dyDescent="0.35">
      <c r="I1154" s="16" t="s">
        <v>4180</v>
      </c>
      <c r="J1154" s="52">
        <v>601364</v>
      </c>
      <c r="K1154" s="16" t="str">
        <f t="shared" si="86"/>
        <v>601364 (PT BPR Mitra Kopjaya Mandiri)</v>
      </c>
    </row>
    <row r="1155" spans="9:11" ht="12.75" customHeight="1" x14ac:dyDescent="0.35">
      <c r="I1155" s="16" t="s">
        <v>4181</v>
      </c>
      <c r="J1155" s="52">
        <v>601365</v>
      </c>
      <c r="K1155" s="16" t="str">
        <f t="shared" si="86"/>
        <v>601365 (PT. BPR Sumber Sibapudung)</v>
      </c>
    </row>
    <row r="1156" spans="9:11" ht="12.75" customHeight="1" x14ac:dyDescent="0.35">
      <c r="I1156" s="16" t="s">
        <v>4182</v>
      </c>
      <c r="J1156" s="52">
        <v>601366</v>
      </c>
      <c r="K1156" s="16" t="str">
        <f t="shared" si="86"/>
        <v>601366 (PT. BPR Bandung Kidul)</v>
      </c>
    </row>
    <row r="1157" spans="9:11" ht="12.75" customHeight="1" x14ac:dyDescent="0.35">
      <c r="I1157" s="16" t="s">
        <v>4183</v>
      </c>
      <c r="J1157" s="52">
        <v>601367</v>
      </c>
      <c r="K1157" s="16" t="str">
        <f t="shared" si="86"/>
        <v>601367 (PT. BPR Mranggen Mitrapersada)</v>
      </c>
    </row>
    <row r="1158" spans="9:11" ht="12.75" customHeight="1" x14ac:dyDescent="0.35">
      <c r="I1158" s="16" t="s">
        <v>4184</v>
      </c>
      <c r="J1158" s="52">
        <v>601368</v>
      </c>
      <c r="K1158" s="16" t="str">
        <f t="shared" si="86"/>
        <v>601368 (PT. BPR Setia Karib Abadi)</v>
      </c>
    </row>
    <row r="1159" spans="9:11" ht="12.75" customHeight="1" x14ac:dyDescent="0.35">
      <c r="I1159" s="16" t="s">
        <v>4185</v>
      </c>
      <c r="J1159" s="52">
        <v>601371</v>
      </c>
      <c r="K1159" s="16" t="str">
        <f t="shared" si="86"/>
        <v>601371 (PT. BPR Buana Artha Lestari)</v>
      </c>
    </row>
    <row r="1160" spans="9:11" ht="12.75" customHeight="1" x14ac:dyDescent="0.35">
      <c r="I1160" s="16" t="s">
        <v>4186</v>
      </c>
      <c r="J1160" s="52">
        <v>601372</v>
      </c>
      <c r="K1160" s="16" t="str">
        <f t="shared" si="86"/>
        <v>601372 (PT. BPR Kartasura Makmur)</v>
      </c>
    </row>
    <row r="1161" spans="9:11" ht="12.75" customHeight="1" x14ac:dyDescent="0.35">
      <c r="I1161" s="16" t="s">
        <v>4187</v>
      </c>
      <c r="J1161" s="52">
        <v>601373</v>
      </c>
      <c r="K1161" s="16" t="str">
        <f t="shared" si="86"/>
        <v>601373 (PT. BPR Artajaya Bhaktimulia)</v>
      </c>
    </row>
    <row r="1162" spans="9:11" ht="12.75" customHeight="1" x14ac:dyDescent="0.35">
      <c r="I1162" s="16" t="s">
        <v>4188</v>
      </c>
      <c r="J1162" s="52">
        <v>601374</v>
      </c>
      <c r="K1162" s="16" t="str">
        <f t="shared" si="86"/>
        <v>601374 (PT. BPR Surya Y.kencana)</v>
      </c>
    </row>
    <row r="1163" spans="9:11" ht="12.75" customHeight="1" x14ac:dyDescent="0.35">
      <c r="I1163" s="16" t="s">
        <v>4189</v>
      </c>
      <c r="J1163" s="52">
        <v>601375</v>
      </c>
      <c r="K1163" s="16" t="str">
        <f t="shared" si="86"/>
        <v>601375 (PD. BPR Artha Perwira)</v>
      </c>
    </row>
    <row r="1164" spans="9:11" ht="12.75" customHeight="1" x14ac:dyDescent="0.35">
      <c r="I1164" s="16" t="s">
        <v>4190</v>
      </c>
      <c r="J1164" s="52">
        <v>601376</v>
      </c>
      <c r="K1164" s="16" t="str">
        <f t="shared" si="86"/>
        <v>601376 (PT. BPR Delta Sidoarjo)</v>
      </c>
    </row>
    <row r="1165" spans="9:11" ht="12.75" customHeight="1" x14ac:dyDescent="0.35">
      <c r="I1165" s="16" t="s">
        <v>4191</v>
      </c>
      <c r="J1165" s="52">
        <v>601378</v>
      </c>
      <c r="K1165" s="16" t="str">
        <f t="shared" si="86"/>
        <v>601378 (PT. BPR Sabar Artha Prima)</v>
      </c>
    </row>
    <row r="1166" spans="9:11" ht="12.75" customHeight="1" x14ac:dyDescent="0.35">
      <c r="I1166" s="16" t="s">
        <v>4192</v>
      </c>
      <c r="J1166" s="52">
        <v>601380</v>
      </c>
      <c r="K1166" s="16" t="str">
        <f t="shared" si="86"/>
        <v>601380 (PT. BPR Berlian Bumi Arta)</v>
      </c>
    </row>
    <row r="1167" spans="9:11" ht="12.75" customHeight="1" x14ac:dyDescent="0.35">
      <c r="I1167" s="16" t="s">
        <v>4193</v>
      </c>
      <c r="J1167" s="52">
        <v>601383</v>
      </c>
      <c r="K1167" s="16" t="str">
        <f t="shared" si="86"/>
        <v>601383 (PT. BPR Arta Agung)</v>
      </c>
    </row>
    <row r="1168" spans="9:11" ht="12.75" customHeight="1" x14ac:dyDescent="0.35">
      <c r="I1168" s="16" t="s">
        <v>4194</v>
      </c>
      <c r="J1168" s="52">
        <v>601384</v>
      </c>
      <c r="K1168" s="16" t="str">
        <f t="shared" si="86"/>
        <v>601384 (PT. BPR Hidup Artha Putra)</v>
      </c>
    </row>
    <row r="1169" spans="9:11" ht="12.75" customHeight="1" x14ac:dyDescent="0.35">
      <c r="I1169" s="16" t="s">
        <v>4195</v>
      </c>
      <c r="J1169" s="52">
        <v>601385</v>
      </c>
      <c r="K1169" s="16" t="str">
        <f t="shared" si="86"/>
        <v>601385 (PT. BPR Mekar Nugraha Klepu)</v>
      </c>
    </row>
    <row r="1170" spans="9:11" ht="12.75" customHeight="1" x14ac:dyDescent="0.35">
      <c r="I1170" s="16" t="s">
        <v>4196</v>
      </c>
      <c r="J1170" s="52">
        <v>601386</v>
      </c>
      <c r="K1170" s="16" t="str">
        <f t="shared" si="86"/>
        <v>601386 (PT. BPR Artha Parama)</v>
      </c>
    </row>
    <row r="1171" spans="9:11" ht="12.75" customHeight="1" x14ac:dyDescent="0.35">
      <c r="I1171" s="16" t="s">
        <v>4197</v>
      </c>
      <c r="J1171" s="52">
        <v>601387</v>
      </c>
      <c r="K1171" s="16" t="str">
        <f t="shared" si="86"/>
        <v>601387 (PT BPR Dana Berkah Pusakatama)</v>
      </c>
    </row>
    <row r="1172" spans="9:11" ht="12.75" customHeight="1" x14ac:dyDescent="0.35">
      <c r="I1172" s="16" t="s">
        <v>4198</v>
      </c>
      <c r="J1172" s="52">
        <v>601388</v>
      </c>
      <c r="K1172" s="16" t="str">
        <f t="shared" si="86"/>
        <v>601388 (PT. BPR Artha Kramat)</v>
      </c>
    </row>
    <row r="1173" spans="9:11" ht="12.75" customHeight="1" x14ac:dyDescent="0.35">
      <c r="I1173" s="16" t="s">
        <v>4199</v>
      </c>
      <c r="J1173" s="52">
        <v>601389</v>
      </c>
      <c r="K1173" s="16" t="str">
        <f t="shared" si="86"/>
        <v>601389 (PT. BPR Lawu Artha)</v>
      </c>
    </row>
    <row r="1174" spans="9:11" ht="12.75" customHeight="1" x14ac:dyDescent="0.35">
      <c r="I1174" s="16" t="s">
        <v>4200</v>
      </c>
      <c r="J1174" s="52">
        <v>601390</v>
      </c>
      <c r="K1174" s="16" t="str">
        <f t="shared" si="86"/>
        <v>601390 (PT. BPR Kartadhani Mulya)</v>
      </c>
    </row>
    <row r="1175" spans="9:11" ht="12.75" customHeight="1" x14ac:dyDescent="0.35">
      <c r="I1175" s="16" t="s">
        <v>4201</v>
      </c>
      <c r="J1175" s="52">
        <v>601396</v>
      </c>
      <c r="K1175" s="16" t="str">
        <f t="shared" si="86"/>
        <v>601396 (PT BPR Satya Artha)</v>
      </c>
    </row>
    <row r="1176" spans="9:11" ht="12.75" customHeight="1" x14ac:dyDescent="0.35">
      <c r="I1176" s="16" t="s">
        <v>4202</v>
      </c>
      <c r="J1176" s="52">
        <v>601397</v>
      </c>
      <c r="K1176" s="16" t="str">
        <f t="shared" si="86"/>
        <v>601397 (PT. BPR Jateng)</v>
      </c>
    </row>
    <row r="1177" spans="9:11" ht="12.75" customHeight="1" x14ac:dyDescent="0.35">
      <c r="I1177" s="16" t="s">
        <v>4203</v>
      </c>
      <c r="J1177" s="52">
        <v>601399</v>
      </c>
      <c r="K1177" s="16" t="str">
        <f t="shared" si="86"/>
        <v>601399 (PT. BPR Danamitra Sejahtera)</v>
      </c>
    </row>
    <row r="1178" spans="9:11" ht="12.75" customHeight="1" x14ac:dyDescent="0.35">
      <c r="I1178" s="16" t="s">
        <v>4204</v>
      </c>
      <c r="J1178" s="52">
        <v>601400</v>
      </c>
      <c r="K1178" s="16" t="str">
        <f t="shared" si="86"/>
        <v>601400 (PT. BPR Tirta Danarta)</v>
      </c>
    </row>
    <row r="1179" spans="9:11" ht="12.75" customHeight="1" x14ac:dyDescent="0.35">
      <c r="I1179" s="16" t="s">
        <v>4205</v>
      </c>
      <c r="J1179" s="52">
        <v>601401</v>
      </c>
      <c r="K1179" s="16" t="str">
        <f t="shared" si="86"/>
        <v>601401 (PT. BPR Bumiayu Bangun Citra)</v>
      </c>
    </row>
    <row r="1180" spans="9:11" ht="12.75" customHeight="1" x14ac:dyDescent="0.35">
      <c r="I1180" s="16" t="s">
        <v>4206</v>
      </c>
      <c r="J1180" s="52">
        <v>601404</v>
      </c>
      <c r="K1180" s="16" t="str">
        <f t="shared" si="86"/>
        <v>601404 (PT. BPR Kartasura Saribumi)</v>
      </c>
    </row>
    <row r="1181" spans="9:11" ht="12.75" customHeight="1" x14ac:dyDescent="0.35">
      <c r="I1181" s="16" t="s">
        <v>4207</v>
      </c>
      <c r="J1181" s="52">
        <v>601408</v>
      </c>
      <c r="K1181" s="16" t="str">
        <f t="shared" si="86"/>
        <v>601408 (PT. BPR Sindu Adi)</v>
      </c>
    </row>
    <row r="1182" spans="9:11" ht="12.75" customHeight="1" x14ac:dyDescent="0.35">
      <c r="I1182" s="16" t="s">
        <v>4208</v>
      </c>
      <c r="J1182" s="52">
        <v>601410</v>
      </c>
      <c r="K1182" s="16" t="str">
        <f t="shared" si="86"/>
        <v>601410 (PD BPR Bank Purwa Artha)</v>
      </c>
    </row>
    <row r="1183" spans="9:11" ht="12.75" customHeight="1" x14ac:dyDescent="0.35">
      <c r="I1183" s="16" t="s">
        <v>4209</v>
      </c>
      <c r="J1183" s="52">
        <v>601411</v>
      </c>
      <c r="K1183" s="16" t="str">
        <f t="shared" si="86"/>
        <v>601411 (PT. BPR Dananta)</v>
      </c>
    </row>
    <row r="1184" spans="9:11" ht="12.75" customHeight="1" x14ac:dyDescent="0.35">
      <c r="I1184" s="16" t="s">
        <v>4210</v>
      </c>
      <c r="J1184" s="52">
        <v>601412</v>
      </c>
      <c r="K1184" s="16" t="str">
        <f t="shared" si="86"/>
        <v>601412 (PT. BPR Arthayasa Ageng)</v>
      </c>
    </row>
    <row r="1185" spans="9:11" ht="12.75" customHeight="1" x14ac:dyDescent="0.35">
      <c r="I1185" s="16" t="s">
        <v>4211</v>
      </c>
      <c r="J1185" s="52">
        <v>601414</v>
      </c>
      <c r="K1185" s="16" t="str">
        <f t="shared" si="86"/>
        <v>601414 (PT. BPR Gondangrejo)</v>
      </c>
    </row>
    <row r="1186" spans="9:11" ht="12.75" customHeight="1" x14ac:dyDescent="0.35">
      <c r="I1186" s="16" t="s">
        <v>4212</v>
      </c>
      <c r="J1186" s="52">
        <v>601415</v>
      </c>
      <c r="K1186" s="16" t="str">
        <f t="shared" si="86"/>
        <v>601415 (PT. BPR Bina Arta Swadaya Yogyakarta)</v>
      </c>
    </row>
    <row r="1187" spans="9:11" ht="12.75" customHeight="1" x14ac:dyDescent="0.35">
      <c r="I1187" s="16" t="s">
        <v>4213</v>
      </c>
      <c r="J1187" s="52">
        <v>601416</v>
      </c>
      <c r="K1187" s="16" t="str">
        <f t="shared" si="86"/>
        <v>601416 (PT. BPR Tawangmangu Jaya)</v>
      </c>
    </row>
    <row r="1188" spans="9:11" ht="12.75" customHeight="1" x14ac:dyDescent="0.35">
      <c r="I1188" s="16" t="s">
        <v>4214</v>
      </c>
      <c r="J1188" s="52">
        <v>601417</v>
      </c>
      <c r="K1188" s="16" t="str">
        <f t="shared" si="86"/>
        <v>601417 (PT. BPR Danarakyat Sentosa)</v>
      </c>
    </row>
    <row r="1189" spans="9:11" ht="12.75" customHeight="1" x14ac:dyDescent="0.35">
      <c r="I1189" s="16" t="s">
        <v>4215</v>
      </c>
      <c r="J1189" s="52">
        <v>601418</v>
      </c>
      <c r="K1189" s="16" t="str">
        <f t="shared" si="86"/>
        <v>601418 (PT BPR Mitra Pandanaran Mandiri)</v>
      </c>
    </row>
    <row r="1190" spans="9:11" ht="12.75" customHeight="1" x14ac:dyDescent="0.35">
      <c r="I1190" s="16" t="s">
        <v>4216</v>
      </c>
      <c r="J1190" s="52">
        <v>601419</v>
      </c>
      <c r="K1190" s="16" t="str">
        <f t="shared" si="86"/>
        <v>601419 (PT. BPR Gamping Artha Raya)</v>
      </c>
    </row>
    <row r="1191" spans="9:11" ht="12.75" customHeight="1" x14ac:dyDescent="0.35">
      <c r="I1191" s="16" t="s">
        <v>4217</v>
      </c>
      <c r="J1191" s="52">
        <v>601420</v>
      </c>
      <c r="K1191" s="16" t="str">
        <f t="shared" si="86"/>
        <v>601420 (PT BPR Mitra Budikusuma Mandiri)</v>
      </c>
    </row>
    <row r="1192" spans="9:11" ht="12.75" customHeight="1" x14ac:dyDescent="0.35">
      <c r="I1192" s="16" t="s">
        <v>4218</v>
      </c>
      <c r="J1192" s="52">
        <v>601421</v>
      </c>
      <c r="K1192" s="16" t="str">
        <f t="shared" si="86"/>
        <v>601421 (PT BPR Hartasarana)</v>
      </c>
    </row>
    <row r="1193" spans="9:11" ht="12.75" customHeight="1" x14ac:dyDescent="0.35">
      <c r="I1193" s="16" t="s">
        <v>4219</v>
      </c>
      <c r="J1193" s="52">
        <v>601423</v>
      </c>
      <c r="K1193" s="16" t="str">
        <f t="shared" si="86"/>
        <v>601423 (PT. BPR Karticentra Artha)</v>
      </c>
    </row>
    <row r="1194" spans="9:11" ht="12.75" customHeight="1" x14ac:dyDescent="0.35">
      <c r="I1194" s="16" t="s">
        <v>4220</v>
      </c>
      <c r="J1194" s="52">
        <v>601424</v>
      </c>
      <c r="K1194" s="16" t="str">
        <f t="shared" si="86"/>
        <v>601424 (PT. BPR Grogol Joyo)</v>
      </c>
    </row>
    <row r="1195" spans="9:11" ht="12.75" customHeight="1" x14ac:dyDescent="0.35">
      <c r="I1195" s="16" t="s">
        <v>4221</v>
      </c>
      <c r="J1195" s="52">
        <v>601425</v>
      </c>
      <c r="K1195" s="16" t="str">
        <f t="shared" si="86"/>
        <v>601425 (PD. BPR Giri Suka Dana)</v>
      </c>
    </row>
    <row r="1196" spans="9:11" ht="12.75" customHeight="1" x14ac:dyDescent="0.35">
      <c r="I1196" s="16" t="s">
        <v>4222</v>
      </c>
      <c r="J1196" s="52">
        <v>601426</v>
      </c>
      <c r="K1196" s="16" t="str">
        <f t="shared" si="86"/>
        <v>601426 (PT. BPR Mlati Pundi Artha)</v>
      </c>
    </row>
    <row r="1197" spans="9:11" ht="12.75" customHeight="1" x14ac:dyDescent="0.35">
      <c r="I1197" s="16" t="s">
        <v>4223</v>
      </c>
      <c r="J1197" s="52">
        <v>601427</v>
      </c>
      <c r="K1197" s="16" t="str">
        <f t="shared" si="86"/>
        <v>601427 (PT. BPR Sinar Garuda)</v>
      </c>
    </row>
    <row r="1198" spans="9:11" ht="12.75" customHeight="1" x14ac:dyDescent="0.35">
      <c r="I1198" s="16" t="s">
        <v>4224</v>
      </c>
      <c r="J1198" s="52">
        <v>601429</v>
      </c>
      <c r="K1198" s="16" t="str">
        <f t="shared" si="86"/>
        <v>601429 (PT. BPR Mitra)</v>
      </c>
    </row>
    <row r="1199" spans="9:11" ht="12.75" customHeight="1" x14ac:dyDescent="0.35">
      <c r="I1199" s="16" t="s">
        <v>4225</v>
      </c>
      <c r="J1199" s="52">
        <v>601430</v>
      </c>
      <c r="K1199" s="16" t="str">
        <f t="shared" si="86"/>
        <v>601430 (PT. BPR Yekti Insan Sembada)</v>
      </c>
    </row>
    <row r="1200" spans="9:11" ht="12.75" customHeight="1" x14ac:dyDescent="0.35">
      <c r="I1200" s="16" t="s">
        <v>4226</v>
      </c>
      <c r="J1200" s="52">
        <v>601431</v>
      </c>
      <c r="K1200" s="16" t="str">
        <f t="shared" si="86"/>
        <v>601431 (PT BPR ALTO MAKMUR)</v>
      </c>
    </row>
    <row r="1201" spans="9:11" ht="12.75" customHeight="1" x14ac:dyDescent="0.35">
      <c r="I1201" s="16" t="s">
        <v>4227</v>
      </c>
      <c r="J1201" s="52">
        <v>601432</v>
      </c>
      <c r="K1201" s="16" t="str">
        <f t="shared" si="86"/>
        <v>601432 (PT. BPR Eleska Artha)</v>
      </c>
    </row>
    <row r="1202" spans="9:11" ht="12.75" customHeight="1" x14ac:dyDescent="0.35">
      <c r="I1202" s="16" t="s">
        <v>4228</v>
      </c>
      <c r="J1202" s="52">
        <v>601433</v>
      </c>
      <c r="K1202" s="16" t="str">
        <f t="shared" si="86"/>
        <v>601433 (PT. BPR Arta Yogyakarta)</v>
      </c>
    </row>
    <row r="1203" spans="9:11" ht="12.75" customHeight="1" x14ac:dyDescent="0.35">
      <c r="I1203" s="16" t="s">
        <v>4229</v>
      </c>
      <c r="J1203" s="52">
        <v>601435</v>
      </c>
      <c r="K1203" s="16" t="str">
        <f t="shared" si="86"/>
        <v>601435 (PT. BPR Artha Mlatiindah)</v>
      </c>
    </row>
    <row r="1204" spans="9:11" ht="12.75" customHeight="1" x14ac:dyDescent="0.35">
      <c r="I1204" s="16" t="s">
        <v>4230</v>
      </c>
      <c r="J1204" s="52">
        <v>601436</v>
      </c>
      <c r="K1204" s="16" t="str">
        <f t="shared" si="86"/>
        <v>601436 (PT. BPR Danamas Prima)</v>
      </c>
    </row>
    <row r="1205" spans="9:11" ht="12.75" customHeight="1" x14ac:dyDescent="0.35">
      <c r="I1205" s="16" t="s">
        <v>4231</v>
      </c>
      <c r="J1205" s="52">
        <v>601439</v>
      </c>
      <c r="K1205" s="16" t="str">
        <f t="shared" si="86"/>
        <v>601439 (PT. BPR Antar Rumeksa Arta)</v>
      </c>
    </row>
    <row r="1206" spans="9:11" ht="12.75" customHeight="1" x14ac:dyDescent="0.35">
      <c r="I1206" s="16" t="s">
        <v>4232</v>
      </c>
      <c r="J1206" s="52">
        <v>601440</v>
      </c>
      <c r="K1206" s="16" t="str">
        <f t="shared" si="86"/>
        <v>601440 (PD. BPR Djoko Tingkir)</v>
      </c>
    </row>
    <row r="1207" spans="9:11" ht="12.75" customHeight="1" x14ac:dyDescent="0.35">
      <c r="I1207" s="16" t="s">
        <v>4233</v>
      </c>
      <c r="J1207" s="52">
        <v>601441</v>
      </c>
      <c r="K1207" s="16" t="str">
        <f t="shared" si="86"/>
        <v>601441 (PT BPR Mitra Pati Mandiri)</v>
      </c>
    </row>
    <row r="1208" spans="9:11" ht="12.75" customHeight="1" x14ac:dyDescent="0.35">
      <c r="I1208" s="16" t="s">
        <v>4234</v>
      </c>
      <c r="J1208" s="52">
        <v>601442</v>
      </c>
      <c r="K1208" s="16" t="str">
        <f t="shared" si="86"/>
        <v>601442 (PT. BPR Arismentari Ayu)</v>
      </c>
    </row>
    <row r="1209" spans="9:11" ht="12.75" customHeight="1" x14ac:dyDescent="0.35">
      <c r="I1209" s="16" t="s">
        <v>4235</v>
      </c>
      <c r="J1209" s="52">
        <v>601444</v>
      </c>
      <c r="K1209" s="16" t="str">
        <f t="shared" si="86"/>
        <v>601444 (PT. BPR Jatibarang Sediaguna)</v>
      </c>
    </row>
    <row r="1210" spans="9:11" ht="12.75" customHeight="1" x14ac:dyDescent="0.35">
      <c r="I1210" s="16" t="s">
        <v>4236</v>
      </c>
      <c r="J1210" s="52">
        <v>601445</v>
      </c>
      <c r="K1210" s="16" t="str">
        <f t="shared" si="86"/>
        <v>601445 (PT. BPR Artha Mutiara)</v>
      </c>
    </row>
    <row r="1211" spans="9:11" ht="12.75" customHeight="1" x14ac:dyDescent="0.35">
      <c r="I1211" s="16" t="s">
        <v>4237</v>
      </c>
      <c r="J1211" s="52">
        <v>601446</v>
      </c>
      <c r="K1211" s="16" t="str">
        <f t="shared" si="86"/>
        <v>601446 (PT. BPR Dhana Adiwerna)</v>
      </c>
    </row>
    <row r="1212" spans="9:11" ht="12.75" customHeight="1" x14ac:dyDescent="0.35">
      <c r="I1212" s="16" t="s">
        <v>4238</v>
      </c>
      <c r="J1212" s="52">
        <v>601447</v>
      </c>
      <c r="K1212" s="16" t="str">
        <f t="shared" si="86"/>
        <v>601447 (PT. BPR Ambarketawang Persada)</v>
      </c>
    </row>
    <row r="1213" spans="9:11" ht="12.75" customHeight="1" x14ac:dyDescent="0.35">
      <c r="I1213" s="16" t="s">
        <v>4239</v>
      </c>
      <c r="J1213" s="52">
        <v>601449</v>
      </c>
      <c r="K1213" s="16" t="str">
        <f t="shared" si="86"/>
        <v>601449 (PT. BPR Mitra Gema Mandiri)</v>
      </c>
    </row>
    <row r="1214" spans="9:11" ht="12.75" customHeight="1" x14ac:dyDescent="0.35">
      <c r="I1214" s="16" t="s">
        <v>4240</v>
      </c>
      <c r="J1214" s="52">
        <v>601450</v>
      </c>
      <c r="K1214" s="16" t="str">
        <f t="shared" si="86"/>
        <v>601450 (PT. BPR Trihasta Prasodjo)</v>
      </c>
    </row>
    <row r="1215" spans="9:11" ht="12.75" customHeight="1" x14ac:dyDescent="0.35">
      <c r="I1215" s="16" t="s">
        <v>4241</v>
      </c>
      <c r="J1215" s="52">
        <v>601451</v>
      </c>
      <c r="K1215" s="16" t="str">
        <f t="shared" si="86"/>
        <v>601451 (PT. BPR Artha Sambhara)</v>
      </c>
    </row>
    <row r="1216" spans="9:11" ht="12.75" customHeight="1" x14ac:dyDescent="0.35">
      <c r="I1216" s="16" t="s">
        <v>4242</v>
      </c>
      <c r="J1216" s="52">
        <v>601452</v>
      </c>
      <c r="K1216" s="16" t="str">
        <f t="shared" si="86"/>
        <v>601452 (PT. BPR Kartikaartha Kencanajaya)</v>
      </c>
    </row>
    <row r="1217" spans="9:11" ht="12.75" customHeight="1" x14ac:dyDescent="0.35">
      <c r="I1217" s="16" t="s">
        <v>4243</v>
      </c>
      <c r="J1217" s="52">
        <v>601454</v>
      </c>
      <c r="K1217" s="16" t="str">
        <f t="shared" si="86"/>
        <v>601454 (PT. BPR Taruna Adidaya Santosa)</v>
      </c>
    </row>
    <row r="1218" spans="9:11" ht="12.75" customHeight="1" x14ac:dyDescent="0.35">
      <c r="I1218" s="16" t="s">
        <v>4244</v>
      </c>
      <c r="J1218" s="52">
        <v>601455</v>
      </c>
      <c r="K1218" s="16" t="str">
        <f t="shared" si="86"/>
        <v>601455 (PT. BPR Hartha Muriatama)</v>
      </c>
    </row>
    <row r="1219" spans="9:11" ht="12.75" customHeight="1" x14ac:dyDescent="0.35">
      <c r="I1219" s="16" t="s">
        <v>4245</v>
      </c>
      <c r="J1219" s="52">
        <v>601456</v>
      </c>
      <c r="K1219" s="16" t="str">
        <f t="shared" si="86"/>
        <v>601456 (PT BPR Mitra Banaran Mandiri)</v>
      </c>
    </row>
    <row r="1220" spans="9:11" ht="12.75" customHeight="1" x14ac:dyDescent="0.35">
      <c r="I1220" s="16" t="s">
        <v>4246</v>
      </c>
      <c r="J1220" s="52">
        <v>601457</v>
      </c>
      <c r="K1220" s="16" t="str">
        <f t="shared" si="86"/>
        <v>601457 (PT. BPR Sukadyarindang)</v>
      </c>
    </row>
    <row r="1221" spans="9:11" ht="12.75" customHeight="1" x14ac:dyDescent="0.35">
      <c r="I1221" s="16" t="s">
        <v>4247</v>
      </c>
      <c r="J1221" s="52">
        <v>601458</v>
      </c>
      <c r="K1221" s="16" t="str">
        <f t="shared" si="86"/>
        <v>601458 (PT. BPR Asabahana Sejahtera)</v>
      </c>
    </row>
    <row r="1222" spans="9:11" ht="12.75" customHeight="1" x14ac:dyDescent="0.35">
      <c r="I1222" s="16" t="s">
        <v>4248</v>
      </c>
      <c r="J1222" s="52">
        <v>601459</v>
      </c>
      <c r="K1222" s="16" t="str">
        <f t="shared" si="86"/>
        <v>601459 (PT. BPR Restu Klepu Makmur)</v>
      </c>
    </row>
    <row r="1223" spans="9:11" ht="12.75" customHeight="1" x14ac:dyDescent="0.35">
      <c r="I1223" s="16" t="s">
        <v>4249</v>
      </c>
      <c r="J1223" s="52">
        <v>601460</v>
      </c>
      <c r="K1223" s="16" t="str">
        <f t="shared" si="86"/>
        <v>601460 (PT. BPR Juwana Arthasurya)</v>
      </c>
    </row>
    <row r="1224" spans="9:11" ht="12.75" customHeight="1" x14ac:dyDescent="0.35">
      <c r="I1224" s="16" t="s">
        <v>4250</v>
      </c>
      <c r="J1224" s="52">
        <v>601461</v>
      </c>
      <c r="K1224" s="16" t="str">
        <f t="shared" si="86"/>
        <v>601461 (PT. BPR Kandimadu Arta)</v>
      </c>
    </row>
    <row r="1225" spans="9:11" ht="12.75" customHeight="1" x14ac:dyDescent="0.35">
      <c r="I1225" s="16" t="s">
        <v>4251</v>
      </c>
      <c r="J1225" s="52">
        <v>601462</v>
      </c>
      <c r="K1225" s="16" t="str">
        <f t="shared" si="86"/>
        <v>601462 (PT. BPR Shinta Bhakti Wedi)</v>
      </c>
    </row>
    <row r="1226" spans="9:11" ht="12.75" customHeight="1" x14ac:dyDescent="0.35">
      <c r="I1226" s="16" t="s">
        <v>4252</v>
      </c>
      <c r="J1226" s="52">
        <v>601463</v>
      </c>
      <c r="K1226" s="16" t="str">
        <f t="shared" si="86"/>
        <v>601463 (PT. BPR Kroya Bangunartha)</v>
      </c>
    </row>
    <row r="1227" spans="9:11" ht="12.75" customHeight="1" x14ac:dyDescent="0.35">
      <c r="I1227" s="16" t="s">
        <v>4253</v>
      </c>
      <c r="J1227" s="52">
        <v>601464</v>
      </c>
      <c r="K1227" s="16" t="str">
        <f t="shared" si="86"/>
        <v>601464 (PT. BPR Wira Ardana Sejahtera)</v>
      </c>
    </row>
    <row r="1228" spans="9:11" ht="12.75" customHeight="1" x14ac:dyDescent="0.35">
      <c r="I1228" s="16" t="s">
        <v>4254</v>
      </c>
      <c r="J1228" s="52">
        <v>601465</v>
      </c>
      <c r="K1228" s="16" t="str">
        <f t="shared" si="86"/>
        <v>601465 (PT. BPR Citra Artha Sedana)</v>
      </c>
    </row>
    <row r="1229" spans="9:11" ht="12.75" customHeight="1" x14ac:dyDescent="0.35">
      <c r="I1229" s="16" t="s">
        <v>4255</v>
      </c>
      <c r="J1229" s="52">
        <v>601466</v>
      </c>
      <c r="K1229" s="16" t="str">
        <f t="shared" si="86"/>
        <v>601466 (PT. BPR Arthaguna Sejahtera)</v>
      </c>
    </row>
    <row r="1230" spans="9:11" ht="12.75" customHeight="1" x14ac:dyDescent="0.35">
      <c r="I1230" s="16" t="s">
        <v>4256</v>
      </c>
      <c r="J1230" s="52">
        <v>601467</v>
      </c>
      <c r="K1230" s="16" t="str">
        <f t="shared" si="86"/>
        <v>601467 (PT. BPR Daya Perdana Nusantara)</v>
      </c>
    </row>
    <row r="1231" spans="9:11" ht="12.75" customHeight="1" x14ac:dyDescent="0.35">
      <c r="I1231" s="16" t="s">
        <v>4257</v>
      </c>
      <c r="J1231" s="52">
        <v>601468</v>
      </c>
      <c r="K1231" s="16" t="str">
        <f t="shared" si="86"/>
        <v>601468 (PT. BPR Hitamajaya Argamandiri)</v>
      </c>
    </row>
    <row r="1232" spans="9:11" ht="12.75" customHeight="1" x14ac:dyDescent="0.35">
      <c r="I1232" s="16" t="s">
        <v>4258</v>
      </c>
      <c r="J1232" s="52">
        <v>601469</v>
      </c>
      <c r="K1232" s="16" t="str">
        <f t="shared" si="86"/>
        <v>601469 (PT. BPR Soka Panca Artha)</v>
      </c>
    </row>
    <row r="1233" spans="9:11" ht="12.75" customHeight="1" x14ac:dyDescent="0.35">
      <c r="I1233" s="16" t="s">
        <v>4259</v>
      </c>
      <c r="J1233" s="52">
        <v>601470</v>
      </c>
      <c r="K1233" s="16" t="str">
        <f t="shared" si="86"/>
        <v>601470 (PT. BPR Sinararta Sejahtera)</v>
      </c>
    </row>
    <row r="1234" spans="9:11" ht="12.75" customHeight="1" x14ac:dyDescent="0.35">
      <c r="I1234" s="16" t="s">
        <v>4260</v>
      </c>
      <c r="J1234" s="52">
        <v>601471</v>
      </c>
      <c r="K1234" s="16" t="str">
        <f t="shared" si="86"/>
        <v>601471 (PT. BPR Dhana Mitratama)</v>
      </c>
    </row>
    <row r="1235" spans="9:11" ht="12.75" customHeight="1" x14ac:dyDescent="0.35">
      <c r="I1235" s="16" t="s">
        <v>4261</v>
      </c>
      <c r="J1235" s="52">
        <v>601472</v>
      </c>
      <c r="K1235" s="16" t="str">
        <f t="shared" si="86"/>
        <v>601472 (PT BPR Arthapuspa Mega)</v>
      </c>
    </row>
    <row r="1236" spans="9:11" ht="12.75" customHeight="1" x14ac:dyDescent="0.35">
      <c r="I1236" s="16" t="s">
        <v>4262</v>
      </c>
      <c r="J1236" s="52">
        <v>601473</v>
      </c>
      <c r="K1236" s="16" t="str">
        <f t="shared" si="86"/>
        <v>601473 (PT BPR Sinar Baru Perkasa)</v>
      </c>
    </row>
    <row r="1237" spans="9:11" ht="12.75" customHeight="1" x14ac:dyDescent="0.35">
      <c r="I1237" s="16" t="s">
        <v>4263</v>
      </c>
      <c r="J1237" s="52">
        <v>601474</v>
      </c>
      <c r="K1237" s="16" t="str">
        <f t="shared" si="86"/>
        <v>601474 (PT. BPR Gunung Mas)</v>
      </c>
    </row>
    <row r="1238" spans="9:11" ht="12.75" customHeight="1" x14ac:dyDescent="0.35">
      <c r="I1238" s="16" t="s">
        <v>4264</v>
      </c>
      <c r="J1238" s="52">
        <v>601478</v>
      </c>
      <c r="K1238" s="16" t="str">
        <f t="shared" si="86"/>
        <v>601478 (PD. BPR BKK Muntilan)</v>
      </c>
    </row>
    <row r="1239" spans="9:11" ht="12.75" customHeight="1" x14ac:dyDescent="0.35">
      <c r="I1239" s="16" t="s">
        <v>4265</v>
      </c>
      <c r="J1239" s="52">
        <v>601479</v>
      </c>
      <c r="K1239" s="16" t="str">
        <f t="shared" si="86"/>
        <v>601479 (PD. BPR BKK Blora)</v>
      </c>
    </row>
    <row r="1240" spans="9:11" ht="12.75" customHeight="1" x14ac:dyDescent="0.35">
      <c r="I1240" s="16" t="s">
        <v>4266</v>
      </c>
      <c r="J1240" s="52">
        <v>601481</v>
      </c>
      <c r="K1240" s="16" t="str">
        <f t="shared" si="86"/>
        <v>601481 (PD. BPR BKK Jepara Kota)</v>
      </c>
    </row>
    <row r="1241" spans="9:11" ht="12.75" customHeight="1" x14ac:dyDescent="0.35">
      <c r="I1241" s="16" t="s">
        <v>4267</v>
      </c>
      <c r="J1241" s="52">
        <v>601497</v>
      </c>
      <c r="K1241" s="16" t="str">
        <f t="shared" si="86"/>
        <v>601497 (PD. BPR BKK Lasem)</v>
      </c>
    </row>
    <row r="1242" spans="9:11" ht="12.75" customHeight="1" x14ac:dyDescent="0.35">
      <c r="I1242" s="16" t="s">
        <v>4268</v>
      </c>
      <c r="J1242" s="52">
        <v>601505</v>
      </c>
      <c r="K1242" s="16" t="str">
        <f t="shared" si="86"/>
        <v>601505 (PD. BPR BKK Kudus)</v>
      </c>
    </row>
    <row r="1243" spans="9:11" ht="12.75" customHeight="1" x14ac:dyDescent="0.35">
      <c r="I1243" s="16" t="s">
        <v>4269</v>
      </c>
      <c r="J1243" s="52">
        <v>601507</v>
      </c>
      <c r="K1243" s="16" t="str">
        <f t="shared" si="86"/>
        <v>601507 (PD. BPR BKK Pati)</v>
      </c>
    </row>
    <row r="1244" spans="9:11" ht="12.75" customHeight="1" x14ac:dyDescent="0.35">
      <c r="I1244" s="16" t="s">
        <v>4270</v>
      </c>
      <c r="J1244" s="52">
        <v>601519</v>
      </c>
      <c r="K1244" s="16" t="str">
        <f t="shared" si="86"/>
        <v>601519 (PD. BPR BKK Purwodadi)</v>
      </c>
    </row>
    <row r="1245" spans="9:11" ht="12.75" customHeight="1" x14ac:dyDescent="0.35">
      <c r="I1245" s="16" t="s">
        <v>4271</v>
      </c>
      <c r="J1245" s="52">
        <v>601533</v>
      </c>
      <c r="K1245" s="16" t="str">
        <f t="shared" si="86"/>
        <v>601533 (PD. BPR BKK Kendal)</v>
      </c>
    </row>
    <row r="1246" spans="9:11" ht="12.75" customHeight="1" x14ac:dyDescent="0.35">
      <c r="I1246" s="16" t="s">
        <v>4272</v>
      </c>
      <c r="J1246" s="52">
        <v>601534</v>
      </c>
      <c r="K1246" s="16" t="str">
        <f t="shared" si="86"/>
        <v>601534 (PD. BPR BKK Ungaran)</v>
      </c>
    </row>
    <row r="1247" spans="9:11" ht="12.75" customHeight="1" x14ac:dyDescent="0.35">
      <c r="I1247" s="16" t="s">
        <v>4273</v>
      </c>
      <c r="J1247" s="52">
        <v>601541</v>
      </c>
      <c r="K1247" s="16" t="str">
        <f t="shared" si="86"/>
        <v>601541 (PD. BPR BKK Demak)</v>
      </c>
    </row>
    <row r="1248" spans="9:11" ht="12.75" customHeight="1" x14ac:dyDescent="0.35">
      <c r="I1248" s="16" t="s">
        <v>4274</v>
      </c>
      <c r="J1248" s="52">
        <v>601542</v>
      </c>
      <c r="K1248" s="16" t="str">
        <f t="shared" si="86"/>
        <v>601542 (PT. BPR Persada Ganda)</v>
      </c>
    </row>
    <row r="1249" spans="9:11" ht="12.75" customHeight="1" x14ac:dyDescent="0.35">
      <c r="I1249" s="16" t="s">
        <v>4275</v>
      </c>
      <c r="J1249" s="52">
        <v>601543</v>
      </c>
      <c r="K1249" s="16" t="str">
        <f t="shared" si="86"/>
        <v>601543 (PT. BPR Enggal Makmur Adi Santoso)</v>
      </c>
    </row>
    <row r="1250" spans="9:11" ht="12.75" customHeight="1" x14ac:dyDescent="0.35">
      <c r="I1250" s="16" t="s">
        <v>4276</v>
      </c>
      <c r="J1250" s="52">
        <v>601544</v>
      </c>
      <c r="K1250" s="16" t="str">
        <f t="shared" si="86"/>
        <v>601544 (PT. BPR Sinarguna Sejahtera)</v>
      </c>
    </row>
    <row r="1251" spans="9:11" ht="12.75" customHeight="1" x14ac:dyDescent="0.35">
      <c r="I1251" s="16" t="s">
        <v>4277</v>
      </c>
      <c r="J1251" s="52">
        <v>601545</v>
      </c>
      <c r="K1251" s="16" t="str">
        <f t="shared" si="86"/>
        <v>601545 (PT. BPR Sami Makmur d/h Pajang Raya)</v>
      </c>
    </row>
    <row r="1252" spans="9:11" ht="12.75" customHeight="1" x14ac:dyDescent="0.35">
      <c r="I1252" s="16" t="s">
        <v>4278</v>
      </c>
      <c r="J1252" s="52">
        <v>601546</v>
      </c>
      <c r="K1252" s="16" t="str">
        <f t="shared" si="86"/>
        <v>601546 (PT. BPR Padat Ganda)</v>
      </c>
    </row>
    <row r="1253" spans="9:11" ht="12.75" customHeight="1" x14ac:dyDescent="0.35">
      <c r="I1253" s="16" t="s">
        <v>4279</v>
      </c>
      <c r="J1253" s="52">
        <v>601547</v>
      </c>
      <c r="K1253" s="16" t="str">
        <f t="shared" si="86"/>
        <v>601547 (PT. BPR Sahabat Sedati)</v>
      </c>
    </row>
    <row r="1254" spans="9:11" ht="12.75" customHeight="1" x14ac:dyDescent="0.35">
      <c r="I1254" s="16" t="s">
        <v>4280</v>
      </c>
      <c r="J1254" s="52">
        <v>601548</v>
      </c>
      <c r="K1254" s="16" t="str">
        <f t="shared" si="86"/>
        <v>601548 (PD. BPR BKK Kota Pekalongan)</v>
      </c>
    </row>
    <row r="1255" spans="9:11" ht="12.75" customHeight="1" x14ac:dyDescent="0.35">
      <c r="I1255" s="16" t="s">
        <v>4281</v>
      </c>
      <c r="J1255" s="52">
        <v>601552</v>
      </c>
      <c r="K1255" s="16" t="str">
        <f t="shared" si="86"/>
        <v>601552 (PD. BPR BKK Kabupaten Pekalongan)</v>
      </c>
    </row>
    <row r="1256" spans="9:11" ht="12.75" customHeight="1" x14ac:dyDescent="0.35">
      <c r="I1256" s="16" t="s">
        <v>4282</v>
      </c>
      <c r="J1256" s="52">
        <v>601562</v>
      </c>
      <c r="K1256" s="16" t="str">
        <f t="shared" si="86"/>
        <v>601562 (PD. BPR BKK Batang)</v>
      </c>
    </row>
    <row r="1257" spans="9:11" ht="12.75" customHeight="1" x14ac:dyDescent="0.35">
      <c r="I1257" s="16" t="s">
        <v>4283</v>
      </c>
      <c r="J1257" s="52">
        <v>601563</v>
      </c>
      <c r="K1257" s="16" t="str">
        <f t="shared" si="86"/>
        <v>601563 (PD BPR BKK Kota Tegal)</v>
      </c>
    </row>
    <row r="1258" spans="9:11" ht="12.75" customHeight="1" x14ac:dyDescent="0.35">
      <c r="I1258" s="16" t="s">
        <v>4284</v>
      </c>
      <c r="J1258" s="52">
        <v>601564</v>
      </c>
      <c r="K1258" s="16" t="str">
        <f t="shared" si="86"/>
        <v>601564 (PD BPR BKK Kab. Tegal)</v>
      </c>
    </row>
    <row r="1259" spans="9:11" ht="12.75" customHeight="1" x14ac:dyDescent="0.35">
      <c r="I1259" s="16" t="s">
        <v>4285</v>
      </c>
      <c r="J1259" s="52">
        <v>601570</v>
      </c>
      <c r="K1259" s="16" t="str">
        <f t="shared" si="86"/>
        <v>601570 (PD. BPR BKK Taman)</v>
      </c>
    </row>
    <row r="1260" spans="9:11" ht="12.75" customHeight="1" x14ac:dyDescent="0.35">
      <c r="I1260" s="16" t="s">
        <v>4286</v>
      </c>
      <c r="J1260" s="52">
        <v>601576</v>
      </c>
      <c r="K1260" s="16" t="str">
        <f t="shared" si="86"/>
        <v>601576 (PD. BPR BKK Wonogiri)</v>
      </c>
    </row>
    <row r="1261" spans="9:11" ht="12.75" customHeight="1" x14ac:dyDescent="0.35">
      <c r="I1261" s="16" t="s">
        <v>4287</v>
      </c>
      <c r="J1261" s="52">
        <v>601578</v>
      </c>
      <c r="K1261" s="16" t="str">
        <f t="shared" si="86"/>
        <v>601578 (PD. BPR BKK Karangmalang)</v>
      </c>
    </row>
    <row r="1262" spans="9:11" ht="12.75" customHeight="1" x14ac:dyDescent="0.35">
      <c r="I1262" s="16" t="s">
        <v>4288</v>
      </c>
      <c r="J1262" s="52">
        <v>601591</v>
      </c>
      <c r="K1262" s="16" t="str">
        <f t="shared" si="86"/>
        <v>601591 (PD. BPR BKK Tasikmadu)</v>
      </c>
    </row>
    <row r="1263" spans="9:11" ht="12.75" customHeight="1" x14ac:dyDescent="0.35">
      <c r="I1263" s="16" t="s">
        <v>4289</v>
      </c>
      <c r="J1263" s="52">
        <v>601595</v>
      </c>
      <c r="K1263" s="16" t="str">
        <f t="shared" si="86"/>
        <v>601595 (PD BPR BKK Boyolali)</v>
      </c>
    </row>
    <row r="1264" spans="9:11" ht="12.75" customHeight="1" x14ac:dyDescent="0.35">
      <c r="I1264" s="16" t="s">
        <v>4290</v>
      </c>
      <c r="J1264" s="52">
        <v>601610</v>
      </c>
      <c r="K1264" s="16" t="str">
        <f t="shared" si="86"/>
        <v>601610 (PD. BPR BKK Mandiraja)</v>
      </c>
    </row>
    <row r="1265" spans="9:11" ht="12.75" customHeight="1" x14ac:dyDescent="0.35">
      <c r="I1265" s="16" t="s">
        <v>4291</v>
      </c>
      <c r="J1265" s="52">
        <v>601627</v>
      </c>
      <c r="K1265" s="16" t="str">
        <f t="shared" si="86"/>
        <v>601627 (PD. BPR BKK Purbalingga)</v>
      </c>
    </row>
    <row r="1266" spans="9:11" ht="12.75" customHeight="1" x14ac:dyDescent="0.35">
      <c r="I1266" s="16" t="s">
        <v>4292</v>
      </c>
      <c r="J1266" s="52">
        <v>601628</v>
      </c>
      <c r="K1266" s="16" t="str">
        <f t="shared" si="86"/>
        <v>601628 (PD BPR BKK Cilacap)</v>
      </c>
    </row>
    <row r="1267" spans="9:11" ht="12.75" customHeight="1" x14ac:dyDescent="0.35">
      <c r="I1267" s="16" t="s">
        <v>4293</v>
      </c>
      <c r="J1267" s="52">
        <v>601666</v>
      </c>
      <c r="K1267" s="16" t="str">
        <f t="shared" si="86"/>
        <v>601666 (PT. BPR Panji Aronta)</v>
      </c>
    </row>
    <row r="1268" spans="9:11" ht="12.75" customHeight="1" x14ac:dyDescent="0.35">
      <c r="I1268" s="16" t="s">
        <v>4294</v>
      </c>
      <c r="J1268" s="52">
        <v>601667</v>
      </c>
      <c r="K1268" s="16" t="str">
        <f t="shared" si="86"/>
        <v>601667 (PT. BPR Mojoagung Pahalapakto)</v>
      </c>
    </row>
    <row r="1269" spans="9:11" ht="12.75" customHeight="1" x14ac:dyDescent="0.35">
      <c r="I1269" s="16" t="s">
        <v>4295</v>
      </c>
      <c r="J1269" s="52">
        <v>601668</v>
      </c>
      <c r="K1269" s="16" t="str">
        <f t="shared" si="86"/>
        <v>601668 (PT. BPR Manuk Ayu)</v>
      </c>
    </row>
    <row r="1270" spans="9:11" ht="12.75" customHeight="1" x14ac:dyDescent="0.35">
      <c r="I1270" s="16" t="s">
        <v>4296</v>
      </c>
      <c r="J1270" s="52">
        <v>601669</v>
      </c>
      <c r="K1270" s="16" t="str">
        <f t="shared" si="86"/>
        <v>601669 (PT. BPR Anglomas Indah)</v>
      </c>
    </row>
    <row r="1271" spans="9:11" ht="12.75" customHeight="1" x14ac:dyDescent="0.35">
      <c r="I1271" s="16" t="s">
        <v>4297</v>
      </c>
      <c r="J1271" s="52">
        <v>601670</v>
      </c>
      <c r="K1271" s="16" t="str">
        <f t="shared" si="86"/>
        <v>601670 (PT. BPR Babat Lestari)</v>
      </c>
    </row>
    <row r="1272" spans="9:11" ht="12.75" customHeight="1" x14ac:dyDescent="0.35">
      <c r="I1272" s="16" t="s">
        <v>4298</v>
      </c>
      <c r="J1272" s="52">
        <v>601671</v>
      </c>
      <c r="K1272" s="16" t="str">
        <f t="shared" si="86"/>
        <v>601671 (PT BPR Dana Raya Jawa Timur)</v>
      </c>
    </row>
    <row r="1273" spans="9:11" ht="12.75" customHeight="1" x14ac:dyDescent="0.35">
      <c r="I1273" s="16" t="s">
        <v>4299</v>
      </c>
      <c r="J1273" s="52">
        <v>601672</v>
      </c>
      <c r="K1273" s="16" t="str">
        <f t="shared" si="86"/>
        <v>601672 (PT. BPR Ragasurya Nuansa)</v>
      </c>
    </row>
    <row r="1274" spans="9:11" ht="12.75" customHeight="1" x14ac:dyDescent="0.35">
      <c r="I1274" s="16" t="s">
        <v>4300</v>
      </c>
      <c r="J1274" s="52">
        <v>601673</v>
      </c>
      <c r="K1274" s="16" t="str">
        <f t="shared" si="86"/>
        <v>601673 (PT. BPR Mentari Terang)</v>
      </c>
    </row>
    <row r="1275" spans="9:11" ht="12.75" customHeight="1" x14ac:dyDescent="0.35">
      <c r="I1275" s="16" t="s">
        <v>4301</v>
      </c>
      <c r="J1275" s="52">
        <v>601674</v>
      </c>
      <c r="K1275" s="16" t="str">
        <f t="shared" si="86"/>
        <v>601674 (PT. BPR Sinar Wuluhan Artha)</v>
      </c>
    </row>
    <row r="1276" spans="9:11" ht="12.75" customHeight="1" x14ac:dyDescent="0.35">
      <c r="I1276" s="16" t="s">
        <v>4302</v>
      </c>
      <c r="J1276" s="52">
        <v>601675</v>
      </c>
      <c r="K1276" s="16" t="str">
        <f t="shared" si="86"/>
        <v>601675 (PT. BPR Tanggul Mitra Karya)</v>
      </c>
    </row>
    <row r="1277" spans="9:11" ht="12.75" customHeight="1" x14ac:dyDescent="0.35">
      <c r="I1277" s="16" t="s">
        <v>4303</v>
      </c>
      <c r="J1277" s="52">
        <v>601676</v>
      </c>
      <c r="K1277" s="16" t="str">
        <f t="shared" si="86"/>
        <v>601676 (PT. BPR Kalisat Arthawira)</v>
      </c>
    </row>
    <row r="1278" spans="9:11" ht="12.75" customHeight="1" x14ac:dyDescent="0.35">
      <c r="I1278" s="16" t="s">
        <v>4304</v>
      </c>
      <c r="J1278" s="52">
        <v>601677</v>
      </c>
      <c r="K1278" s="16" t="str">
        <f t="shared" si="86"/>
        <v>601677 (PT. BPR Bangil Adyatama)</v>
      </c>
    </row>
    <row r="1279" spans="9:11" ht="12.75" customHeight="1" x14ac:dyDescent="0.35">
      <c r="I1279" s="16" t="s">
        <v>4305</v>
      </c>
      <c r="J1279" s="52">
        <v>601678</v>
      </c>
      <c r="K1279" s="16" t="str">
        <f t="shared" si="86"/>
        <v>601678 (PT. BPR Dirgadhana Arthamas)</v>
      </c>
    </row>
    <row r="1280" spans="9:11" ht="12.75" customHeight="1" x14ac:dyDescent="0.35">
      <c r="I1280" s="16" t="s">
        <v>4306</v>
      </c>
      <c r="J1280" s="52">
        <v>601679</v>
      </c>
      <c r="K1280" s="16" t="str">
        <f t="shared" ref="K1280:K1534" si="87">CONCATENATE(J1280," (",SUBSTITUTE(I1280,"  ",""),")")</f>
        <v>601679 (PT. BPR Aneka Dana Sejahtera)</v>
      </c>
    </row>
    <row r="1281" spans="9:11" ht="12.75" customHeight="1" x14ac:dyDescent="0.35">
      <c r="I1281" s="16" t="s">
        <v>4307</v>
      </c>
      <c r="J1281" s="52">
        <v>601680</v>
      </c>
      <c r="K1281" s="16" t="str">
        <f t="shared" si="87"/>
        <v>601680 (PT. BPR Porong Idaman)</v>
      </c>
    </row>
    <row r="1282" spans="9:11" ht="12.75" customHeight="1" x14ac:dyDescent="0.35">
      <c r="I1282" s="16" t="s">
        <v>4308</v>
      </c>
      <c r="J1282" s="52">
        <v>601682</v>
      </c>
      <c r="K1282" s="16" t="str">
        <f t="shared" si="87"/>
        <v>601682 (PT. BPR Restudhana Citrasejahtera)</v>
      </c>
    </row>
    <row r="1283" spans="9:11" ht="12.75" customHeight="1" x14ac:dyDescent="0.35">
      <c r="I1283" s="16" t="s">
        <v>4309</v>
      </c>
      <c r="J1283" s="52">
        <v>601683</v>
      </c>
      <c r="K1283" s="16" t="str">
        <f t="shared" si="87"/>
        <v>601683 (PT. BPR Lumbung Artha Muntilanindo)</v>
      </c>
    </row>
    <row r="1284" spans="9:11" ht="12.75" customHeight="1" x14ac:dyDescent="0.35">
      <c r="I1284" s="16" t="s">
        <v>4310</v>
      </c>
      <c r="J1284" s="52">
        <v>601685</v>
      </c>
      <c r="K1284" s="16" t="str">
        <f t="shared" si="87"/>
        <v>601685 (PT. BPR Sungkunandhana)</v>
      </c>
    </row>
    <row r="1285" spans="9:11" ht="12.75" customHeight="1" x14ac:dyDescent="0.35">
      <c r="I1285" s="16" t="s">
        <v>4311</v>
      </c>
      <c r="J1285" s="52">
        <v>601686</v>
      </c>
      <c r="K1285" s="16" t="str">
        <f t="shared" si="87"/>
        <v>601686 (PT. BPR Ihuthan Ganda)</v>
      </c>
    </row>
    <row r="1286" spans="9:11" ht="12.75" customHeight="1" x14ac:dyDescent="0.35">
      <c r="I1286" s="16" t="s">
        <v>4312</v>
      </c>
      <c r="J1286" s="52">
        <v>601687</v>
      </c>
      <c r="K1286" s="16" t="str">
        <f t="shared" si="87"/>
        <v>601687 (PT. BPR Rejeki Datang)</v>
      </c>
    </row>
    <row r="1287" spans="9:11" ht="12.75" customHeight="1" x14ac:dyDescent="0.35">
      <c r="I1287" s="16" t="s">
        <v>4313</v>
      </c>
      <c r="J1287" s="52">
        <v>601688</v>
      </c>
      <c r="K1287" s="16" t="str">
        <f t="shared" si="87"/>
        <v>601688 (PT. BPR Ulintha Ganda)</v>
      </c>
    </row>
    <row r="1288" spans="9:11" ht="12.75" customHeight="1" x14ac:dyDescent="0.35">
      <c r="I1288" s="16" t="s">
        <v>4314</v>
      </c>
      <c r="J1288" s="52">
        <v>601689</v>
      </c>
      <c r="K1288" s="16" t="str">
        <f t="shared" si="87"/>
        <v>601689 (PT. BPR Artha Asri Mulia)</v>
      </c>
    </row>
    <row r="1289" spans="9:11" ht="12.75" customHeight="1" x14ac:dyDescent="0.35">
      <c r="I1289" s="16" t="s">
        <v>4315</v>
      </c>
      <c r="J1289" s="52">
        <v>601690</v>
      </c>
      <c r="K1289" s="16" t="str">
        <f t="shared" si="87"/>
        <v>601690 (PT. BPR Bagong Inti Marga)</v>
      </c>
    </row>
    <row r="1290" spans="9:11" ht="12.75" customHeight="1" x14ac:dyDescent="0.35">
      <c r="I1290" s="16" t="s">
        <v>4316</v>
      </c>
      <c r="J1290" s="52">
        <v>601691</v>
      </c>
      <c r="K1290" s="16" t="str">
        <f t="shared" si="87"/>
        <v>601691 (PT. BPR Krian Wijaya)</v>
      </c>
    </row>
    <row r="1291" spans="9:11" ht="12.75" customHeight="1" x14ac:dyDescent="0.35">
      <c r="I1291" s="16" t="s">
        <v>4317</v>
      </c>
      <c r="J1291" s="52">
        <v>601692</v>
      </c>
      <c r="K1291" s="16" t="str">
        <f t="shared" si="87"/>
        <v>601692 (PT. BPR Arthatama Caruban)</v>
      </c>
    </row>
    <row r="1292" spans="9:11" ht="12.75" customHeight="1" x14ac:dyDescent="0.35">
      <c r="I1292" s="16" t="s">
        <v>4318</v>
      </c>
      <c r="J1292" s="52">
        <v>601693</v>
      </c>
      <c r="K1292" s="16" t="str">
        <f t="shared" si="87"/>
        <v>601693 (PT. BPR Sapadhana)</v>
      </c>
    </row>
    <row r="1293" spans="9:11" ht="12.75" customHeight="1" x14ac:dyDescent="0.35">
      <c r="I1293" s="16" t="s">
        <v>4319</v>
      </c>
      <c r="J1293" s="52">
        <v>601694</v>
      </c>
      <c r="K1293" s="16" t="str">
        <f t="shared" si="87"/>
        <v>601694 (PT. BPR Hartaraya Ciptamulia)</v>
      </c>
    </row>
    <row r="1294" spans="9:11" ht="12.75" customHeight="1" x14ac:dyDescent="0.35">
      <c r="I1294" s="16" t="s">
        <v>4320</v>
      </c>
      <c r="J1294" s="52">
        <v>601695</v>
      </c>
      <c r="K1294" s="16" t="str">
        <f t="shared" si="87"/>
        <v>601695 (PT. BPR Arta Seruni Surabaya)</v>
      </c>
    </row>
    <row r="1295" spans="9:11" ht="12.75" customHeight="1" x14ac:dyDescent="0.35">
      <c r="I1295" s="16" t="s">
        <v>4321</v>
      </c>
      <c r="J1295" s="52">
        <v>601696</v>
      </c>
      <c r="K1295" s="16" t="str">
        <f t="shared" si="87"/>
        <v>601696 (PT BPR Harta Swadiri)</v>
      </c>
    </row>
    <row r="1296" spans="9:11" ht="12.75" customHeight="1" x14ac:dyDescent="0.35">
      <c r="I1296" s="16" t="s">
        <v>4322</v>
      </c>
      <c r="J1296" s="52">
        <v>601697</v>
      </c>
      <c r="K1296" s="16" t="str">
        <f t="shared" si="87"/>
        <v>601697 (PT. BPR Rajekwesi)</v>
      </c>
    </row>
    <row r="1297" spans="9:11" ht="12.75" customHeight="1" x14ac:dyDescent="0.35">
      <c r="I1297" s="16" t="s">
        <v>4323</v>
      </c>
      <c r="J1297" s="52">
        <v>601698</v>
      </c>
      <c r="K1297" s="16" t="str">
        <f t="shared" si="87"/>
        <v>601698 (PT. BPR Nagajayaraya Sentra Sentosa)</v>
      </c>
    </row>
    <row r="1298" spans="9:11" ht="12.75" customHeight="1" x14ac:dyDescent="0.35">
      <c r="I1298" s="16" t="s">
        <v>4324</v>
      </c>
      <c r="J1298" s="52">
        <v>601699</v>
      </c>
      <c r="K1298" s="16" t="str">
        <f t="shared" si="87"/>
        <v>601699 (PT. BPR Nur Semesta Indah)</v>
      </c>
    </row>
    <row r="1299" spans="9:11" ht="12.75" customHeight="1" x14ac:dyDescent="0.35">
      <c r="I1299" s="16" t="s">
        <v>4325</v>
      </c>
      <c r="J1299" s="52">
        <v>601700</v>
      </c>
      <c r="K1299" s="16" t="str">
        <f t="shared" si="87"/>
        <v>601700 (PT. BPR Surya Abadi Bersaudara)</v>
      </c>
    </row>
    <row r="1300" spans="9:11" ht="12.75" customHeight="1" x14ac:dyDescent="0.35">
      <c r="I1300" s="16" t="s">
        <v>4326</v>
      </c>
      <c r="J1300" s="52">
        <v>601701</v>
      </c>
      <c r="K1300" s="16" t="str">
        <f t="shared" si="87"/>
        <v>601701 (PT. BPR Delta Bojonegoro)</v>
      </c>
    </row>
    <row r="1301" spans="9:11" ht="12.75" customHeight="1" x14ac:dyDescent="0.35">
      <c r="I1301" s="16" t="s">
        <v>4327</v>
      </c>
      <c r="J1301" s="52">
        <v>601702</v>
      </c>
      <c r="K1301" s="16" t="str">
        <f t="shared" si="87"/>
        <v>601702 (PT. BPR Delta Gresik)</v>
      </c>
    </row>
    <row r="1302" spans="9:11" ht="12.75" customHeight="1" x14ac:dyDescent="0.35">
      <c r="I1302" s="16" t="s">
        <v>4328</v>
      </c>
      <c r="J1302" s="52">
        <v>601703</v>
      </c>
      <c r="K1302" s="16" t="str">
        <f t="shared" si="87"/>
        <v>601703 (PT. BPR Artha Tuban Kencana)</v>
      </c>
    </row>
    <row r="1303" spans="9:11" ht="12.75" customHeight="1" x14ac:dyDescent="0.35">
      <c r="I1303" s="16" t="s">
        <v>4329</v>
      </c>
      <c r="J1303" s="52">
        <v>601704</v>
      </c>
      <c r="K1303" s="16" t="str">
        <f t="shared" si="87"/>
        <v>601704 (PT. BPR Kridadhana Citranusa)</v>
      </c>
    </row>
    <row r="1304" spans="9:11" ht="12.75" customHeight="1" x14ac:dyDescent="0.35">
      <c r="I1304" s="16" t="s">
        <v>4330</v>
      </c>
      <c r="J1304" s="52">
        <v>601705</v>
      </c>
      <c r="K1304" s="16" t="str">
        <f t="shared" si="87"/>
        <v>601705 (KBPR Amanah)</v>
      </c>
    </row>
    <row r="1305" spans="9:11" ht="12.75" customHeight="1" x14ac:dyDescent="0.35">
      <c r="I1305" s="16" t="s">
        <v>4331</v>
      </c>
      <c r="J1305" s="52">
        <v>601706</v>
      </c>
      <c r="K1305" s="16" t="str">
        <f t="shared" si="87"/>
        <v>601706 (PT. BPR Kharisma Kusuma Lawang)</v>
      </c>
    </row>
    <row r="1306" spans="9:11" ht="12.75" customHeight="1" x14ac:dyDescent="0.35">
      <c r="I1306" s="16" t="s">
        <v>4332</v>
      </c>
      <c r="J1306" s="52">
        <v>601707</v>
      </c>
      <c r="K1306" s="16" t="str">
        <f t="shared" si="87"/>
        <v>601707 (PT. BPR Kraton Suropati)</v>
      </c>
    </row>
    <row r="1307" spans="9:11" ht="12.75" customHeight="1" x14ac:dyDescent="0.35">
      <c r="I1307" s="16" t="s">
        <v>4333</v>
      </c>
      <c r="J1307" s="52">
        <v>601708</v>
      </c>
      <c r="K1307" s="16" t="str">
        <f t="shared" si="87"/>
        <v>601708 (PT. BPR Wutama Artha Sejahtera)</v>
      </c>
    </row>
    <row r="1308" spans="9:11" ht="12.75" customHeight="1" x14ac:dyDescent="0.35">
      <c r="I1308" s="16" t="s">
        <v>4334</v>
      </c>
      <c r="J1308" s="52">
        <v>601709</v>
      </c>
      <c r="K1308" s="16" t="str">
        <f t="shared" si="87"/>
        <v>601709 (PT. BPR Delta Singosari)</v>
      </c>
    </row>
    <row r="1309" spans="9:11" ht="12.75" customHeight="1" x14ac:dyDescent="0.35">
      <c r="I1309" s="16" t="s">
        <v>4335</v>
      </c>
      <c r="J1309" s="52">
        <v>601710</v>
      </c>
      <c r="K1309" s="16" t="str">
        <f t="shared" si="87"/>
        <v>601710 (PT. BPR Delta Artha Kencana)</v>
      </c>
    </row>
    <row r="1310" spans="9:11" ht="12.75" customHeight="1" x14ac:dyDescent="0.35">
      <c r="I1310" s="16" t="s">
        <v>4336</v>
      </c>
      <c r="J1310" s="52">
        <v>601711</v>
      </c>
      <c r="K1310" s="16" t="str">
        <f t="shared" si="87"/>
        <v>601711 (PT. BPR Delta Malang)</v>
      </c>
    </row>
    <row r="1311" spans="9:11" ht="12.75" customHeight="1" x14ac:dyDescent="0.35">
      <c r="I1311" s="16" t="s">
        <v>4337</v>
      </c>
      <c r="J1311" s="52">
        <v>601712</v>
      </c>
      <c r="K1311" s="16" t="str">
        <f t="shared" si="87"/>
        <v>601712 (PT BPR Anugerahdharma Yuwana Bondowoso)</v>
      </c>
    </row>
    <row r="1312" spans="9:11" ht="12.75" customHeight="1" x14ac:dyDescent="0.35">
      <c r="I1312" s="16" t="s">
        <v>4338</v>
      </c>
      <c r="J1312" s="52">
        <v>601713</v>
      </c>
      <c r="K1312" s="16" t="str">
        <f t="shared" si="87"/>
        <v>601713 (PT. BPR Delta Artha Panggung Situbondo)</v>
      </c>
    </row>
    <row r="1313" spans="9:11" ht="12.75" customHeight="1" x14ac:dyDescent="0.35">
      <c r="I1313" s="16" t="s">
        <v>4339</v>
      </c>
      <c r="J1313" s="52">
        <v>601714</v>
      </c>
      <c r="K1313" s="16" t="str">
        <f t="shared" si="87"/>
        <v>601714 (PT. BPR Delta Artha Panggung Banyuwangi)</v>
      </c>
    </row>
    <row r="1314" spans="9:11" ht="12.75" customHeight="1" x14ac:dyDescent="0.35">
      <c r="I1314" s="16" t="s">
        <v>4340</v>
      </c>
      <c r="J1314" s="52">
        <v>601716</v>
      </c>
      <c r="K1314" s="16" t="str">
        <f t="shared" si="87"/>
        <v>601716 (PT. BPR Delta Lamongan)</v>
      </c>
    </row>
    <row r="1315" spans="9:11" ht="12.75" customHeight="1" x14ac:dyDescent="0.35">
      <c r="I1315" s="16" t="s">
        <v>4341</v>
      </c>
      <c r="J1315" s="52">
        <v>601717</v>
      </c>
      <c r="K1315" s="16" t="str">
        <f t="shared" si="87"/>
        <v>601717 (PT. BPR Agro Cipta Adiguna)</v>
      </c>
    </row>
    <row r="1316" spans="9:11" ht="12.75" customHeight="1" x14ac:dyDescent="0.35">
      <c r="I1316" s="16" t="s">
        <v>4342</v>
      </c>
      <c r="J1316" s="52">
        <v>601718</v>
      </c>
      <c r="K1316" s="16" t="str">
        <f t="shared" si="87"/>
        <v>601718 (PT. BPR Kebomas)</v>
      </c>
    </row>
    <row r="1317" spans="9:11" ht="12.75" customHeight="1" x14ac:dyDescent="0.35">
      <c r="I1317" s="16" t="s">
        <v>4343</v>
      </c>
      <c r="J1317" s="52">
        <v>601719</v>
      </c>
      <c r="K1317" s="16" t="str">
        <f t="shared" si="87"/>
        <v>601719 (PT. BPR Intan Nasional)</v>
      </c>
    </row>
    <row r="1318" spans="9:11" ht="12.75" customHeight="1" x14ac:dyDescent="0.35">
      <c r="I1318" s="16" t="s">
        <v>4344</v>
      </c>
      <c r="J1318" s="52">
        <v>601720</v>
      </c>
      <c r="K1318" s="16" t="str">
        <f t="shared" si="87"/>
        <v>601720 (PT. BPR Sentra Dana Makmur)</v>
      </c>
    </row>
    <row r="1319" spans="9:11" ht="12.75" customHeight="1" x14ac:dyDescent="0.35">
      <c r="I1319" s="16" t="s">
        <v>4345</v>
      </c>
      <c r="J1319" s="52">
        <v>601721</v>
      </c>
      <c r="K1319" s="16" t="str">
        <f t="shared" si="87"/>
        <v>601721 (PT BPR Anugerahdharma Yuwana Banyuwangi)</v>
      </c>
    </row>
    <row r="1320" spans="9:11" ht="12.75" customHeight="1" x14ac:dyDescent="0.35">
      <c r="I1320" s="16" t="s">
        <v>4346</v>
      </c>
      <c r="J1320" s="52">
        <v>601722</v>
      </c>
      <c r="K1320" s="16" t="str">
        <f t="shared" si="87"/>
        <v>601722 (PT. BPR Mandiri Adiatra)</v>
      </c>
    </row>
    <row r="1321" spans="9:11" ht="12.75" customHeight="1" x14ac:dyDescent="0.35">
      <c r="I1321" s="16" t="s">
        <v>4347</v>
      </c>
      <c r="J1321" s="52">
        <v>601723</v>
      </c>
      <c r="K1321" s="16" t="str">
        <f t="shared" si="87"/>
        <v>601723 (PT. BPR Terusan Jaya)</v>
      </c>
    </row>
    <row r="1322" spans="9:11" ht="12.75" customHeight="1" x14ac:dyDescent="0.35">
      <c r="I1322" s="16" t="s">
        <v>4348</v>
      </c>
      <c r="J1322" s="52">
        <v>601724</v>
      </c>
      <c r="K1322" s="16" t="str">
        <f t="shared" si="87"/>
        <v>601724 (PT. BPR Arta Bangsal Utama)</v>
      </c>
    </row>
    <row r="1323" spans="9:11" ht="12.75" customHeight="1" x14ac:dyDescent="0.35">
      <c r="I1323" s="16" t="s">
        <v>4349</v>
      </c>
      <c r="J1323" s="52">
        <v>601725</v>
      </c>
      <c r="K1323" s="16" t="str">
        <f t="shared" si="87"/>
        <v>601725 (PT. BPR Mitra Dhanaceswara)</v>
      </c>
    </row>
    <row r="1324" spans="9:11" ht="12.75" customHeight="1" x14ac:dyDescent="0.35">
      <c r="I1324" s="16" t="s">
        <v>4350</v>
      </c>
      <c r="J1324" s="52">
        <v>601726</v>
      </c>
      <c r="K1324" s="16" t="str">
        <f t="shared" si="87"/>
        <v>601726 (PT. BPR Nusapanida Pandaan)</v>
      </c>
    </row>
    <row r="1325" spans="9:11" ht="12.75" customHeight="1" x14ac:dyDescent="0.35">
      <c r="I1325" s="16" t="s">
        <v>4351</v>
      </c>
      <c r="J1325" s="52">
        <v>601727</v>
      </c>
      <c r="K1325" s="16" t="str">
        <f t="shared" si="87"/>
        <v>601727 (PT. BPR Bangil Idaman)</v>
      </c>
    </row>
    <row r="1326" spans="9:11" ht="12.75" customHeight="1" x14ac:dyDescent="0.35">
      <c r="I1326" s="16" t="s">
        <v>4352</v>
      </c>
      <c r="J1326" s="52">
        <v>601728</v>
      </c>
      <c r="K1326" s="16" t="str">
        <f t="shared" si="87"/>
        <v>601728 (PT. BPR Artha Rahayu)</v>
      </c>
    </row>
    <row r="1327" spans="9:11" ht="12.75" customHeight="1" x14ac:dyDescent="0.35">
      <c r="I1327" s="16" t="s">
        <v>4353</v>
      </c>
      <c r="J1327" s="52">
        <v>601731</v>
      </c>
      <c r="K1327" s="16" t="str">
        <f t="shared" si="87"/>
        <v>601731 (PT. BPR Djojo Mandiri Raya)</v>
      </c>
    </row>
    <row r="1328" spans="9:11" ht="12.75" customHeight="1" x14ac:dyDescent="0.35">
      <c r="I1328" s="16" t="s">
        <v>4354</v>
      </c>
      <c r="J1328" s="52">
        <v>601732</v>
      </c>
      <c r="K1328" s="16" t="str">
        <f t="shared" si="87"/>
        <v>601732 (PT. BPR Karya Perdana Sejahtera)</v>
      </c>
    </row>
    <row r="1329" spans="9:11" ht="12.75" customHeight="1" x14ac:dyDescent="0.35">
      <c r="I1329" s="16" t="s">
        <v>4355</v>
      </c>
      <c r="J1329" s="52">
        <v>601733</v>
      </c>
      <c r="K1329" s="16" t="str">
        <f t="shared" si="87"/>
        <v>601733 (PT. BPR Puridana Artamas)</v>
      </c>
    </row>
    <row r="1330" spans="9:11" ht="12.75" customHeight="1" x14ac:dyDescent="0.35">
      <c r="I1330" s="16" t="s">
        <v>4356</v>
      </c>
      <c r="J1330" s="52">
        <v>601734</v>
      </c>
      <c r="K1330" s="16" t="str">
        <f t="shared" si="87"/>
        <v>601734 (PT. BPR Dharmasurya Aditika)</v>
      </c>
    </row>
    <row r="1331" spans="9:11" ht="12.75" customHeight="1" x14ac:dyDescent="0.35">
      <c r="I1331" s="16" t="s">
        <v>4357</v>
      </c>
      <c r="J1331" s="52">
        <v>601735</v>
      </c>
      <c r="K1331" s="16" t="str">
        <f t="shared" si="87"/>
        <v>601735 (PT. BPR Caruban Indah)</v>
      </c>
    </row>
    <row r="1332" spans="9:11" ht="12.75" customHeight="1" x14ac:dyDescent="0.35">
      <c r="I1332" s="16" t="s">
        <v>4358</v>
      </c>
      <c r="J1332" s="52">
        <v>601736</v>
      </c>
      <c r="K1332" s="16" t="str">
        <f t="shared" si="87"/>
        <v>601736 (KOP. BPR Semanding)</v>
      </c>
    </row>
    <row r="1333" spans="9:11" ht="12.75" customHeight="1" x14ac:dyDescent="0.35">
      <c r="I1333" s="16" t="s">
        <v>4359</v>
      </c>
      <c r="J1333" s="52">
        <v>601737</v>
      </c>
      <c r="K1333" s="16" t="str">
        <f t="shared" si="87"/>
        <v>601737 (PT. BPR Permata Arta Surya)</v>
      </c>
    </row>
    <row r="1334" spans="9:11" ht="12.75" customHeight="1" x14ac:dyDescent="0.35">
      <c r="I1334" s="16" t="s">
        <v>4360</v>
      </c>
      <c r="J1334" s="52">
        <v>601738</v>
      </c>
      <c r="K1334" s="16" t="str">
        <f t="shared" si="87"/>
        <v>601738 (PT BPR Buana Citra Sejahtera)</v>
      </c>
    </row>
    <row r="1335" spans="9:11" ht="12.75" customHeight="1" x14ac:dyDescent="0.35">
      <c r="I1335" s="16" t="s">
        <v>4361</v>
      </c>
      <c r="J1335" s="52">
        <v>601739</v>
      </c>
      <c r="K1335" s="16" t="str">
        <f t="shared" si="87"/>
        <v>601739 (PT. BPR Bandung Adiartha)</v>
      </c>
    </row>
    <row r="1336" spans="9:11" ht="12.75" customHeight="1" x14ac:dyDescent="0.35">
      <c r="I1336" s="16" t="s">
        <v>4362</v>
      </c>
      <c r="J1336" s="52">
        <v>601740</v>
      </c>
      <c r="K1336" s="16" t="str">
        <f t="shared" si="87"/>
        <v>601740 (PT. BPR Insumo Sumberarto)</v>
      </c>
    </row>
    <row r="1337" spans="9:11" ht="12.75" customHeight="1" x14ac:dyDescent="0.35">
      <c r="I1337" s="16" t="s">
        <v>4363</v>
      </c>
      <c r="J1337" s="52">
        <v>601741</v>
      </c>
      <c r="K1337" s="16" t="str">
        <f t="shared" si="87"/>
        <v>601741 (PT. BPR Artha Dharma)</v>
      </c>
    </row>
    <row r="1338" spans="9:11" ht="12.75" customHeight="1" x14ac:dyDescent="0.35">
      <c r="I1338" s="16" t="s">
        <v>4364</v>
      </c>
      <c r="J1338" s="52">
        <v>601742</v>
      </c>
      <c r="K1338" s="16" t="str">
        <f t="shared" si="87"/>
        <v>601742 (KOP. BPR Takeran)</v>
      </c>
    </row>
    <row r="1339" spans="9:11" ht="12.75" customHeight="1" x14ac:dyDescent="0.35">
      <c r="I1339" s="16" t="s">
        <v>4365</v>
      </c>
      <c r="J1339" s="52">
        <v>601743</v>
      </c>
      <c r="K1339" s="16" t="str">
        <f t="shared" si="87"/>
        <v>601743 (PT. BPR Tanjung Tani)</v>
      </c>
    </row>
    <row r="1340" spans="9:11" ht="12.75" customHeight="1" x14ac:dyDescent="0.35">
      <c r="I1340" s="16" t="s">
        <v>4366</v>
      </c>
      <c r="J1340" s="52">
        <v>601744</v>
      </c>
      <c r="K1340" s="16" t="str">
        <f t="shared" si="87"/>
        <v>601744 (PT. BPR Artha Wiwaha Arjuna)</v>
      </c>
    </row>
    <row r="1341" spans="9:11" ht="12.75" customHeight="1" x14ac:dyDescent="0.35">
      <c r="I1341" s="16" t="s">
        <v>4367</v>
      </c>
      <c r="J1341" s="52">
        <v>601745</v>
      </c>
      <c r="K1341" s="16" t="str">
        <f t="shared" si="87"/>
        <v>601745 (PT. BPR Mahkota Mitrausaha)</v>
      </c>
    </row>
    <row r="1342" spans="9:11" ht="12.75" customHeight="1" x14ac:dyDescent="0.35">
      <c r="I1342" s="16" t="s">
        <v>4368</v>
      </c>
      <c r="J1342" s="52">
        <v>601746</v>
      </c>
      <c r="K1342" s="16" t="str">
        <f t="shared" si="87"/>
        <v>601746 (PT. BPR Tanah Kondang)</v>
      </c>
    </row>
    <row r="1343" spans="9:11" ht="12.75" customHeight="1" x14ac:dyDescent="0.35">
      <c r="I1343" s="16" t="s">
        <v>4369</v>
      </c>
      <c r="J1343" s="52">
        <v>601747</v>
      </c>
      <c r="K1343" s="16" t="str">
        <f t="shared" si="87"/>
        <v>601747 (PT BPR Artha Mandiri Sejahtera)</v>
      </c>
    </row>
    <row r="1344" spans="9:11" ht="12.75" customHeight="1" x14ac:dyDescent="0.35">
      <c r="I1344" s="16" t="s">
        <v>4370</v>
      </c>
      <c r="J1344" s="52">
        <v>601748</v>
      </c>
      <c r="K1344" s="16" t="str">
        <f t="shared" si="87"/>
        <v>601748 (PT. BPR Tripakarti Dhanatama)</v>
      </c>
    </row>
    <row r="1345" spans="9:11" ht="12.75" customHeight="1" x14ac:dyDescent="0.35">
      <c r="I1345" s="16" t="s">
        <v>4371</v>
      </c>
      <c r="J1345" s="52">
        <v>601749</v>
      </c>
      <c r="K1345" s="16" t="str">
        <f t="shared" si="87"/>
        <v>601749 (KOP. BPR Tawang Alun)</v>
      </c>
    </row>
    <row r="1346" spans="9:11" ht="12.75" customHeight="1" x14ac:dyDescent="0.35">
      <c r="I1346" s="16" t="s">
        <v>4372</v>
      </c>
      <c r="J1346" s="52">
        <v>601750</v>
      </c>
      <c r="K1346" s="16" t="str">
        <f t="shared" si="87"/>
        <v>601750 (PT BPR Andalan Daerah)</v>
      </c>
    </row>
    <row r="1347" spans="9:11" ht="12.75" customHeight="1" x14ac:dyDescent="0.35">
      <c r="I1347" s="16" t="s">
        <v>4373</v>
      </c>
      <c r="J1347" s="52">
        <v>601751</v>
      </c>
      <c r="K1347" s="16" t="str">
        <f t="shared" si="87"/>
        <v>601751 (PT. BPR Wahana Dhana Batu)</v>
      </c>
    </row>
    <row r="1348" spans="9:11" ht="12.75" customHeight="1" x14ac:dyDescent="0.35">
      <c r="I1348" s="16" t="s">
        <v>4374</v>
      </c>
      <c r="J1348" s="52">
        <v>601752</v>
      </c>
      <c r="K1348" s="16" t="str">
        <f t="shared" si="87"/>
        <v>601752 (PT. BPR Candisaka Arta)</v>
      </c>
    </row>
    <row r="1349" spans="9:11" ht="12.75" customHeight="1" x14ac:dyDescent="0.35">
      <c r="I1349" s="16" t="s">
        <v>4375</v>
      </c>
      <c r="J1349" s="52">
        <v>601754</v>
      </c>
      <c r="K1349" s="16" t="str">
        <f t="shared" si="87"/>
        <v>601754 (PT. BPR Mitra Majujaya Mandiri)</v>
      </c>
    </row>
    <row r="1350" spans="9:11" ht="12.75" customHeight="1" x14ac:dyDescent="0.35">
      <c r="I1350" s="16" t="s">
        <v>4376</v>
      </c>
      <c r="J1350" s="52">
        <v>601755</v>
      </c>
      <c r="K1350" s="16" t="str">
        <f t="shared" si="87"/>
        <v>601755 (PT. BPR Mitra Cemawis Mandiri)</v>
      </c>
    </row>
    <row r="1351" spans="9:11" ht="12.75" customHeight="1" x14ac:dyDescent="0.35">
      <c r="I1351" s="16" t="s">
        <v>4377</v>
      </c>
      <c r="J1351" s="52">
        <v>601756</v>
      </c>
      <c r="K1351" s="16" t="str">
        <f t="shared" si="87"/>
        <v>601756 (PT. BPR Puspa Kencana)</v>
      </c>
    </row>
    <row r="1352" spans="9:11" ht="12.75" customHeight="1" x14ac:dyDescent="0.35">
      <c r="I1352" s="16" t="s">
        <v>4378</v>
      </c>
      <c r="J1352" s="52">
        <v>601757</v>
      </c>
      <c r="K1352" s="16" t="str">
        <f t="shared" si="87"/>
        <v>601757 (PT. BPR Arthamulya Bumimukti)</v>
      </c>
    </row>
    <row r="1353" spans="9:11" ht="12.75" customHeight="1" x14ac:dyDescent="0.35">
      <c r="I1353" s="16" t="s">
        <v>4379</v>
      </c>
      <c r="J1353" s="52">
        <v>601758</v>
      </c>
      <c r="K1353" s="16" t="str">
        <f t="shared" si="87"/>
        <v>601758 (PT. BPR Buduran Delta Purnama)</v>
      </c>
    </row>
    <row r="1354" spans="9:11" ht="12.75" customHeight="1" x14ac:dyDescent="0.35">
      <c r="I1354" s="16" t="s">
        <v>4380</v>
      </c>
      <c r="J1354" s="52">
        <v>601759</v>
      </c>
      <c r="K1354" s="16" t="str">
        <f t="shared" si="87"/>
        <v>601759 (PT. BPR Bumi Gora Jaya)</v>
      </c>
    </row>
    <row r="1355" spans="9:11" ht="12.75" customHeight="1" x14ac:dyDescent="0.35">
      <c r="I1355" s="16" t="s">
        <v>4381</v>
      </c>
      <c r="J1355" s="52">
        <v>601760</v>
      </c>
      <c r="K1355" s="16" t="str">
        <f t="shared" si="87"/>
        <v>601760 (PT. BPR Puriseger Sentosa)</v>
      </c>
    </row>
    <row r="1356" spans="9:11" ht="12.75" customHeight="1" x14ac:dyDescent="0.35">
      <c r="I1356" s="16" t="s">
        <v>4382</v>
      </c>
      <c r="J1356" s="52">
        <v>601761</v>
      </c>
      <c r="K1356" s="16" t="str">
        <f t="shared" si="87"/>
        <v>601761 (PT. BPR Delta Artha)</v>
      </c>
    </row>
    <row r="1357" spans="9:11" ht="12.75" customHeight="1" x14ac:dyDescent="0.35">
      <c r="I1357" s="16" t="s">
        <v>4383</v>
      </c>
      <c r="J1357" s="52">
        <v>601762</v>
      </c>
      <c r="K1357" s="16" t="str">
        <f t="shared" si="87"/>
        <v>601762 (PT. BPR Sedayadhana Makmur)</v>
      </c>
    </row>
    <row r="1358" spans="9:11" ht="12.75" customHeight="1" x14ac:dyDescent="0.35">
      <c r="I1358" s="16" t="s">
        <v>4384</v>
      </c>
      <c r="J1358" s="52">
        <v>601763</v>
      </c>
      <c r="K1358" s="16" t="str">
        <f t="shared" si="87"/>
        <v>601763 (PT. BPR Citra Halim Perdana)</v>
      </c>
    </row>
    <row r="1359" spans="9:11" ht="12.75" customHeight="1" x14ac:dyDescent="0.35">
      <c r="I1359" s="16" t="s">
        <v>4385</v>
      </c>
      <c r="J1359" s="52">
        <v>601764</v>
      </c>
      <c r="K1359" s="16" t="str">
        <f t="shared" si="87"/>
        <v>601764 (PT. BPR Mitra Agung Mandiri)</v>
      </c>
    </row>
    <row r="1360" spans="9:11" ht="12.75" customHeight="1" x14ac:dyDescent="0.35">
      <c r="I1360" s="16" t="s">
        <v>4386</v>
      </c>
      <c r="J1360" s="52">
        <v>601765</v>
      </c>
      <c r="K1360" s="16" t="str">
        <f t="shared" si="87"/>
        <v>601765 (PT. BPR Bumidinar Kencana)</v>
      </c>
    </row>
    <row r="1361" spans="9:11" ht="12.75" customHeight="1" x14ac:dyDescent="0.35">
      <c r="I1361" s="16" t="s">
        <v>4387</v>
      </c>
      <c r="J1361" s="52">
        <v>601766</v>
      </c>
      <c r="K1361" s="16" t="str">
        <f t="shared" si="87"/>
        <v>601766 (PD. BPR BANK DAERAH TULUNGAGUNG)</v>
      </c>
    </row>
    <row r="1362" spans="9:11" ht="12.75" customHeight="1" x14ac:dyDescent="0.35">
      <c r="I1362" s="16" t="s">
        <v>4388</v>
      </c>
      <c r="J1362" s="52">
        <v>601767</v>
      </c>
      <c r="K1362" s="16" t="str">
        <f t="shared" si="87"/>
        <v>601767 (PT BPR Mitra Catur Mandiri)</v>
      </c>
    </row>
    <row r="1363" spans="9:11" ht="12.75" customHeight="1" x14ac:dyDescent="0.35">
      <c r="I1363" s="16" t="s">
        <v>4389</v>
      </c>
      <c r="J1363" s="52">
        <v>601769</v>
      </c>
      <c r="K1363" s="16" t="str">
        <f t="shared" si="87"/>
        <v>601769 (PT. BPR Anugerah Kusuma Singosari)</v>
      </c>
    </row>
    <row r="1364" spans="9:11" ht="12.75" customHeight="1" x14ac:dyDescent="0.35">
      <c r="I1364" s="16" t="s">
        <v>4390</v>
      </c>
      <c r="J1364" s="52">
        <v>601771</v>
      </c>
      <c r="K1364" s="16" t="str">
        <f t="shared" si="87"/>
        <v>601771 (PT. BPR Indodana Hargotama)</v>
      </c>
    </row>
    <row r="1365" spans="9:11" ht="12.75" customHeight="1" x14ac:dyDescent="0.35">
      <c r="I1365" s="16" t="s">
        <v>4391</v>
      </c>
      <c r="J1365" s="52">
        <v>601772</v>
      </c>
      <c r="K1365" s="16" t="str">
        <f t="shared" si="87"/>
        <v>601772 (PT. BPR Kimisanda)</v>
      </c>
    </row>
    <row r="1366" spans="9:11" ht="12.75" customHeight="1" x14ac:dyDescent="0.35">
      <c r="I1366" s="16" t="s">
        <v>4392</v>
      </c>
      <c r="J1366" s="52">
        <v>601773</v>
      </c>
      <c r="K1366" s="16" t="str">
        <f t="shared" si="87"/>
        <v>601773 (PT. BPR Manuk Wari)</v>
      </c>
    </row>
    <row r="1367" spans="9:11" ht="12.75" customHeight="1" x14ac:dyDescent="0.35">
      <c r="I1367" s="16" t="s">
        <v>4393</v>
      </c>
      <c r="J1367" s="52">
        <v>601774</v>
      </c>
      <c r="K1367" s="16" t="str">
        <f t="shared" si="87"/>
        <v>601774 (PT. BPR Manuk Walet)</v>
      </c>
    </row>
    <row r="1368" spans="9:11" ht="12.75" customHeight="1" x14ac:dyDescent="0.35">
      <c r="I1368" s="16" t="s">
        <v>4394</v>
      </c>
      <c r="J1368" s="52">
        <v>601775</v>
      </c>
      <c r="K1368" s="16" t="str">
        <f t="shared" si="87"/>
        <v>601775 (PT. BPR Pujon Jayamakmur)</v>
      </c>
    </row>
    <row r="1369" spans="9:11" ht="12.75" customHeight="1" x14ac:dyDescent="0.35">
      <c r="I1369" s="16" t="s">
        <v>4395</v>
      </c>
      <c r="J1369" s="52">
        <v>601776</v>
      </c>
      <c r="K1369" s="16" t="str">
        <f t="shared" si="87"/>
        <v>601776 (PT. BPR Kratonprima Abadi)</v>
      </c>
    </row>
    <row r="1370" spans="9:11" ht="12.75" customHeight="1" x14ac:dyDescent="0.35">
      <c r="I1370" s="16" t="s">
        <v>4396</v>
      </c>
      <c r="J1370" s="52">
        <v>601777</v>
      </c>
      <c r="K1370" s="16" t="str">
        <f t="shared" si="87"/>
        <v>601777 (PT. BPR Bekonang Sukoharjo)</v>
      </c>
    </row>
    <row r="1371" spans="9:11" ht="12.75" customHeight="1" x14ac:dyDescent="0.35">
      <c r="I1371" s="16" t="s">
        <v>4397</v>
      </c>
      <c r="J1371" s="52">
        <v>601778</v>
      </c>
      <c r="K1371" s="16" t="str">
        <f t="shared" si="87"/>
        <v>601778 (PT BPR Bangkit Prima Sejahtera)</v>
      </c>
    </row>
    <row r="1372" spans="9:11" ht="12.75" customHeight="1" x14ac:dyDescent="0.35">
      <c r="I1372" s="16" t="s">
        <v>4398</v>
      </c>
      <c r="J1372" s="52">
        <v>601779</v>
      </c>
      <c r="K1372" s="16" t="str">
        <f t="shared" si="87"/>
        <v>601779 (PT. BPR Adiartha Reksacitra)</v>
      </c>
    </row>
    <row r="1373" spans="9:11" ht="12.75" customHeight="1" x14ac:dyDescent="0.35">
      <c r="I1373" s="16" t="s">
        <v>4399</v>
      </c>
      <c r="J1373" s="52">
        <v>601780</v>
      </c>
      <c r="K1373" s="16" t="str">
        <f t="shared" si="87"/>
        <v>601780 (PT. BPR Sukorejo Makmur)</v>
      </c>
    </row>
    <row r="1374" spans="9:11" ht="12.75" customHeight="1" x14ac:dyDescent="0.35">
      <c r="I1374" s="16" t="s">
        <v>4400</v>
      </c>
      <c r="J1374" s="52">
        <v>601781</v>
      </c>
      <c r="K1374" s="16" t="str">
        <f t="shared" si="87"/>
        <v>601781 (PT. BPR Mulya Sri Rejeki)</v>
      </c>
    </row>
    <row r="1375" spans="9:11" ht="12.75" customHeight="1" x14ac:dyDescent="0.35">
      <c r="I1375" s="16" t="s">
        <v>4401</v>
      </c>
      <c r="J1375" s="52">
        <v>601782</v>
      </c>
      <c r="K1375" s="16" t="str">
        <f t="shared" si="87"/>
        <v>601782 (PT. BPR Purwoharjo Lestari)</v>
      </c>
    </row>
    <row r="1376" spans="9:11" ht="12.75" customHeight="1" x14ac:dyDescent="0.35">
      <c r="I1376" s="16" t="s">
        <v>4402</v>
      </c>
      <c r="J1376" s="52">
        <v>601783</v>
      </c>
      <c r="K1376" s="16" t="str">
        <f t="shared" si="87"/>
        <v>601783 (PT. BPR Mitra Jaya Mandiri)</v>
      </c>
    </row>
    <row r="1377" spans="9:11" ht="12.75" customHeight="1" x14ac:dyDescent="0.35">
      <c r="I1377" s="16" t="s">
        <v>4403</v>
      </c>
      <c r="J1377" s="52">
        <v>601784</v>
      </c>
      <c r="K1377" s="16" t="str">
        <f t="shared" si="87"/>
        <v>601784 (PT. BPR Sukowono Arthajaya)</v>
      </c>
    </row>
    <row r="1378" spans="9:11" ht="12.75" customHeight="1" x14ac:dyDescent="0.35">
      <c r="I1378" s="16" t="s">
        <v>4404</v>
      </c>
      <c r="J1378" s="52">
        <v>601785</v>
      </c>
      <c r="K1378" s="16" t="str">
        <f t="shared" si="87"/>
        <v>601785 (PT. BPR Pareartorejo)</v>
      </c>
    </row>
    <row r="1379" spans="9:11" ht="12.75" customHeight="1" x14ac:dyDescent="0.35">
      <c r="I1379" s="16" t="s">
        <v>4405</v>
      </c>
      <c r="J1379" s="52">
        <v>601786</v>
      </c>
      <c r="K1379" s="16" t="str">
        <f t="shared" si="87"/>
        <v>601786 (PT. BPR Batuartorejo)</v>
      </c>
    </row>
    <row r="1380" spans="9:11" ht="12.75" customHeight="1" x14ac:dyDescent="0.35">
      <c r="I1380" s="16" t="s">
        <v>4406</v>
      </c>
      <c r="J1380" s="52">
        <v>601787</v>
      </c>
      <c r="K1380" s="16" t="str">
        <f t="shared" si="87"/>
        <v>601787 (PT. BPR Artha Ponorogo)</v>
      </c>
    </row>
    <row r="1381" spans="9:11" ht="12.75" customHeight="1" x14ac:dyDescent="0.35">
      <c r="I1381" s="16" t="s">
        <v>4407</v>
      </c>
      <c r="J1381" s="52">
        <v>601788</v>
      </c>
      <c r="K1381" s="16" t="str">
        <f t="shared" si="87"/>
        <v>601788 (PT. BPR Wiradhana Putramas)</v>
      </c>
    </row>
    <row r="1382" spans="9:11" ht="12.75" customHeight="1" x14ac:dyDescent="0.35">
      <c r="I1382" s="16" t="s">
        <v>4408</v>
      </c>
      <c r="J1382" s="52">
        <v>601789</v>
      </c>
      <c r="K1382" s="16" t="str">
        <f t="shared" si="87"/>
        <v>601789 (PT. BPR Artha Mitra Usaha)</v>
      </c>
    </row>
    <row r="1383" spans="9:11" ht="12.75" customHeight="1" x14ac:dyDescent="0.35">
      <c r="I1383" s="16" t="s">
        <v>4409</v>
      </c>
      <c r="J1383" s="52">
        <v>601791</v>
      </c>
      <c r="K1383" s="16" t="str">
        <f t="shared" si="87"/>
        <v>601791 (PT. BPR Sentral Investasi d/h Gerbang Pr)</v>
      </c>
    </row>
    <row r="1384" spans="9:11" ht="12.75" customHeight="1" x14ac:dyDescent="0.35">
      <c r="I1384" s="16" t="s">
        <v>4410</v>
      </c>
      <c r="J1384" s="52">
        <v>601792</v>
      </c>
      <c r="K1384" s="16" t="str">
        <f t="shared" si="87"/>
        <v>601792 (PT. BPR Anugerah Artasentosa Prima)</v>
      </c>
    </row>
    <row r="1385" spans="9:11" ht="12.75" customHeight="1" x14ac:dyDescent="0.35">
      <c r="I1385" s="16" t="s">
        <v>4411</v>
      </c>
      <c r="J1385" s="52">
        <v>601793</v>
      </c>
      <c r="K1385" s="16" t="str">
        <f t="shared" si="87"/>
        <v>601793 (PT. BPR Harapan Saudara)</v>
      </c>
    </row>
    <row r="1386" spans="9:11" ht="12.75" customHeight="1" x14ac:dyDescent="0.35">
      <c r="I1386" s="16" t="s">
        <v>4412</v>
      </c>
      <c r="J1386" s="52">
        <v>601794</v>
      </c>
      <c r="K1386" s="16" t="str">
        <f t="shared" si="87"/>
        <v>601794 (PT. BPR Mitra Ekonomi Andalas)</v>
      </c>
    </row>
    <row r="1387" spans="9:11" ht="12.75" customHeight="1" x14ac:dyDescent="0.35">
      <c r="I1387" s="16" t="s">
        <v>4413</v>
      </c>
      <c r="J1387" s="52">
        <v>601795</v>
      </c>
      <c r="K1387" s="16" t="str">
        <f t="shared" si="87"/>
        <v>601795 (PT. BPR Bina Usaha dana)</v>
      </c>
    </row>
    <row r="1388" spans="9:11" ht="12.75" customHeight="1" x14ac:dyDescent="0.35">
      <c r="I1388" s="16" t="s">
        <v>4414</v>
      </c>
      <c r="J1388" s="52">
        <v>601796</v>
      </c>
      <c r="K1388" s="16" t="str">
        <f t="shared" si="87"/>
        <v>601796 (PT. BPR Karpana Tasia)</v>
      </c>
    </row>
    <row r="1389" spans="9:11" ht="12.75" customHeight="1" x14ac:dyDescent="0.35">
      <c r="I1389" s="16" t="s">
        <v>4415</v>
      </c>
      <c r="J1389" s="52">
        <v>601797</v>
      </c>
      <c r="K1389" s="16" t="str">
        <f t="shared" si="87"/>
        <v>601797 (PT. BPR Harapganda)</v>
      </c>
    </row>
    <row r="1390" spans="9:11" ht="12.75" customHeight="1" x14ac:dyDescent="0.35">
      <c r="I1390" s="16" t="s">
        <v>4416</v>
      </c>
      <c r="J1390" s="52">
        <v>601798</v>
      </c>
      <c r="K1390" s="16" t="str">
        <f t="shared" si="87"/>
        <v>601798 (PT BPR Nusantara Bona Pasogit 26)</v>
      </c>
    </row>
    <row r="1391" spans="9:11" ht="12.75" customHeight="1" x14ac:dyDescent="0.35">
      <c r="I1391" s="16" t="s">
        <v>4417</v>
      </c>
      <c r="J1391" s="52">
        <v>601800</v>
      </c>
      <c r="K1391" s="16" t="str">
        <f t="shared" si="87"/>
        <v>601800 (PT. BPR Rama Ganda)</v>
      </c>
    </row>
    <row r="1392" spans="9:11" ht="12.75" customHeight="1" x14ac:dyDescent="0.35">
      <c r="I1392" s="16" t="s">
        <v>4418</v>
      </c>
      <c r="J1392" s="52">
        <v>601803</v>
      </c>
      <c r="K1392" s="16" t="str">
        <f t="shared" si="87"/>
        <v>601803 (PT. BPR Makmur Artha Sedaya)</v>
      </c>
    </row>
    <row r="1393" spans="9:11" ht="12.75" customHeight="1" x14ac:dyDescent="0.35">
      <c r="I1393" s="16" t="s">
        <v>4419</v>
      </c>
      <c r="J1393" s="52">
        <v>601805</v>
      </c>
      <c r="K1393" s="16" t="str">
        <f t="shared" si="87"/>
        <v>601805 (PT. BPR Danatama Indonesia)</v>
      </c>
    </row>
    <row r="1394" spans="9:11" ht="12.75" customHeight="1" x14ac:dyDescent="0.35">
      <c r="I1394" s="16" t="s">
        <v>4420</v>
      </c>
      <c r="J1394" s="52">
        <v>601806</v>
      </c>
      <c r="K1394" s="16" t="str">
        <f t="shared" si="87"/>
        <v>601806 (PT BPR Nusantara Bona Pasogit 14)</v>
      </c>
    </row>
    <row r="1395" spans="9:11" ht="12.75" customHeight="1" x14ac:dyDescent="0.35">
      <c r="I1395" s="16" t="s">
        <v>4421</v>
      </c>
      <c r="J1395" s="52">
        <v>601807</v>
      </c>
      <c r="K1395" s="16" t="str">
        <f t="shared" si="87"/>
        <v>601807 (PT BPR Nature Primadana Capital)</v>
      </c>
    </row>
    <row r="1396" spans="9:11" ht="12.75" customHeight="1" x14ac:dyDescent="0.35">
      <c r="I1396" s="16" t="s">
        <v>4422</v>
      </c>
      <c r="J1396" s="52">
        <v>601808</v>
      </c>
      <c r="K1396" s="16" t="str">
        <f t="shared" si="87"/>
        <v>601808 (PT BPR Kencana)</v>
      </c>
    </row>
    <row r="1397" spans="9:11" ht="12.75" customHeight="1" x14ac:dyDescent="0.35">
      <c r="I1397" s="16" t="s">
        <v>4423</v>
      </c>
      <c r="J1397" s="52">
        <v>601809</v>
      </c>
      <c r="K1397" s="16" t="str">
        <f t="shared" si="87"/>
        <v>601809 (PT. BPR Efita Dana Sejahtera)</v>
      </c>
    </row>
    <row r="1398" spans="9:11" ht="12.75" customHeight="1" x14ac:dyDescent="0.35">
      <c r="I1398" s="16" t="s">
        <v>4424</v>
      </c>
      <c r="J1398" s="52">
        <v>601810</v>
      </c>
      <c r="K1398" s="16" t="str">
        <f t="shared" si="87"/>
        <v>601810 (PT. BPR Nusumma Singaparna)</v>
      </c>
    </row>
    <row r="1399" spans="9:11" ht="12.75" customHeight="1" x14ac:dyDescent="0.35">
      <c r="I1399" s="16" t="s">
        <v>4425</v>
      </c>
      <c r="J1399" s="52">
        <v>601812</v>
      </c>
      <c r="K1399" s="16" t="str">
        <f t="shared" si="87"/>
        <v>601812 (PT. BPR Dewangga Bali Artha)</v>
      </c>
    </row>
    <row r="1400" spans="9:11" ht="12.75" customHeight="1" x14ac:dyDescent="0.35">
      <c r="I1400" s="16" t="s">
        <v>4426</v>
      </c>
      <c r="J1400" s="52">
        <v>601813</v>
      </c>
      <c r="K1400" s="16" t="str">
        <f t="shared" si="87"/>
        <v>601813 (PT. BPR Bank Kertiawan d/h Ubudmas Dharm)</v>
      </c>
    </row>
    <row r="1401" spans="9:11" ht="12.75" customHeight="1" x14ac:dyDescent="0.35">
      <c r="I1401" s="16" t="s">
        <v>4427</v>
      </c>
      <c r="J1401" s="52">
        <v>601814</v>
      </c>
      <c r="K1401" s="16" t="str">
        <f t="shared" si="87"/>
        <v>601814 (PT. BPR Sentral Ekonomi Nusantara)</v>
      </c>
    </row>
    <row r="1402" spans="9:11" ht="12.75" customHeight="1" x14ac:dyDescent="0.35">
      <c r="I1402" s="16" t="s">
        <v>4428</v>
      </c>
      <c r="J1402" s="52">
        <v>601815</v>
      </c>
      <c r="K1402" s="16" t="str">
        <f t="shared" si="87"/>
        <v>601815 (PT. BPR Santi Pala)</v>
      </c>
    </row>
    <row r="1403" spans="9:11" ht="12.75" customHeight="1" x14ac:dyDescent="0.35">
      <c r="I1403" s="16" t="s">
        <v>4429</v>
      </c>
      <c r="J1403" s="52">
        <v>601816</v>
      </c>
      <c r="K1403" s="16" t="str">
        <f t="shared" si="87"/>
        <v>601816 (PT. BPR Mayun Utama Perdana)</v>
      </c>
    </row>
    <row r="1404" spans="9:11" ht="12.75" customHeight="1" x14ac:dyDescent="0.35">
      <c r="I1404" s="16" t="s">
        <v>4430</v>
      </c>
      <c r="J1404" s="52">
        <v>601817</v>
      </c>
      <c r="K1404" s="16" t="str">
        <f t="shared" si="87"/>
        <v>601817 (PT. BPR Suryajaya Ubud)</v>
      </c>
    </row>
    <row r="1405" spans="9:11" ht="12.75" customHeight="1" x14ac:dyDescent="0.35">
      <c r="I1405" s="16" t="s">
        <v>4431</v>
      </c>
      <c r="J1405" s="52">
        <v>601818</v>
      </c>
      <c r="K1405" s="16" t="str">
        <f t="shared" si="87"/>
        <v>601818 (PT. BPR Picu Manunggal Sejahtera)</v>
      </c>
    </row>
    <row r="1406" spans="9:11" ht="12.75" customHeight="1" x14ac:dyDescent="0.35">
      <c r="I1406" s="16" t="s">
        <v>4432</v>
      </c>
      <c r="J1406" s="52">
        <v>601819</v>
      </c>
      <c r="K1406" s="16" t="str">
        <f t="shared" si="87"/>
        <v>601819 (PT. BPR Dinar Jagad)</v>
      </c>
    </row>
    <row r="1407" spans="9:11" ht="12.75" customHeight="1" x14ac:dyDescent="0.35">
      <c r="I1407" s="16" t="s">
        <v>4433</v>
      </c>
      <c r="J1407" s="52">
        <v>601820</v>
      </c>
      <c r="K1407" s="16" t="str">
        <f t="shared" si="87"/>
        <v>601820 (PT. BPR Ulatidana Rahayu)</v>
      </c>
    </row>
    <row r="1408" spans="9:11" ht="12.75" customHeight="1" x14ac:dyDescent="0.35">
      <c r="I1408" s="16" t="s">
        <v>4434</v>
      </c>
      <c r="J1408" s="52">
        <v>601821</v>
      </c>
      <c r="K1408" s="16" t="str">
        <f t="shared" si="87"/>
        <v>601821 (PT. BPR Mertha Sedana)</v>
      </c>
    </row>
    <row r="1409" spans="9:11" ht="12.75" customHeight="1" x14ac:dyDescent="0.35">
      <c r="I1409" s="16" t="s">
        <v>4435</v>
      </c>
      <c r="J1409" s="52">
        <v>601822</v>
      </c>
      <c r="K1409" s="16" t="str">
        <f t="shared" si="87"/>
        <v>601822 (PT. BPR Padma)</v>
      </c>
    </row>
    <row r="1410" spans="9:11" ht="12.75" customHeight="1" x14ac:dyDescent="0.35">
      <c r="I1410" s="16" t="s">
        <v>4436</v>
      </c>
      <c r="J1410" s="52">
        <v>601823</v>
      </c>
      <c r="K1410" s="16" t="str">
        <f t="shared" si="87"/>
        <v>601823 (PT. BPR Gisawa)</v>
      </c>
    </row>
    <row r="1411" spans="9:11" ht="12.75" customHeight="1" x14ac:dyDescent="0.35">
      <c r="I1411" s="16" t="s">
        <v>4437</v>
      </c>
      <c r="J1411" s="52">
        <v>601825</v>
      </c>
      <c r="K1411" s="16" t="str">
        <f t="shared" si="87"/>
        <v>601825 (PT. BPR Suryajaya Kubutambahan)</v>
      </c>
    </row>
    <row r="1412" spans="9:11" ht="12.75" customHeight="1" x14ac:dyDescent="0.35">
      <c r="I1412" s="16" t="s">
        <v>4438</v>
      </c>
      <c r="J1412" s="52">
        <v>601826</v>
      </c>
      <c r="K1412" s="16" t="str">
        <f t="shared" si="87"/>
        <v>601826 (PT. BPR Permata Sedana)</v>
      </c>
    </row>
    <row r="1413" spans="9:11" ht="12.75" customHeight="1" x14ac:dyDescent="0.35">
      <c r="I1413" s="16" t="s">
        <v>4439</v>
      </c>
      <c r="J1413" s="52">
        <v>601827</v>
      </c>
      <c r="K1413" s="16" t="str">
        <f t="shared" si="87"/>
        <v>601827 (PT. BPR Urip Kalantas)</v>
      </c>
    </row>
    <row r="1414" spans="9:11" ht="12.75" customHeight="1" x14ac:dyDescent="0.35">
      <c r="I1414" s="16" t="s">
        <v>4440</v>
      </c>
      <c r="J1414" s="52">
        <v>601828</v>
      </c>
      <c r="K1414" s="16" t="str">
        <f t="shared" si="87"/>
        <v>601828 (PT. BPR Cahaya Binawerdi)</v>
      </c>
    </row>
    <row r="1415" spans="9:11" ht="12.75" customHeight="1" x14ac:dyDescent="0.35">
      <c r="I1415" s="16" t="s">
        <v>4441</v>
      </c>
      <c r="J1415" s="52">
        <v>601829</v>
      </c>
      <c r="K1415" s="16" t="str">
        <f t="shared" si="87"/>
        <v>601829 (PT. BPR Saptacristy Utama)</v>
      </c>
    </row>
    <row r="1416" spans="9:11" ht="12.75" customHeight="1" x14ac:dyDescent="0.35">
      <c r="I1416" s="16" t="s">
        <v>4442</v>
      </c>
      <c r="J1416" s="52">
        <v>601830</v>
      </c>
      <c r="K1416" s="16" t="str">
        <f t="shared" si="87"/>
        <v>601830 (PT BPR Naga)</v>
      </c>
    </row>
    <row r="1417" spans="9:11" ht="12.75" customHeight="1" x14ac:dyDescent="0.35">
      <c r="I1417" s="16" t="s">
        <v>4443</v>
      </c>
      <c r="J1417" s="52">
        <v>601831</v>
      </c>
      <c r="K1417" s="16" t="str">
        <f t="shared" si="87"/>
        <v>601831 (PT. BPR Danamaster Dewata)</v>
      </c>
    </row>
    <row r="1418" spans="9:11" ht="12.75" customHeight="1" x14ac:dyDescent="0.35">
      <c r="I1418" s="16" t="s">
        <v>4444</v>
      </c>
      <c r="J1418" s="52">
        <v>601832</v>
      </c>
      <c r="K1418" s="16" t="str">
        <f t="shared" si="87"/>
        <v>601832 (PT. BPR Baskara Dewata)</v>
      </c>
    </row>
    <row r="1419" spans="9:11" ht="12.75" customHeight="1" x14ac:dyDescent="0.35">
      <c r="I1419" s="16" t="s">
        <v>4445</v>
      </c>
      <c r="J1419" s="52">
        <v>601833</v>
      </c>
      <c r="K1419" s="16" t="str">
        <f t="shared" si="87"/>
        <v>601833 (PT. BPR Dana Master Surya)</v>
      </c>
    </row>
    <row r="1420" spans="9:11" ht="12.75" customHeight="1" x14ac:dyDescent="0.35">
      <c r="I1420" s="16" t="s">
        <v>4446</v>
      </c>
      <c r="J1420" s="52">
        <v>601834</v>
      </c>
      <c r="K1420" s="16" t="str">
        <f t="shared" si="87"/>
        <v>601834 (PT. BPR Suar Artha Dharma d/h Campuan)</v>
      </c>
    </row>
    <row r="1421" spans="9:11" ht="12.75" customHeight="1" x14ac:dyDescent="0.35">
      <c r="I1421" s="16" t="s">
        <v>4447</v>
      </c>
      <c r="J1421" s="52">
        <v>601835</v>
      </c>
      <c r="K1421" s="16" t="str">
        <f t="shared" si="87"/>
        <v>601835 (PT. BPR Mas Giri Wangi d/h Budidaya Seda)</v>
      </c>
    </row>
    <row r="1422" spans="9:11" ht="12.75" customHeight="1" x14ac:dyDescent="0.35">
      <c r="I1422" s="16" t="s">
        <v>4448</v>
      </c>
      <c r="J1422" s="52">
        <v>601836</v>
      </c>
      <c r="K1422" s="16" t="str">
        <f t="shared" si="87"/>
        <v>601836 (PT BPR KS Bali Agung Sedana)</v>
      </c>
    </row>
    <row r="1423" spans="9:11" ht="12.75" customHeight="1" x14ac:dyDescent="0.35">
      <c r="I1423" s="16" t="s">
        <v>4449</v>
      </c>
      <c r="J1423" s="52">
        <v>601837</v>
      </c>
      <c r="K1423" s="16" t="str">
        <f t="shared" si="87"/>
        <v>601837 (PT. BPR Adiartha Udiana)</v>
      </c>
    </row>
    <row r="1424" spans="9:11" ht="12.75" customHeight="1" x14ac:dyDescent="0.35">
      <c r="I1424" s="16" t="s">
        <v>4450</v>
      </c>
      <c r="J1424" s="52">
        <v>601838</v>
      </c>
      <c r="K1424" s="16" t="str">
        <f t="shared" si="87"/>
        <v>601838 (PT. BPR Siaga Dana Kuta)</v>
      </c>
    </row>
    <row r="1425" spans="9:11" ht="12.75" customHeight="1" x14ac:dyDescent="0.35">
      <c r="I1425" s="16" t="s">
        <v>4451</v>
      </c>
      <c r="J1425" s="52">
        <v>601839</v>
      </c>
      <c r="K1425" s="16" t="str">
        <f t="shared" si="87"/>
        <v>601839 (PT. BPR Dewata Indobank)</v>
      </c>
    </row>
    <row r="1426" spans="9:11" ht="12.75" customHeight="1" x14ac:dyDescent="0.35">
      <c r="I1426" s="16" t="s">
        <v>4452</v>
      </c>
      <c r="J1426" s="52">
        <v>601840</v>
      </c>
      <c r="K1426" s="16" t="str">
        <f t="shared" si="87"/>
        <v>601840 (PT. BPR Nusapanida Kuta)</v>
      </c>
    </row>
    <row r="1427" spans="9:11" ht="12.75" customHeight="1" x14ac:dyDescent="0.35">
      <c r="I1427" s="16" t="s">
        <v>4453</v>
      </c>
      <c r="J1427" s="52">
        <v>601841</v>
      </c>
      <c r="K1427" s="16" t="str">
        <f t="shared" si="87"/>
        <v>601841 (PT. BPR Hari Depan)</v>
      </c>
    </row>
    <row r="1428" spans="9:11" ht="12.75" customHeight="1" x14ac:dyDescent="0.35">
      <c r="I1428" s="16" t="s">
        <v>4454</v>
      </c>
      <c r="J1428" s="52">
        <v>601842</v>
      </c>
      <c r="K1428" s="16" t="str">
        <f t="shared" si="87"/>
        <v>601842 (PT. BPR Bali Artha Anugrah)</v>
      </c>
    </row>
    <row r="1429" spans="9:11" ht="12.75" customHeight="1" x14ac:dyDescent="0.35">
      <c r="I1429" s="16" t="s">
        <v>4455</v>
      </c>
      <c r="J1429" s="52">
        <v>601843</v>
      </c>
      <c r="K1429" s="16" t="str">
        <f t="shared" si="87"/>
        <v>601843 (PT. BPR Khrisna Darma Adipala)</v>
      </c>
    </row>
    <row r="1430" spans="9:11" ht="12.75" customHeight="1" x14ac:dyDescent="0.35">
      <c r="I1430" s="16" t="s">
        <v>4456</v>
      </c>
      <c r="J1430" s="52">
        <v>601844</v>
      </c>
      <c r="K1430" s="16" t="str">
        <f t="shared" si="87"/>
        <v>601844 (PT. BPR Bali Dananiaga)</v>
      </c>
    </row>
    <row r="1431" spans="9:11" ht="12.75" customHeight="1" x14ac:dyDescent="0.35">
      <c r="I1431" s="16" t="s">
        <v>4457</v>
      </c>
      <c r="J1431" s="52">
        <v>601845</v>
      </c>
      <c r="K1431" s="16" t="str">
        <f t="shared" si="87"/>
        <v>601845 (PT. BPR Aruna Nirmaladuta)</v>
      </c>
    </row>
    <row r="1432" spans="9:11" ht="12.75" customHeight="1" x14ac:dyDescent="0.35">
      <c r="I1432" s="16" t="s">
        <v>4458</v>
      </c>
      <c r="J1432" s="52">
        <v>601846</v>
      </c>
      <c r="K1432" s="16" t="str">
        <f t="shared" si="87"/>
        <v>601846 (PT. BPR Varis Mandiri)</v>
      </c>
    </row>
    <row r="1433" spans="9:11" ht="12.75" customHeight="1" x14ac:dyDescent="0.35">
      <c r="I1433" s="16" t="s">
        <v>4459</v>
      </c>
      <c r="J1433" s="52">
        <v>601847</v>
      </c>
      <c r="K1433" s="16" t="str">
        <f t="shared" si="87"/>
        <v>601847 (PT. BPR Artha Budaya)</v>
      </c>
    </row>
    <row r="1434" spans="9:11" ht="12.75" customHeight="1" x14ac:dyDescent="0.35">
      <c r="I1434" s="16" t="s">
        <v>4460</v>
      </c>
      <c r="J1434" s="52">
        <v>601848</v>
      </c>
      <c r="K1434" s="16" t="str">
        <f t="shared" si="87"/>
        <v>601848 (PT. BPR Partha Kencana Tohpati)</v>
      </c>
    </row>
    <row r="1435" spans="9:11" ht="12.75" customHeight="1" x14ac:dyDescent="0.35">
      <c r="I1435" s="16" t="s">
        <v>4461</v>
      </c>
      <c r="J1435" s="52">
        <v>601849</v>
      </c>
      <c r="K1435" s="16" t="str">
        <f t="shared" si="87"/>
        <v>601849 (PT. BPR Gianyar Parthasedana)</v>
      </c>
    </row>
    <row r="1436" spans="9:11" ht="12.75" customHeight="1" x14ac:dyDescent="0.35">
      <c r="I1436" s="16" t="s">
        <v>4462</v>
      </c>
      <c r="J1436" s="52">
        <v>601850</v>
      </c>
      <c r="K1436" s="16" t="str">
        <f t="shared" si="87"/>
        <v>601850 (PT. BPR Hoki)</v>
      </c>
    </row>
    <row r="1437" spans="9:11" ht="12.75" customHeight="1" x14ac:dyDescent="0.35">
      <c r="I1437" s="16" t="s">
        <v>4463</v>
      </c>
      <c r="J1437" s="52">
        <v>601851</v>
      </c>
      <c r="K1437" s="16" t="str">
        <f t="shared" si="87"/>
        <v>601851 (PT BPR Mitra Bali Srisedana Mandiri)</v>
      </c>
    </row>
    <row r="1438" spans="9:11" ht="12.75" customHeight="1" x14ac:dyDescent="0.35">
      <c r="I1438" s="16" t="s">
        <v>4464</v>
      </c>
      <c r="J1438" s="52">
        <v>601852</v>
      </c>
      <c r="K1438" s="16" t="str">
        <f t="shared" si="87"/>
        <v>601852 (PT. BPR Mitra Bali Artha Mandiri)</v>
      </c>
    </row>
    <row r="1439" spans="9:11" ht="12.75" customHeight="1" x14ac:dyDescent="0.35">
      <c r="I1439" s="16" t="s">
        <v>4465</v>
      </c>
      <c r="J1439" s="52">
        <v>601853</v>
      </c>
      <c r="K1439" s="16" t="str">
        <f t="shared" si="87"/>
        <v>601853 (PT. BPR Mitra Bali Jaya Mandiri)</v>
      </c>
    </row>
    <row r="1440" spans="9:11" ht="12.75" customHeight="1" x14ac:dyDescent="0.35">
      <c r="I1440" s="16" t="s">
        <v>4466</v>
      </c>
      <c r="J1440" s="52">
        <v>601854</v>
      </c>
      <c r="K1440" s="16" t="str">
        <f t="shared" si="87"/>
        <v>601854 (PT. BPR Mitra Bali Mandiri)</v>
      </c>
    </row>
    <row r="1441" spans="9:11" ht="12.75" customHeight="1" x14ac:dyDescent="0.35">
      <c r="I1441" s="16" t="s">
        <v>4467</v>
      </c>
      <c r="J1441" s="52">
        <v>601855</v>
      </c>
      <c r="K1441" s="16" t="str">
        <f t="shared" si="87"/>
        <v>601855 (PT. BPR Kusemas Dana Mandiri)</v>
      </c>
    </row>
    <row r="1442" spans="9:11" ht="12.75" customHeight="1" x14ac:dyDescent="0.35">
      <c r="I1442" s="16" t="s">
        <v>4468</v>
      </c>
      <c r="J1442" s="52">
        <v>601856</v>
      </c>
      <c r="K1442" s="16" t="str">
        <f t="shared" si="87"/>
        <v>601856 (PT. BPR Angsa Sedanayoga)</v>
      </c>
    </row>
    <row r="1443" spans="9:11" ht="12.75" customHeight="1" x14ac:dyDescent="0.35">
      <c r="I1443" s="16" t="s">
        <v>4469</v>
      </c>
      <c r="J1443" s="52">
        <v>601857</v>
      </c>
      <c r="K1443" s="16" t="str">
        <f t="shared" si="87"/>
        <v>601857 (PT. BPR Kanaya)</v>
      </c>
    </row>
    <row r="1444" spans="9:11" ht="12.75" customHeight="1" x14ac:dyDescent="0.35">
      <c r="I1444" s="16" t="s">
        <v>4470</v>
      </c>
      <c r="J1444" s="52">
        <v>601858</v>
      </c>
      <c r="K1444" s="16" t="str">
        <f t="shared" si="87"/>
        <v>601858 (PT BPR Mitra Bali Muktijaya Mandiri)</v>
      </c>
    </row>
    <row r="1445" spans="9:11" ht="12.75" customHeight="1" x14ac:dyDescent="0.35">
      <c r="I1445" s="16" t="s">
        <v>4471</v>
      </c>
      <c r="J1445" s="52">
        <v>601859</v>
      </c>
      <c r="K1445" s="16" t="str">
        <f t="shared" si="87"/>
        <v>601859 (PT. BPR Kita)</v>
      </c>
    </row>
    <row r="1446" spans="9:11" ht="12.75" customHeight="1" x14ac:dyDescent="0.35">
      <c r="I1446" s="16" t="s">
        <v>4472</v>
      </c>
      <c r="J1446" s="52">
        <v>601860</v>
      </c>
      <c r="K1446" s="16" t="str">
        <f t="shared" si="87"/>
        <v>601860 (PT. BPR Balaguna Perasta)</v>
      </c>
    </row>
    <row r="1447" spans="9:11" ht="12.75" customHeight="1" x14ac:dyDescent="0.35">
      <c r="I1447" s="16" t="s">
        <v>4473</v>
      </c>
      <c r="J1447" s="52">
        <v>601861</v>
      </c>
      <c r="K1447" s="16" t="str">
        <f t="shared" si="87"/>
        <v>601861 (PT. BPR Mulia Wacana)</v>
      </c>
    </row>
    <row r="1448" spans="9:11" ht="12.75" customHeight="1" x14ac:dyDescent="0.35">
      <c r="I1448" s="16" t="s">
        <v>4474</v>
      </c>
      <c r="J1448" s="52">
        <v>601862</v>
      </c>
      <c r="K1448" s="16" t="str">
        <f t="shared" si="87"/>
        <v>601862 (PT. BD Sarpana Dhana)</v>
      </c>
    </row>
    <row r="1449" spans="9:11" ht="12.75" customHeight="1" x14ac:dyDescent="0.35">
      <c r="I1449" s="16" t="s">
        <v>4475</v>
      </c>
      <c r="J1449" s="52">
        <v>601863</v>
      </c>
      <c r="K1449" s="16" t="str">
        <f t="shared" si="87"/>
        <v>601863 (PT. BPR Raga Jayatama)</v>
      </c>
    </row>
    <row r="1450" spans="9:11" ht="12.75" customHeight="1" x14ac:dyDescent="0.35">
      <c r="I1450" s="16" t="s">
        <v>4476</v>
      </c>
      <c r="J1450" s="52">
        <v>601864</v>
      </c>
      <c r="K1450" s="16" t="str">
        <f t="shared" si="87"/>
        <v>601864 (PT. BPR Dewata Candradana)</v>
      </c>
    </row>
    <row r="1451" spans="9:11" ht="12.75" customHeight="1" x14ac:dyDescent="0.35">
      <c r="I1451" s="16" t="s">
        <v>4477</v>
      </c>
      <c r="J1451" s="52">
        <v>601865</v>
      </c>
      <c r="K1451" s="16" t="str">
        <f t="shared" si="87"/>
        <v>601865 (PT. BPR Eka Ayu Artha Bhuwana)</v>
      </c>
    </row>
    <row r="1452" spans="9:11" ht="12.75" customHeight="1" x14ac:dyDescent="0.35">
      <c r="I1452" s="16" t="s">
        <v>4478</v>
      </c>
      <c r="J1452" s="52">
        <v>601866</v>
      </c>
      <c r="K1452" s="16" t="str">
        <f t="shared" si="87"/>
        <v>601866 (PT. BPR Sari Jaya Sedana d/h Acuta Jaya)</v>
      </c>
    </row>
    <row r="1453" spans="9:11" ht="12.75" customHeight="1" x14ac:dyDescent="0.35">
      <c r="I1453" s="16" t="s">
        <v>4479</v>
      </c>
      <c r="J1453" s="52">
        <v>601867</v>
      </c>
      <c r="K1453" s="16" t="str">
        <f t="shared" si="87"/>
        <v>601867 (PT. BPR Narpada Nusa)</v>
      </c>
    </row>
    <row r="1454" spans="9:11" ht="12.75" customHeight="1" x14ac:dyDescent="0.35">
      <c r="I1454" s="16" t="s">
        <v>4480</v>
      </c>
      <c r="J1454" s="52">
        <v>601868</v>
      </c>
      <c r="K1454" s="16" t="str">
        <f t="shared" si="87"/>
        <v>601868 (PT. BPR Abdi Warga Mulia)</v>
      </c>
    </row>
    <row r="1455" spans="9:11" ht="12.75" customHeight="1" x14ac:dyDescent="0.35">
      <c r="I1455" s="16" t="s">
        <v>4481</v>
      </c>
      <c r="J1455" s="52">
        <v>601869</v>
      </c>
      <c r="K1455" s="16" t="str">
        <f t="shared" si="87"/>
        <v>601869 (PT. BPR Phidectama Sentani)</v>
      </c>
    </row>
    <row r="1456" spans="9:11" ht="12.75" customHeight="1" x14ac:dyDescent="0.35">
      <c r="I1456" s="16" t="s">
        <v>4482</v>
      </c>
      <c r="J1456" s="52">
        <v>601870</v>
      </c>
      <c r="K1456" s="16" t="str">
        <f t="shared" si="87"/>
        <v>601870 (PT. BPR Terabina Seraya Mulia)</v>
      </c>
    </row>
    <row r="1457" spans="9:11" ht="12.75" customHeight="1" x14ac:dyDescent="0.35">
      <c r="I1457" s="16" t="s">
        <v>4483</v>
      </c>
      <c r="J1457" s="52">
        <v>601871</v>
      </c>
      <c r="K1457" s="16" t="str">
        <f t="shared" si="87"/>
        <v>601871 (PT. BPR Jati Lestari)</v>
      </c>
    </row>
    <row r="1458" spans="9:11" ht="12.75" customHeight="1" x14ac:dyDescent="0.35">
      <c r="I1458" s="16" t="s">
        <v>4484</v>
      </c>
      <c r="J1458" s="52">
        <v>601872</v>
      </c>
      <c r="K1458" s="16" t="str">
        <f t="shared" si="87"/>
        <v>601872 (PT BPR Nusantara Bona Pasogit 20)</v>
      </c>
    </row>
    <row r="1459" spans="9:11" ht="12.75" customHeight="1" x14ac:dyDescent="0.35">
      <c r="I1459" s="16" t="s">
        <v>4485</v>
      </c>
      <c r="J1459" s="52">
        <v>601873</v>
      </c>
      <c r="K1459" s="16" t="str">
        <f t="shared" si="87"/>
        <v>601873 (PT.BPR Nusantara Bona Pasogit 18)</v>
      </c>
    </row>
    <row r="1460" spans="9:11" ht="12.75" customHeight="1" x14ac:dyDescent="0.35">
      <c r="I1460" s="16" t="s">
        <v>4486</v>
      </c>
      <c r="J1460" s="52">
        <v>601874</v>
      </c>
      <c r="K1460" s="16" t="str">
        <f t="shared" si="87"/>
        <v>601874 (PT. BPR Nusantara Bona Pasogit 15)</v>
      </c>
    </row>
    <row r="1461" spans="9:11" ht="12.75" customHeight="1" x14ac:dyDescent="0.35">
      <c r="I1461" s="16" t="s">
        <v>4487</v>
      </c>
      <c r="J1461" s="52">
        <v>601875</v>
      </c>
      <c r="K1461" s="16" t="str">
        <f t="shared" si="87"/>
        <v>601875 (PT. BPR Nusantara Bona Pasogit 17)</v>
      </c>
    </row>
    <row r="1462" spans="9:11" ht="12.75" customHeight="1" x14ac:dyDescent="0.35">
      <c r="I1462" s="16" t="s">
        <v>4488</v>
      </c>
      <c r="J1462" s="52">
        <v>601876</v>
      </c>
      <c r="K1462" s="16" t="str">
        <f t="shared" si="87"/>
        <v>601876 (PT. BPR Bumiasih NBP 21)</v>
      </c>
    </row>
    <row r="1463" spans="9:11" ht="12.75" customHeight="1" x14ac:dyDescent="0.35">
      <c r="I1463" s="16" t="s">
        <v>4489</v>
      </c>
      <c r="J1463" s="52">
        <v>601877</v>
      </c>
      <c r="K1463" s="16" t="str">
        <f t="shared" si="87"/>
        <v>601877 (PT. BPR Bandar Jaya d/h Perdagangan NBP)</v>
      </c>
    </row>
    <row r="1464" spans="9:11" ht="12.75" customHeight="1" x14ac:dyDescent="0.35">
      <c r="I1464" s="16" t="s">
        <v>4490</v>
      </c>
      <c r="J1464" s="52">
        <v>601878</v>
      </c>
      <c r="K1464" s="16" t="str">
        <f t="shared" si="87"/>
        <v>601878 (PT. BPR Banyu Arthacitra)</v>
      </c>
    </row>
    <row r="1465" spans="9:11" ht="12.75" customHeight="1" x14ac:dyDescent="0.35">
      <c r="I1465" s="16" t="s">
        <v>4491</v>
      </c>
      <c r="J1465" s="52">
        <v>601879</v>
      </c>
      <c r="K1465" s="16" t="str">
        <f t="shared" si="87"/>
        <v>601879 (PD BPR Bank Daerah Pati)</v>
      </c>
    </row>
    <row r="1466" spans="9:11" ht="12.75" customHeight="1" x14ac:dyDescent="0.35">
      <c r="I1466" s="16" t="s">
        <v>4492</v>
      </c>
      <c r="J1466" s="52">
        <v>601881</v>
      </c>
      <c r="K1466" s="16" t="str">
        <f t="shared" si="87"/>
        <v>601881 (PT BPR Sentral Mitra Sejahtera)</v>
      </c>
    </row>
    <row r="1467" spans="9:11" ht="12.75" customHeight="1" x14ac:dyDescent="0.35">
      <c r="I1467" s="16" t="s">
        <v>4493</v>
      </c>
      <c r="J1467" s="52">
        <v>601882</v>
      </c>
      <c r="K1467" s="16" t="str">
        <f t="shared" si="87"/>
        <v>601882 (PT. BPR Palu Lokadana Utama)</v>
      </c>
    </row>
    <row r="1468" spans="9:11" ht="12.75" customHeight="1" x14ac:dyDescent="0.35">
      <c r="I1468" s="16" t="s">
        <v>4494</v>
      </c>
      <c r="J1468" s="52">
        <v>601883</v>
      </c>
      <c r="K1468" s="16" t="str">
        <f t="shared" si="87"/>
        <v>601883 (PT. BPR Pondasi Niaga Perdana)</v>
      </c>
    </row>
    <row r="1469" spans="9:11" ht="12.75" customHeight="1" x14ac:dyDescent="0.35">
      <c r="I1469" s="16" t="s">
        <v>4495</v>
      </c>
      <c r="J1469" s="52">
        <v>601884</v>
      </c>
      <c r="K1469" s="16" t="str">
        <f t="shared" si="87"/>
        <v>601884 (PD. BPR BP Kota Pekalongan)</v>
      </c>
    </row>
    <row r="1470" spans="9:11" ht="12.75" customHeight="1" x14ac:dyDescent="0.35">
      <c r="I1470" s="16" t="s">
        <v>4496</v>
      </c>
      <c r="J1470" s="52">
        <v>601885</v>
      </c>
      <c r="K1470" s="16" t="str">
        <f t="shared" si="87"/>
        <v>601885 (PT. BPR Danamasa Cimahi)</v>
      </c>
    </row>
    <row r="1471" spans="9:11" ht="12.75" customHeight="1" x14ac:dyDescent="0.35">
      <c r="I1471" s="16" t="s">
        <v>4497</v>
      </c>
      <c r="J1471" s="52">
        <v>601886</v>
      </c>
      <c r="K1471" s="16" t="str">
        <f t="shared" si="87"/>
        <v>601886 (PT. BPR Irian Sentosa)</v>
      </c>
    </row>
    <row r="1472" spans="9:11" ht="12.75" customHeight="1" x14ac:dyDescent="0.35">
      <c r="I1472" s="16" t="s">
        <v>4498</v>
      </c>
      <c r="J1472" s="52">
        <v>601887</v>
      </c>
      <c r="K1472" s="16" t="str">
        <f t="shared" si="87"/>
        <v>601887 (PT. BPR Asri Cikupa Karya)</v>
      </c>
    </row>
    <row r="1473" spans="9:11" ht="12.75" customHeight="1" x14ac:dyDescent="0.35">
      <c r="I1473" s="16" t="s">
        <v>4499</v>
      </c>
      <c r="J1473" s="52">
        <v>601888</v>
      </c>
      <c r="K1473" s="16" t="str">
        <f t="shared" si="87"/>
        <v>601888 (PT. BPR Parasahabat Bekasi)</v>
      </c>
    </row>
    <row r="1474" spans="9:11" ht="12.75" customHeight="1" x14ac:dyDescent="0.35">
      <c r="I1474" s="16" t="s">
        <v>4500</v>
      </c>
      <c r="J1474" s="52">
        <v>601889</v>
      </c>
      <c r="K1474" s="16" t="str">
        <f t="shared" si="87"/>
        <v>601889 (PT BPR Dana Pos)</v>
      </c>
    </row>
    <row r="1475" spans="9:11" ht="12.75" customHeight="1" x14ac:dyDescent="0.35">
      <c r="I1475" s="16" t="s">
        <v>4501</v>
      </c>
      <c r="J1475" s="52">
        <v>601890</v>
      </c>
      <c r="K1475" s="16" t="str">
        <f t="shared" si="87"/>
        <v>601890 (PT BPR Ukabima Lumbung Sejahtera)</v>
      </c>
    </row>
    <row r="1476" spans="9:11" ht="12.75" customHeight="1" x14ac:dyDescent="0.35">
      <c r="I1476" s="16" t="s">
        <v>4502</v>
      </c>
      <c r="J1476" s="52">
        <v>601891</v>
      </c>
      <c r="K1476" s="16" t="str">
        <f t="shared" si="87"/>
        <v>601891 (PT BPR Karya Guna Mandiri)</v>
      </c>
    </row>
    <row r="1477" spans="9:11" ht="12.75" customHeight="1" x14ac:dyDescent="0.35">
      <c r="I1477" s="16" t="s">
        <v>4503</v>
      </c>
      <c r="J1477" s="52">
        <v>601895</v>
      </c>
      <c r="K1477" s="16" t="str">
        <f t="shared" si="87"/>
        <v>601895 (PT BPR Swadharma Artha Nusa)</v>
      </c>
    </row>
    <row r="1478" spans="9:11" ht="12.75" customHeight="1" x14ac:dyDescent="0.35">
      <c r="I1478" s="16" t="s">
        <v>4504</v>
      </c>
      <c r="J1478" s="52">
        <v>601896</v>
      </c>
      <c r="K1478" s="16" t="str">
        <f t="shared" si="87"/>
        <v>601896 (PT. BPR Swadharma Bangun Artha)</v>
      </c>
    </row>
    <row r="1479" spans="9:11" ht="12.75" customHeight="1" x14ac:dyDescent="0.35">
      <c r="I1479" s="16" t="s">
        <v>4505</v>
      </c>
      <c r="J1479" s="52">
        <v>601898</v>
      </c>
      <c r="K1479" s="16" t="str">
        <f t="shared" si="87"/>
        <v>601898 (PT. BPR Karangwaru Pratama)</v>
      </c>
    </row>
    <row r="1480" spans="9:11" ht="12.75" customHeight="1" x14ac:dyDescent="0.35">
      <c r="I1480" s="16" t="s">
        <v>4506</v>
      </c>
      <c r="J1480" s="52">
        <v>601899</v>
      </c>
      <c r="K1480" s="16" t="str">
        <f t="shared" si="87"/>
        <v>601899 (PT. BPR Muara Sumber Dana)</v>
      </c>
    </row>
    <row r="1481" spans="9:11" ht="12.75" customHeight="1" x14ac:dyDescent="0.35">
      <c r="I1481" s="16" t="s">
        <v>4507</v>
      </c>
      <c r="J1481" s="52">
        <v>601901</v>
      </c>
      <c r="K1481" s="16" t="str">
        <f t="shared" si="87"/>
        <v>601901 (PT. BPR Brata Nusantara)</v>
      </c>
    </row>
    <row r="1482" spans="9:11" ht="12.75" customHeight="1" x14ac:dyDescent="0.35">
      <c r="I1482" s="16" t="s">
        <v>4508</v>
      </c>
      <c r="J1482" s="52">
        <v>601902</v>
      </c>
      <c r="K1482" s="16" t="str">
        <f t="shared" si="87"/>
        <v>601902 (PT. BPR Prima Kredit Mandiri)</v>
      </c>
    </row>
    <row r="1483" spans="9:11" ht="12.75" customHeight="1" x14ac:dyDescent="0.35">
      <c r="I1483" s="16" t="s">
        <v>4509</v>
      </c>
      <c r="J1483" s="52">
        <v>601903</v>
      </c>
      <c r="K1483" s="16" t="str">
        <f t="shared" si="87"/>
        <v>601903 (PT. BPR Raksa Wacana Agri Purnama)</v>
      </c>
    </row>
    <row r="1484" spans="9:11" ht="12.75" customHeight="1" x14ac:dyDescent="0.35">
      <c r="I1484" s="16" t="s">
        <v>4510</v>
      </c>
      <c r="J1484" s="52">
        <v>601904</v>
      </c>
      <c r="K1484" s="16" t="str">
        <f t="shared" si="87"/>
        <v>601904 (PT. BPR Sulawesi Danajaya)</v>
      </c>
    </row>
    <row r="1485" spans="9:11" ht="12.75" customHeight="1" x14ac:dyDescent="0.35">
      <c r="I1485" s="16" t="s">
        <v>4511</v>
      </c>
      <c r="J1485" s="52">
        <v>601905</v>
      </c>
      <c r="K1485" s="16" t="str">
        <f t="shared" si="87"/>
        <v>601905 (PT. BPR BUMIBEKASI ARTHA)</v>
      </c>
    </row>
    <row r="1486" spans="9:11" ht="12.75" customHeight="1" x14ac:dyDescent="0.35">
      <c r="I1486" s="16" t="s">
        <v>4512</v>
      </c>
      <c r="J1486" s="52">
        <v>601906</v>
      </c>
      <c r="K1486" s="16" t="str">
        <f t="shared" si="87"/>
        <v>601906 (PT. BPR Lopok Ganda)</v>
      </c>
    </row>
    <row r="1487" spans="9:11" ht="12.75" customHeight="1" x14ac:dyDescent="0.35">
      <c r="I1487" s="16" t="s">
        <v>4513</v>
      </c>
      <c r="J1487" s="52">
        <v>601907</v>
      </c>
      <c r="K1487" s="16" t="str">
        <f t="shared" si="87"/>
        <v>601907 (PT. BPR Kabalong Abdi Swadaya)</v>
      </c>
    </row>
    <row r="1488" spans="9:11" ht="12.75" customHeight="1" x14ac:dyDescent="0.35">
      <c r="I1488" s="16" t="s">
        <v>4514</v>
      </c>
      <c r="J1488" s="52">
        <v>601908</v>
      </c>
      <c r="K1488" s="16" t="str">
        <f t="shared" si="87"/>
        <v>601908 (PT. BPR Bima Abdi Swadaya)</v>
      </c>
    </row>
    <row r="1489" spans="9:11" ht="12.75" customHeight="1" x14ac:dyDescent="0.35">
      <c r="I1489" s="16" t="s">
        <v>4515</v>
      </c>
      <c r="J1489" s="52">
        <v>601909</v>
      </c>
      <c r="K1489" s="16" t="str">
        <f t="shared" si="87"/>
        <v>601909 (PT. BPR Primanadi)</v>
      </c>
    </row>
    <row r="1490" spans="9:11" ht="12.75" customHeight="1" x14ac:dyDescent="0.35">
      <c r="I1490" s="16" t="s">
        <v>4516</v>
      </c>
      <c r="J1490" s="52">
        <v>601911</v>
      </c>
      <c r="K1490" s="16" t="str">
        <f t="shared" si="87"/>
        <v>601911 (PT. BPR Daramandiri)</v>
      </c>
    </row>
    <row r="1491" spans="9:11" ht="12.75" customHeight="1" x14ac:dyDescent="0.35">
      <c r="I1491" s="16" t="s">
        <v>4517</v>
      </c>
      <c r="J1491" s="52">
        <v>601912</v>
      </c>
      <c r="K1491" s="16" t="str">
        <f t="shared" si="87"/>
        <v>601912 (PT. BPR Tritama Abadi Mengkendek)</v>
      </c>
    </row>
    <row r="1492" spans="9:11" ht="12.75" customHeight="1" x14ac:dyDescent="0.35">
      <c r="I1492" s="16" t="s">
        <v>4518</v>
      </c>
      <c r="J1492" s="52">
        <v>601913</v>
      </c>
      <c r="K1492" s="16" t="str">
        <f t="shared" si="87"/>
        <v>601913 (PT. BPR Yustima)</v>
      </c>
    </row>
    <row r="1493" spans="9:11" ht="12.75" customHeight="1" x14ac:dyDescent="0.35">
      <c r="I1493" s="16" t="s">
        <v>4519</v>
      </c>
      <c r="J1493" s="52">
        <v>601914</v>
      </c>
      <c r="K1493" s="16" t="str">
        <f t="shared" si="87"/>
        <v>601914 (PT. BPR Lugas Ganda)</v>
      </c>
    </row>
    <row r="1494" spans="9:11" ht="12.75" customHeight="1" x14ac:dyDescent="0.35">
      <c r="I1494" s="16" t="s">
        <v>4520</v>
      </c>
      <c r="J1494" s="52">
        <v>601915</v>
      </c>
      <c r="K1494" s="16" t="str">
        <f t="shared" si="87"/>
        <v>601915 (PT. BPR Samawa Kencana)</v>
      </c>
    </row>
    <row r="1495" spans="9:11" ht="12.75" customHeight="1" x14ac:dyDescent="0.35">
      <c r="I1495" s="16" t="s">
        <v>4521</v>
      </c>
      <c r="J1495" s="52">
        <v>601916</v>
      </c>
      <c r="K1495" s="16" t="str">
        <f t="shared" si="87"/>
        <v>601916 (PT. BPR Citra Dumoga)</v>
      </c>
    </row>
    <row r="1496" spans="9:11" ht="12.75" customHeight="1" x14ac:dyDescent="0.35">
      <c r="I1496" s="16" t="s">
        <v>4522</v>
      </c>
      <c r="J1496" s="52">
        <v>601917</v>
      </c>
      <c r="K1496" s="16" t="str">
        <f t="shared" si="87"/>
        <v>601917 (PT. BPR Capta Sakti Sejahtera)</v>
      </c>
    </row>
    <row r="1497" spans="9:11" ht="12.75" customHeight="1" x14ac:dyDescent="0.35">
      <c r="I1497" s="16" t="s">
        <v>4523</v>
      </c>
      <c r="J1497" s="52">
        <v>601918</v>
      </c>
      <c r="K1497" s="16" t="str">
        <f t="shared" si="87"/>
        <v>601918 (PT. BPR Capta Mulia Abadi)</v>
      </c>
    </row>
    <row r="1498" spans="9:11" ht="12.75" customHeight="1" x14ac:dyDescent="0.35">
      <c r="I1498" s="16" t="s">
        <v>4524</v>
      </c>
      <c r="J1498" s="52">
        <v>601919</v>
      </c>
      <c r="K1498" s="16" t="str">
        <f t="shared" si="87"/>
        <v>601919 (PT. BPR Mega Zanur)</v>
      </c>
    </row>
    <row r="1499" spans="9:11" ht="12.75" customHeight="1" x14ac:dyDescent="0.35">
      <c r="I1499" s="16" t="s">
        <v>4525</v>
      </c>
      <c r="J1499" s="52">
        <v>601920</v>
      </c>
      <c r="K1499" s="16" t="str">
        <f t="shared" si="87"/>
        <v>601920 (PT. BPR Akarumi)</v>
      </c>
    </row>
    <row r="1500" spans="9:11" ht="12.75" customHeight="1" x14ac:dyDescent="0.35">
      <c r="I1500" s="16" t="s">
        <v>4526</v>
      </c>
      <c r="J1500" s="52">
        <v>601922</v>
      </c>
      <c r="K1500" s="16" t="str">
        <f t="shared" si="87"/>
        <v>601922 (PT BPR Pembangunan Kab Padang Pariaman)</v>
      </c>
    </row>
    <row r="1501" spans="9:11" ht="12.75" customHeight="1" x14ac:dyDescent="0.35">
      <c r="I1501" s="16" t="s">
        <v>4527</v>
      </c>
      <c r="J1501" s="52">
        <v>601924</v>
      </c>
      <c r="K1501" s="16" t="str">
        <f t="shared" si="87"/>
        <v>601924 (PT. BPR Prisma Dana)</v>
      </c>
    </row>
    <row r="1502" spans="9:11" ht="12.75" customHeight="1" x14ac:dyDescent="0.35">
      <c r="I1502" s="16" t="s">
        <v>4528</v>
      </c>
      <c r="J1502" s="52">
        <v>601926</v>
      </c>
      <c r="K1502" s="16" t="str">
        <f t="shared" si="87"/>
        <v>601926 (PT. BPR Dumai Kapital Lestari)</v>
      </c>
    </row>
    <row r="1503" spans="9:11" ht="12.75" customHeight="1" x14ac:dyDescent="0.35">
      <c r="I1503" s="16" t="s">
        <v>4529</v>
      </c>
      <c r="J1503" s="52">
        <v>601927</v>
      </c>
      <c r="K1503" s="16" t="str">
        <f t="shared" si="87"/>
        <v>601927 (PT. BPR Karyabhakti Ugahari)</v>
      </c>
    </row>
    <row r="1504" spans="9:11" ht="12.75" customHeight="1" x14ac:dyDescent="0.35">
      <c r="I1504" s="16" t="s">
        <v>4530</v>
      </c>
      <c r="J1504" s="52">
        <v>601928</v>
      </c>
      <c r="K1504" s="16" t="str">
        <f t="shared" si="87"/>
        <v>601928 (PT. BPR Pinasungkulan Indah)</v>
      </c>
    </row>
    <row r="1505" spans="9:11" ht="12.75" customHeight="1" x14ac:dyDescent="0.35">
      <c r="I1505" s="16" t="s">
        <v>4531</v>
      </c>
      <c r="J1505" s="52">
        <v>601929</v>
      </c>
      <c r="K1505" s="16" t="str">
        <f t="shared" si="87"/>
        <v>601929 (KOP. BPR VII Koto)</v>
      </c>
    </row>
    <row r="1506" spans="9:11" ht="12.75" customHeight="1" x14ac:dyDescent="0.35">
      <c r="I1506" s="16" t="s">
        <v>4532</v>
      </c>
      <c r="J1506" s="52">
        <v>601930</v>
      </c>
      <c r="K1506" s="16" t="str">
        <f t="shared" si="87"/>
        <v>601930 (PT. BPR Pijer Podi Kekelengen)</v>
      </c>
    </row>
    <row r="1507" spans="9:11" ht="12.75" customHeight="1" x14ac:dyDescent="0.35">
      <c r="I1507" s="16" t="s">
        <v>4533</v>
      </c>
      <c r="J1507" s="52">
        <v>601931</v>
      </c>
      <c r="K1507" s="16" t="str">
        <f t="shared" si="87"/>
        <v>601931 (PT. BPR Perbaungan Hombar Makmur)</v>
      </c>
    </row>
    <row r="1508" spans="9:11" ht="12.75" customHeight="1" x14ac:dyDescent="0.35">
      <c r="I1508" s="16" t="s">
        <v>4534</v>
      </c>
      <c r="J1508" s="52">
        <v>601932</v>
      </c>
      <c r="K1508" s="16" t="str">
        <f t="shared" si="87"/>
        <v>601932 (PT. BPR Mapalus Tumetenden)</v>
      </c>
    </row>
    <row r="1509" spans="9:11" ht="12.75" customHeight="1" x14ac:dyDescent="0.35">
      <c r="I1509" s="16" t="s">
        <v>4535</v>
      </c>
      <c r="J1509" s="52">
        <v>601937</v>
      </c>
      <c r="K1509" s="16" t="str">
        <f t="shared" si="87"/>
        <v>601937 (PT. BPR Maroba Ite)</v>
      </c>
    </row>
    <row r="1510" spans="9:11" ht="12.75" customHeight="1" x14ac:dyDescent="0.35">
      <c r="I1510" s="16" t="s">
        <v>4536</v>
      </c>
      <c r="J1510" s="52">
        <v>601938</v>
      </c>
      <c r="K1510" s="16" t="str">
        <f t="shared" si="87"/>
        <v>601938 (KOP. BPR Ingin Jaya)</v>
      </c>
    </row>
    <row r="1511" spans="9:11" ht="12.75" customHeight="1" x14ac:dyDescent="0.35">
      <c r="I1511" s="16" t="s">
        <v>4537</v>
      </c>
      <c r="J1511" s="52">
        <v>601939</v>
      </c>
      <c r="K1511" s="16" t="str">
        <f t="shared" si="87"/>
        <v>601939 (PT. BPR Mindosari)</v>
      </c>
    </row>
    <row r="1512" spans="9:11" ht="12.75" customHeight="1" x14ac:dyDescent="0.35">
      <c r="I1512" s="16" t="s">
        <v>4538</v>
      </c>
      <c r="J1512" s="52">
        <v>601942</v>
      </c>
      <c r="K1512" s="16" t="str">
        <f t="shared" si="87"/>
        <v>601942 (PT. BPR Asparaga Adiguna Bersama)</v>
      </c>
    </row>
    <row r="1513" spans="9:11" ht="12.75" customHeight="1" x14ac:dyDescent="0.35">
      <c r="I1513" s="16" t="s">
        <v>4539</v>
      </c>
      <c r="J1513" s="52">
        <v>601943</v>
      </c>
      <c r="K1513" s="16" t="str">
        <f t="shared" si="87"/>
        <v>601943 (PT. BPR Puangrimanggalatung)</v>
      </c>
    </row>
    <row r="1514" spans="9:11" ht="12.75" customHeight="1" x14ac:dyDescent="0.35">
      <c r="I1514" s="16" t="s">
        <v>4540</v>
      </c>
      <c r="J1514" s="52">
        <v>601944</v>
      </c>
      <c r="K1514" s="16" t="str">
        <f t="shared" si="87"/>
        <v>601944 (PT. BPR Tabungan Rakyat)</v>
      </c>
    </row>
    <row r="1515" spans="9:11" ht="12.75" customHeight="1" x14ac:dyDescent="0.35">
      <c r="I1515" s="16" t="s">
        <v>4541</v>
      </c>
      <c r="J1515" s="52">
        <v>601945</v>
      </c>
      <c r="K1515" s="16" t="str">
        <f t="shared" si="87"/>
        <v>601945 (PT. BPR Kartika Matuari)</v>
      </c>
    </row>
    <row r="1516" spans="9:11" ht="12.75" customHeight="1" x14ac:dyDescent="0.35">
      <c r="I1516" s="16" t="s">
        <v>4542</v>
      </c>
      <c r="J1516" s="52">
        <v>601946</v>
      </c>
      <c r="K1516" s="16" t="str">
        <f t="shared" si="87"/>
        <v>601946 (PT. BPR Phidectama Abepura)</v>
      </c>
    </row>
    <row r="1517" spans="9:11" ht="12.75" customHeight="1" x14ac:dyDescent="0.35">
      <c r="I1517" s="16" t="s">
        <v>4543</v>
      </c>
      <c r="J1517" s="52">
        <v>601947</v>
      </c>
      <c r="K1517" s="16" t="str">
        <f t="shared" si="87"/>
        <v>601947 (PT. BPR Tebas Lokarizki)</v>
      </c>
    </row>
    <row r="1518" spans="9:11" ht="12.75" customHeight="1" x14ac:dyDescent="0.35">
      <c r="I1518" s="16" t="s">
        <v>4544</v>
      </c>
      <c r="J1518" s="52">
        <v>601948</v>
      </c>
      <c r="K1518" s="16" t="str">
        <f t="shared" si="87"/>
        <v>601948 (PT. BPR Dian Binarta)</v>
      </c>
    </row>
    <row r="1519" spans="9:11" ht="12.75" customHeight="1" x14ac:dyDescent="0.35">
      <c r="I1519" s="16" t="s">
        <v>4545</v>
      </c>
      <c r="J1519" s="52">
        <v>601949</v>
      </c>
      <c r="K1519" s="16" t="str">
        <f t="shared" si="87"/>
        <v>601949 (PT. BPR Rarat Ganda)</v>
      </c>
    </row>
    <row r="1520" spans="9:11" ht="12.75" customHeight="1" x14ac:dyDescent="0.35">
      <c r="I1520" s="16" t="s">
        <v>4546</v>
      </c>
      <c r="J1520" s="52">
        <v>601950</v>
      </c>
      <c r="K1520" s="16" t="str">
        <f t="shared" si="87"/>
        <v>601950 (PT. BPR Musi Artha Lestari)</v>
      </c>
    </row>
    <row r="1521" spans="9:11" ht="12.75" customHeight="1" x14ac:dyDescent="0.35">
      <c r="I1521" s="16" t="s">
        <v>4547</v>
      </c>
      <c r="J1521" s="52">
        <v>601951</v>
      </c>
      <c r="K1521" s="16" t="str">
        <f t="shared" si="87"/>
        <v>601951 (PT. BPR Tri Gunung Selatan)</v>
      </c>
    </row>
    <row r="1522" spans="9:11" ht="12.75" customHeight="1" x14ac:dyDescent="0.35">
      <c r="I1522" s="16" t="s">
        <v>4548</v>
      </c>
      <c r="J1522" s="52">
        <v>601952</v>
      </c>
      <c r="K1522" s="16" t="str">
        <f t="shared" si="87"/>
        <v>601952 (PT. BPR Multidana Mandiri)</v>
      </c>
    </row>
    <row r="1523" spans="9:11" ht="12.75" customHeight="1" x14ac:dyDescent="0.35">
      <c r="I1523" s="16" t="s">
        <v>4549</v>
      </c>
      <c r="J1523" s="52">
        <v>601953</v>
      </c>
      <c r="K1523" s="16" t="str">
        <f t="shared" si="87"/>
        <v>601953 (PT. BPR Tiur Ganda)</v>
      </c>
    </row>
    <row r="1524" spans="9:11" ht="12.75" customHeight="1" x14ac:dyDescent="0.35">
      <c r="I1524" s="16" t="s">
        <v>4550</v>
      </c>
      <c r="J1524" s="52">
        <v>601954</v>
      </c>
      <c r="K1524" s="16" t="str">
        <f t="shared" si="87"/>
        <v>601954 (PT. BPR Tahap Ganda)</v>
      </c>
    </row>
    <row r="1525" spans="9:11" ht="12.75" customHeight="1" x14ac:dyDescent="0.35">
      <c r="I1525" s="16" t="s">
        <v>4551</v>
      </c>
      <c r="J1525" s="52">
        <v>601955</v>
      </c>
      <c r="K1525" s="16" t="str">
        <f t="shared" si="87"/>
        <v>601955 (PT. BPR Prabumegah Kencana)</v>
      </c>
    </row>
    <row r="1526" spans="9:11" ht="12.75" customHeight="1" x14ac:dyDescent="0.35">
      <c r="I1526" s="16" t="s">
        <v>4552</v>
      </c>
      <c r="J1526" s="52">
        <v>601956</v>
      </c>
      <c r="K1526" s="16" t="str">
        <f t="shared" si="87"/>
        <v>601956 (PT. BPR Nusantara Bona Pasogit 8)</v>
      </c>
    </row>
    <row r="1527" spans="9:11" ht="12.75" customHeight="1" x14ac:dyDescent="0.35">
      <c r="I1527" s="16" t="s">
        <v>4553</v>
      </c>
      <c r="J1527" s="52">
        <v>601957</v>
      </c>
      <c r="K1527" s="16" t="str">
        <f t="shared" si="87"/>
        <v>601957 (PT BPR Nusantara Bona Pasogit 6)</v>
      </c>
    </row>
    <row r="1528" spans="9:11" ht="12.75" customHeight="1" x14ac:dyDescent="0.35">
      <c r="I1528" s="16" t="s">
        <v>4554</v>
      </c>
      <c r="J1528" s="52">
        <v>601958</v>
      </c>
      <c r="K1528" s="16" t="str">
        <f t="shared" si="87"/>
        <v>601958 (PT. BPR Bumiasih NBP 7 d/h Raya NBP)</v>
      </c>
    </row>
    <row r="1529" spans="9:11" ht="12.75" customHeight="1" x14ac:dyDescent="0.35">
      <c r="I1529" s="16" t="s">
        <v>4555</v>
      </c>
      <c r="J1529" s="52">
        <v>601959</v>
      </c>
      <c r="K1529" s="16" t="str">
        <f t="shared" si="87"/>
        <v>601959 (PT BPR Nusantara Bona Pasogit 4)</v>
      </c>
    </row>
    <row r="1530" spans="9:11" ht="12.75" customHeight="1" x14ac:dyDescent="0.35">
      <c r="I1530" s="16" t="s">
        <v>4556</v>
      </c>
      <c r="J1530" s="52">
        <v>601960</v>
      </c>
      <c r="K1530" s="16" t="str">
        <f t="shared" si="87"/>
        <v>601960 (PT. BPR Nusantara Bona Pasogit 5)</v>
      </c>
    </row>
    <row r="1531" spans="9:11" ht="12.75" customHeight="1" x14ac:dyDescent="0.35">
      <c r="I1531" s="16" t="s">
        <v>4557</v>
      </c>
      <c r="J1531" s="52">
        <v>601961</v>
      </c>
      <c r="K1531" s="16" t="str">
        <f t="shared" si="87"/>
        <v>601961 (PT. BPR Nusantara Bona Pasogit 10)</v>
      </c>
    </row>
    <row r="1532" spans="9:11" ht="12.75" customHeight="1" x14ac:dyDescent="0.35">
      <c r="I1532" s="16" t="s">
        <v>4558</v>
      </c>
      <c r="J1532" s="52">
        <v>601962</v>
      </c>
      <c r="K1532" s="16" t="str">
        <f t="shared" si="87"/>
        <v>601962 (PT. BPR Nusantara Bona Pasogit 9)</v>
      </c>
    </row>
    <row r="1533" spans="9:11" ht="12.75" customHeight="1" x14ac:dyDescent="0.35">
      <c r="I1533" s="16" t="s">
        <v>4559</v>
      </c>
      <c r="J1533" s="52">
        <v>601963</v>
      </c>
      <c r="K1533" s="16" t="str">
        <f t="shared" si="87"/>
        <v>601963 (PT. BPR Nusantara Bona Pasogit 1)</v>
      </c>
    </row>
    <row r="1534" spans="9:11" ht="12.75" customHeight="1" x14ac:dyDescent="0.35">
      <c r="I1534" s="16" t="s">
        <v>4560</v>
      </c>
      <c r="J1534" s="52">
        <v>601964</v>
      </c>
      <c r="K1534" s="16" t="str">
        <f t="shared" si="87"/>
        <v>601964 (PT. BPR Nusantara Bona Pasogit 3)</v>
      </c>
    </row>
    <row r="1535" spans="9:11" ht="12.75" customHeight="1" x14ac:dyDescent="0.35">
      <c r="I1535" s="16" t="s">
        <v>4561</v>
      </c>
      <c r="J1535" s="52">
        <v>601965</v>
      </c>
      <c r="K1535" s="16" t="str">
        <f t="shared" ref="K1535:K1789" si="88">CONCATENATE(J1535," (",SUBSTITUTE(I1535,"  ",""),")")</f>
        <v>601965 (PT. BPR Disky Suryajaya)</v>
      </c>
    </row>
    <row r="1536" spans="9:11" ht="12.75" customHeight="1" x14ac:dyDescent="0.35">
      <c r="I1536" s="16" t="s">
        <v>4562</v>
      </c>
      <c r="J1536" s="52">
        <v>601966</v>
      </c>
      <c r="K1536" s="16" t="str">
        <f t="shared" si="88"/>
        <v>601966 (PT. BPR Milala)</v>
      </c>
    </row>
    <row r="1537" spans="9:11" ht="12.75" customHeight="1" x14ac:dyDescent="0.35">
      <c r="I1537" s="16" t="s">
        <v>4563</v>
      </c>
      <c r="J1537" s="52">
        <v>601967</v>
      </c>
      <c r="K1537" s="16" t="str">
        <f t="shared" si="88"/>
        <v>601967 (PT BPR Nusantara Bona Pasogit 13)</v>
      </c>
    </row>
    <row r="1538" spans="9:11" ht="12.75" customHeight="1" x14ac:dyDescent="0.35">
      <c r="I1538" s="16" t="s">
        <v>4564</v>
      </c>
      <c r="J1538" s="52">
        <v>601968</v>
      </c>
      <c r="K1538" s="16" t="str">
        <f t="shared" si="88"/>
        <v>601968 (PT. BPR Prima Tata Patumbak)</v>
      </c>
    </row>
    <row r="1539" spans="9:11" ht="12.75" customHeight="1" x14ac:dyDescent="0.35">
      <c r="I1539" s="16" t="s">
        <v>4565</v>
      </c>
      <c r="J1539" s="52">
        <v>601969</v>
      </c>
      <c r="K1539" s="16" t="str">
        <f t="shared" si="88"/>
        <v>601969 (PT. BPR Tridana Percut)</v>
      </c>
    </row>
    <row r="1540" spans="9:11" ht="12.75" customHeight="1" x14ac:dyDescent="0.35">
      <c r="I1540" s="16" t="s">
        <v>4566</v>
      </c>
      <c r="J1540" s="52">
        <v>601970</v>
      </c>
      <c r="K1540" s="16" t="str">
        <f t="shared" si="88"/>
        <v>601970 (PT. BPR Diori Ganda)</v>
      </c>
    </row>
    <row r="1541" spans="9:11" ht="12.75" customHeight="1" x14ac:dyDescent="0.35">
      <c r="I1541" s="16" t="s">
        <v>4567</v>
      </c>
      <c r="J1541" s="52">
        <v>601971</v>
      </c>
      <c r="K1541" s="16" t="str">
        <f t="shared" si="88"/>
        <v>601971 (PT. BPR Bina Barumun)</v>
      </c>
    </row>
    <row r="1542" spans="9:11" ht="12.75" customHeight="1" x14ac:dyDescent="0.35">
      <c r="I1542" s="16" t="s">
        <v>4568</v>
      </c>
      <c r="J1542" s="52">
        <v>601972</v>
      </c>
      <c r="K1542" s="16" t="str">
        <f t="shared" si="88"/>
        <v>601972 (PT. BPR Nusantara Sunggal)</v>
      </c>
    </row>
    <row r="1543" spans="9:11" ht="12.75" customHeight="1" x14ac:dyDescent="0.35">
      <c r="I1543" s="16" t="s">
        <v>4569</v>
      </c>
      <c r="J1543" s="52">
        <v>601974</v>
      </c>
      <c r="K1543" s="16" t="str">
        <f t="shared" si="88"/>
        <v>601974 (PT. BPR Sumber Tiopan Raya)</v>
      </c>
    </row>
    <row r="1544" spans="9:11" ht="12.75" customHeight="1" x14ac:dyDescent="0.35">
      <c r="I1544" s="16" t="s">
        <v>4570</v>
      </c>
      <c r="J1544" s="52">
        <v>601975</v>
      </c>
      <c r="K1544" s="16" t="str">
        <f t="shared" si="88"/>
        <v>601975 (PT. BPR Logo Karo Asli)</v>
      </c>
    </row>
    <row r="1545" spans="9:11" ht="12.75" customHeight="1" x14ac:dyDescent="0.35">
      <c r="I1545" s="16" t="s">
        <v>4571</v>
      </c>
      <c r="J1545" s="52">
        <v>601976</v>
      </c>
      <c r="K1545" s="16" t="str">
        <f t="shared" si="88"/>
        <v>601976 (PT. BPR Gunung Adidana)</v>
      </c>
    </row>
    <row r="1546" spans="9:11" ht="12.75" customHeight="1" x14ac:dyDescent="0.35">
      <c r="I1546" s="16" t="s">
        <v>4572</v>
      </c>
      <c r="J1546" s="52">
        <v>601977</v>
      </c>
      <c r="K1546" s="16" t="str">
        <f t="shared" si="88"/>
        <v>601977 (PT. BPR Tapeuna Dana)</v>
      </c>
    </row>
    <row r="1547" spans="9:11" ht="12.75" customHeight="1" x14ac:dyDescent="0.35">
      <c r="I1547" s="16" t="s">
        <v>4573</v>
      </c>
      <c r="J1547" s="52">
        <v>601978</v>
      </c>
      <c r="K1547" s="16" t="str">
        <f t="shared" si="88"/>
        <v>601978 (PT. BPR Prima Nusatama)</v>
      </c>
    </row>
    <row r="1548" spans="9:11" ht="12.75" customHeight="1" x14ac:dyDescent="0.35">
      <c r="I1548" s="16" t="s">
        <v>4574</v>
      </c>
      <c r="J1548" s="52">
        <v>601979</v>
      </c>
      <c r="K1548" s="16" t="str">
        <f t="shared" si="88"/>
        <v>601979 (PT. BPR Panca Arta Monjali)</v>
      </c>
    </row>
    <row r="1549" spans="9:11" ht="12.75" customHeight="1" x14ac:dyDescent="0.35">
      <c r="I1549" s="16" t="s">
        <v>4575</v>
      </c>
      <c r="J1549" s="52">
        <v>601981</v>
      </c>
      <c r="K1549" s="16" t="str">
        <f t="shared" si="88"/>
        <v>601981 (PT. BPR Arum Mandiri Kenanga)</v>
      </c>
    </row>
    <row r="1550" spans="9:11" ht="12.75" customHeight="1" x14ac:dyDescent="0.35">
      <c r="I1550" s="16" t="s">
        <v>4576</v>
      </c>
      <c r="J1550" s="52">
        <v>601982</v>
      </c>
      <c r="K1550" s="16" t="str">
        <f t="shared" si="88"/>
        <v>601982 (PT. BPR Arum Mandiri Melati)</v>
      </c>
    </row>
    <row r="1551" spans="9:11" ht="12.75" customHeight="1" x14ac:dyDescent="0.35">
      <c r="I1551" s="16" t="s">
        <v>4577</v>
      </c>
      <c r="J1551" s="52">
        <v>601983</v>
      </c>
      <c r="K1551" s="16" t="str">
        <f t="shared" si="88"/>
        <v>601983 (PT. BPR Artha Sumber Arum)</v>
      </c>
    </row>
    <row r="1552" spans="9:11" ht="12.75" customHeight="1" x14ac:dyDescent="0.35">
      <c r="I1552" s="16" t="s">
        <v>4578</v>
      </c>
      <c r="J1552" s="52">
        <v>601984</v>
      </c>
      <c r="K1552" s="16" t="str">
        <f t="shared" si="88"/>
        <v>601984 (PT. BPR Gawi Sabumi Mandarsari)</v>
      </c>
    </row>
    <row r="1553" spans="9:11" ht="12.75" customHeight="1" x14ac:dyDescent="0.35">
      <c r="I1553" s="16" t="s">
        <v>4579</v>
      </c>
      <c r="J1553" s="52">
        <v>601985</v>
      </c>
      <c r="K1553" s="16" t="str">
        <f t="shared" si="88"/>
        <v>601985 (PT. BPR Pancur Banua Khatulistiwa)</v>
      </c>
    </row>
    <row r="1554" spans="9:11" ht="12.75" customHeight="1" x14ac:dyDescent="0.35">
      <c r="I1554" s="16" t="s">
        <v>4580</v>
      </c>
      <c r="J1554" s="52">
        <v>601986</v>
      </c>
      <c r="K1554" s="16" t="str">
        <f t="shared" si="88"/>
        <v>601986 (PT. BPR Cahaya Wiraputra)</v>
      </c>
    </row>
    <row r="1555" spans="9:11" ht="12.75" customHeight="1" x14ac:dyDescent="0.35">
      <c r="I1555" s="16" t="s">
        <v>4581</v>
      </c>
      <c r="J1555" s="52">
        <v>601987</v>
      </c>
      <c r="K1555" s="16" t="str">
        <f t="shared" si="88"/>
        <v>601987 (PT. BPR Dana Permata Lestari)</v>
      </c>
    </row>
    <row r="1556" spans="9:11" ht="12.75" customHeight="1" x14ac:dyDescent="0.35">
      <c r="I1556" s="16" t="s">
        <v>4582</v>
      </c>
      <c r="J1556" s="52">
        <v>601988</v>
      </c>
      <c r="K1556" s="16" t="str">
        <f t="shared" si="88"/>
        <v>601988 (PT. BPR Dana Tirtaraya)</v>
      </c>
    </row>
    <row r="1557" spans="9:11" ht="12.75" customHeight="1" x14ac:dyDescent="0.35">
      <c r="I1557" s="16" t="s">
        <v>4583</v>
      </c>
      <c r="J1557" s="52">
        <v>601989</v>
      </c>
      <c r="K1557" s="16" t="str">
        <f t="shared" si="88"/>
        <v>601989 (PT. BPR Sambas Arta)</v>
      </c>
    </row>
    <row r="1558" spans="9:11" ht="12.75" customHeight="1" x14ac:dyDescent="0.35">
      <c r="I1558" s="16" t="s">
        <v>4584</v>
      </c>
      <c r="J1558" s="52">
        <v>601990</v>
      </c>
      <c r="K1558" s="16" t="str">
        <f t="shared" si="88"/>
        <v>601990 (PT. BPR Lingga Sejahtera)</v>
      </c>
    </row>
    <row r="1559" spans="9:11" ht="12.75" customHeight="1" x14ac:dyDescent="0.35">
      <c r="I1559" s="16" t="s">
        <v>4585</v>
      </c>
      <c r="J1559" s="52">
        <v>601991</v>
      </c>
      <c r="K1559" s="16" t="str">
        <f t="shared" si="88"/>
        <v>601991 (PT. BPR Laksana Abadi Sunggal)</v>
      </c>
    </row>
    <row r="1560" spans="9:11" ht="12.75" customHeight="1" x14ac:dyDescent="0.35">
      <c r="I1560" s="16" t="s">
        <v>4586</v>
      </c>
      <c r="J1560" s="52">
        <v>601992</v>
      </c>
      <c r="K1560" s="16" t="str">
        <f t="shared" si="88"/>
        <v>601992 (PT. BPR Laksana Guna Percut)</v>
      </c>
    </row>
    <row r="1561" spans="9:11" ht="12.75" customHeight="1" x14ac:dyDescent="0.35">
      <c r="I1561" s="16" t="s">
        <v>4587</v>
      </c>
      <c r="J1561" s="52">
        <v>601993</v>
      </c>
      <c r="K1561" s="16" t="str">
        <f t="shared" si="88"/>
        <v>601993 (PT. BPR Talabumi Sunggal)</v>
      </c>
    </row>
    <row r="1562" spans="9:11" ht="12.75" customHeight="1" x14ac:dyDescent="0.35">
      <c r="I1562" s="16" t="s">
        <v>4588</v>
      </c>
      <c r="J1562" s="52">
        <v>601994</v>
      </c>
      <c r="K1562" s="16" t="str">
        <f t="shared" si="88"/>
        <v>601994 (PT. BPR Duta Paramarta)</v>
      </c>
    </row>
    <row r="1563" spans="9:11" ht="12.75" customHeight="1" x14ac:dyDescent="0.35">
      <c r="I1563" s="16" t="s">
        <v>4589</v>
      </c>
      <c r="J1563" s="52">
        <v>601995</v>
      </c>
      <c r="K1563" s="16" t="str">
        <f t="shared" si="88"/>
        <v>601995 (PT. BPR Telaga Sinar Cahaya)</v>
      </c>
    </row>
    <row r="1564" spans="9:11" ht="12.75" customHeight="1" x14ac:dyDescent="0.35">
      <c r="I1564" s="16" t="s">
        <v>4590</v>
      </c>
      <c r="J1564" s="52">
        <v>601996</v>
      </c>
      <c r="K1564" s="16" t="str">
        <f t="shared" si="88"/>
        <v>601996 (PT BPR Fajar Artha Makmur)</v>
      </c>
    </row>
    <row r="1565" spans="9:11" ht="12.75" customHeight="1" x14ac:dyDescent="0.35">
      <c r="I1565" s="16" t="s">
        <v>4591</v>
      </c>
      <c r="J1565" s="52">
        <v>601997</v>
      </c>
      <c r="K1565" s="16" t="str">
        <f t="shared" si="88"/>
        <v>601997 (PT. BPR Baleendah Rahayu)</v>
      </c>
    </row>
    <row r="1566" spans="9:11" ht="12.75" customHeight="1" x14ac:dyDescent="0.35">
      <c r="I1566" s="16" t="s">
        <v>4592</v>
      </c>
      <c r="J1566" s="52">
        <v>601998</v>
      </c>
      <c r="K1566" s="16" t="str">
        <f t="shared" si="88"/>
        <v>601998 (PT. BPR Sindang Binaharta)</v>
      </c>
    </row>
    <row r="1567" spans="9:11" ht="12.75" customHeight="1" x14ac:dyDescent="0.35">
      <c r="I1567" s="16" t="s">
        <v>4593</v>
      </c>
      <c r="J1567" s="52">
        <v>601999</v>
      </c>
      <c r="K1567" s="16" t="str">
        <f t="shared" si="88"/>
        <v>601999 (PT. BPR Bahtera Masyarakat)</v>
      </c>
    </row>
    <row r="1568" spans="9:11" ht="12.75" customHeight="1" x14ac:dyDescent="0.35">
      <c r="I1568" s="16" t="s">
        <v>4594</v>
      </c>
      <c r="J1568" s="52">
        <v>602000</v>
      </c>
      <c r="K1568" s="16" t="str">
        <f t="shared" si="88"/>
        <v>602000 (PT. BPR Citradana Rahayu)</v>
      </c>
    </row>
    <row r="1569" spans="9:11" ht="12.75" customHeight="1" x14ac:dyDescent="0.35">
      <c r="I1569" s="16" t="s">
        <v>4595</v>
      </c>
      <c r="J1569" s="52">
        <v>602001</v>
      </c>
      <c r="K1569" s="16" t="str">
        <f t="shared" si="88"/>
        <v>602001 (PT. BPR Harta Tanamas)</v>
      </c>
    </row>
    <row r="1570" spans="9:11" ht="12.75" customHeight="1" x14ac:dyDescent="0.35">
      <c r="I1570" s="16" t="s">
        <v>4596</v>
      </c>
      <c r="J1570" s="52">
        <v>602003</v>
      </c>
      <c r="K1570" s="16" t="str">
        <f t="shared" si="88"/>
        <v>602003 (PT. BPR Apta Sejahtera)</v>
      </c>
    </row>
    <row r="1571" spans="9:11" ht="12.75" customHeight="1" x14ac:dyDescent="0.35">
      <c r="I1571" s="16" t="s">
        <v>4597</v>
      </c>
      <c r="J1571" s="52">
        <v>602004</v>
      </c>
      <c r="K1571" s="16" t="str">
        <f t="shared" si="88"/>
        <v>602004 (PT. BPR Brata Bhakti Sejahtera)</v>
      </c>
    </row>
    <row r="1572" spans="9:11" ht="12.75" customHeight="1" x14ac:dyDescent="0.35">
      <c r="I1572" s="16" t="s">
        <v>4598</v>
      </c>
      <c r="J1572" s="52">
        <v>602006</v>
      </c>
      <c r="K1572" s="16" t="str">
        <f t="shared" si="88"/>
        <v>602006 (PT. BPR Citra Halim Dhanatama)</v>
      </c>
    </row>
    <row r="1573" spans="9:11" ht="12.75" customHeight="1" x14ac:dyDescent="0.35">
      <c r="I1573" s="16" t="s">
        <v>4599</v>
      </c>
      <c r="J1573" s="52">
        <v>602007</v>
      </c>
      <c r="K1573" s="16" t="str">
        <f t="shared" si="88"/>
        <v>602007 (PT. BPR Ploso Saranaartha)</v>
      </c>
    </row>
    <row r="1574" spans="9:11" ht="12.75" customHeight="1" x14ac:dyDescent="0.35">
      <c r="I1574" s="16" t="s">
        <v>4600</v>
      </c>
      <c r="J1574" s="52">
        <v>602008</v>
      </c>
      <c r="K1574" s="16" t="str">
        <f t="shared" si="88"/>
        <v>602008 (PT. BPR Artha Waringin Jaya)</v>
      </c>
    </row>
    <row r="1575" spans="9:11" ht="12.75" customHeight="1" x14ac:dyDescent="0.35">
      <c r="I1575" s="16" t="s">
        <v>4601</v>
      </c>
      <c r="J1575" s="52">
        <v>602009</v>
      </c>
      <c r="K1575" s="16" t="str">
        <f t="shared" si="88"/>
        <v>602009 (PT BPR Arta Mas Surakarta)</v>
      </c>
    </row>
    <row r="1576" spans="9:11" ht="12.75" customHeight="1" x14ac:dyDescent="0.35">
      <c r="I1576" s="16" t="s">
        <v>4602</v>
      </c>
      <c r="J1576" s="52">
        <v>602010</v>
      </c>
      <c r="K1576" s="16" t="str">
        <f t="shared" si="88"/>
        <v>602010 (PT. BPR Handalan Danagraha)</v>
      </c>
    </row>
    <row r="1577" spans="9:11" ht="12.75" customHeight="1" x14ac:dyDescent="0.35">
      <c r="I1577" s="16" t="s">
        <v>4603</v>
      </c>
      <c r="J1577" s="52">
        <v>602011</v>
      </c>
      <c r="K1577" s="16" t="str">
        <f t="shared" si="88"/>
        <v>602011 (PD. BPR Indra Arta)</v>
      </c>
    </row>
    <row r="1578" spans="9:11" ht="12.75" customHeight="1" x14ac:dyDescent="0.35">
      <c r="I1578" s="16" t="s">
        <v>4604</v>
      </c>
      <c r="J1578" s="52">
        <v>602012</v>
      </c>
      <c r="K1578" s="16" t="str">
        <f t="shared" si="88"/>
        <v>602012 (PT. BPR Jelita Artha)</v>
      </c>
    </row>
    <row r="1579" spans="9:11" ht="12.75" customHeight="1" x14ac:dyDescent="0.35">
      <c r="I1579" s="16" t="s">
        <v>4605</v>
      </c>
      <c r="J1579" s="52">
        <v>602014</v>
      </c>
      <c r="K1579" s="16" t="str">
        <f t="shared" si="88"/>
        <v>602014 (PT. BPR Mos Muara Panas)</v>
      </c>
    </row>
    <row r="1580" spans="9:11" ht="12.75" customHeight="1" x14ac:dyDescent="0.35">
      <c r="I1580" s="16" t="s">
        <v>4606</v>
      </c>
      <c r="J1580" s="52">
        <v>602015</v>
      </c>
      <c r="K1580" s="16" t="str">
        <f t="shared" si="88"/>
        <v>602015 (PT. BPR Sungai Rumbai)</v>
      </c>
    </row>
    <row r="1581" spans="9:11" ht="12.75" customHeight="1" x14ac:dyDescent="0.35">
      <c r="I1581" s="16" t="s">
        <v>4607</v>
      </c>
      <c r="J1581" s="52">
        <v>602016</v>
      </c>
      <c r="K1581" s="16" t="str">
        <f t="shared" si="88"/>
        <v>602016 (PT. BPR Sago Luhak Limapuluh)</v>
      </c>
    </row>
    <row r="1582" spans="9:11" ht="12.75" customHeight="1" x14ac:dyDescent="0.35">
      <c r="I1582" s="16" t="s">
        <v>4608</v>
      </c>
      <c r="J1582" s="52">
        <v>602017</v>
      </c>
      <c r="K1582" s="16" t="str">
        <f t="shared" si="88"/>
        <v>602017 (PT. BPR Rap Ganda)</v>
      </c>
    </row>
    <row r="1583" spans="9:11" ht="12.75" customHeight="1" x14ac:dyDescent="0.35">
      <c r="I1583" s="16" t="s">
        <v>4609</v>
      </c>
      <c r="J1583" s="52">
        <v>602018</v>
      </c>
      <c r="K1583" s="16" t="str">
        <f t="shared" si="88"/>
        <v>602018 (PT. BPR Gema Ampekkoto Sejahtera)</v>
      </c>
    </row>
    <row r="1584" spans="9:11" ht="12.75" customHeight="1" x14ac:dyDescent="0.35">
      <c r="I1584" s="16" t="s">
        <v>4610</v>
      </c>
      <c r="J1584" s="52">
        <v>602019</v>
      </c>
      <c r="K1584" s="16" t="str">
        <f t="shared" si="88"/>
        <v>602019 (PT. BPR Nurul Barokah)</v>
      </c>
    </row>
    <row r="1585" spans="9:11" ht="12.75" customHeight="1" x14ac:dyDescent="0.35">
      <c r="I1585" s="16" t="s">
        <v>4611</v>
      </c>
      <c r="J1585" s="52">
        <v>602021</v>
      </c>
      <c r="K1585" s="16" t="str">
        <f t="shared" si="88"/>
        <v>602021 (PT. BPR Lipat Ganda)</v>
      </c>
    </row>
    <row r="1586" spans="9:11" ht="12.75" customHeight="1" x14ac:dyDescent="0.35">
      <c r="I1586" s="16" t="s">
        <v>4612</v>
      </c>
      <c r="J1586" s="52">
        <v>602022</v>
      </c>
      <c r="K1586" s="16" t="str">
        <f t="shared" si="88"/>
        <v>602022 (PT. BPR Fajar Warapastika)</v>
      </c>
    </row>
    <row r="1587" spans="9:11" ht="12.75" customHeight="1" x14ac:dyDescent="0.35">
      <c r="I1587" s="16" t="s">
        <v>4613</v>
      </c>
      <c r="J1587" s="52">
        <v>602023</v>
      </c>
      <c r="K1587" s="16" t="str">
        <f t="shared" si="88"/>
        <v>602023 (PT. BPR Dhana Sewu)</v>
      </c>
    </row>
    <row r="1588" spans="9:11" ht="12.75" customHeight="1" x14ac:dyDescent="0.35">
      <c r="I1588" s="16" t="s">
        <v>4614</v>
      </c>
      <c r="J1588" s="52">
        <v>602025</v>
      </c>
      <c r="K1588" s="16" t="str">
        <f t="shared" si="88"/>
        <v>602025 (PT. BPR Tahuan Ganda)</v>
      </c>
    </row>
    <row r="1589" spans="9:11" ht="12.75" customHeight="1" x14ac:dyDescent="0.35">
      <c r="I1589" s="16" t="s">
        <v>4615</v>
      </c>
      <c r="J1589" s="52">
        <v>602026</v>
      </c>
      <c r="K1589" s="16" t="str">
        <f t="shared" si="88"/>
        <v>602026 (PT. BPR Lampung Bina Sejahtera)</v>
      </c>
    </row>
    <row r="1590" spans="9:11" ht="12.75" customHeight="1" x14ac:dyDescent="0.35">
      <c r="I1590" s="16" t="s">
        <v>4616</v>
      </c>
      <c r="J1590" s="52">
        <v>602027</v>
      </c>
      <c r="K1590" s="16" t="str">
        <f t="shared" si="88"/>
        <v>602027 (PT. BPR Arta Kedaton Makmur)</v>
      </c>
    </row>
    <row r="1591" spans="9:11" ht="12.75" customHeight="1" x14ac:dyDescent="0.35">
      <c r="I1591" s="16" t="s">
        <v>4617</v>
      </c>
      <c r="J1591" s="52">
        <v>602028</v>
      </c>
      <c r="K1591" s="16" t="str">
        <f t="shared" si="88"/>
        <v>602028 (PT. BPR Tataarta Swadaya)</v>
      </c>
    </row>
    <row r="1592" spans="9:11" ht="12.75" customHeight="1" x14ac:dyDescent="0.35">
      <c r="I1592" s="16" t="s">
        <v>4618</v>
      </c>
      <c r="J1592" s="52">
        <v>602031</v>
      </c>
      <c r="K1592" s="16" t="str">
        <f t="shared" si="88"/>
        <v>602031 (PT. BPR Nusantara Bona Pasogit 19)</v>
      </c>
    </row>
    <row r="1593" spans="9:11" ht="12.75" customHeight="1" x14ac:dyDescent="0.35">
      <c r="I1593" s="16" t="s">
        <v>4619</v>
      </c>
      <c r="J1593" s="52">
        <v>602032</v>
      </c>
      <c r="K1593" s="16" t="str">
        <f t="shared" si="88"/>
        <v>602032 (PT. BPR Satria Pertiwi Semarang)</v>
      </c>
    </row>
    <row r="1594" spans="9:11" ht="12.75" customHeight="1" x14ac:dyDescent="0.35">
      <c r="I1594" s="16" t="s">
        <v>4620</v>
      </c>
      <c r="J1594" s="52">
        <v>602033</v>
      </c>
      <c r="K1594" s="16" t="str">
        <f t="shared" si="88"/>
        <v>602033 (PT. BPR Nusantara Bona Pasogit 32)</v>
      </c>
    </row>
    <row r="1595" spans="9:11" ht="12.75" customHeight="1" x14ac:dyDescent="0.35">
      <c r="I1595" s="16" t="s">
        <v>4621</v>
      </c>
      <c r="J1595" s="52">
        <v>602035</v>
      </c>
      <c r="K1595" s="16" t="str">
        <f t="shared" si="88"/>
        <v>602035 (PT. BPR Wingsati)</v>
      </c>
    </row>
    <row r="1596" spans="9:11" ht="12.75" customHeight="1" x14ac:dyDescent="0.35">
      <c r="I1596" s="16" t="s">
        <v>4622</v>
      </c>
      <c r="J1596" s="52">
        <v>602037</v>
      </c>
      <c r="K1596" s="16" t="str">
        <f t="shared" si="88"/>
        <v>602037 (PT. BPR Tumpang Prima Artorejo)</v>
      </c>
    </row>
    <row r="1597" spans="9:11" ht="12.75" customHeight="1" x14ac:dyDescent="0.35">
      <c r="I1597" s="16" t="s">
        <v>4623</v>
      </c>
      <c r="J1597" s="52">
        <v>602038</v>
      </c>
      <c r="K1597" s="16" t="str">
        <f t="shared" si="88"/>
        <v>602038 (PT. BPR Berkah Pakto)</v>
      </c>
    </row>
    <row r="1598" spans="9:11" ht="12.75" customHeight="1" x14ac:dyDescent="0.35">
      <c r="I1598" s="16" t="s">
        <v>4624</v>
      </c>
      <c r="J1598" s="52">
        <v>602039</v>
      </c>
      <c r="K1598" s="16" t="str">
        <f t="shared" si="88"/>
        <v>602039 (PT. BPR Sari Dinarmas)</v>
      </c>
    </row>
    <row r="1599" spans="9:11" ht="12.75" customHeight="1" x14ac:dyDescent="0.35">
      <c r="I1599" s="16" t="s">
        <v>4625</v>
      </c>
      <c r="J1599" s="52">
        <v>602040</v>
      </c>
      <c r="K1599" s="16" t="str">
        <f t="shared" si="88"/>
        <v>602040 (PT. BPR Hamindo Natamakmur)</v>
      </c>
    </row>
    <row r="1600" spans="9:11" ht="12.75" customHeight="1" x14ac:dyDescent="0.35">
      <c r="I1600" s="16" t="s">
        <v>4626</v>
      </c>
      <c r="J1600" s="52">
        <v>602041</v>
      </c>
      <c r="K1600" s="16" t="str">
        <f t="shared" si="88"/>
        <v>602041 (PT. BPR Unisritama)</v>
      </c>
    </row>
    <row r="1601" spans="9:11" ht="12.75" customHeight="1" x14ac:dyDescent="0.35">
      <c r="I1601" s="16" t="s">
        <v>4627</v>
      </c>
      <c r="J1601" s="52">
        <v>602042</v>
      </c>
      <c r="K1601" s="16" t="str">
        <f t="shared" si="88"/>
        <v>602042 (PD. BPR Sarimadu)</v>
      </c>
    </row>
    <row r="1602" spans="9:11" ht="12.75" customHeight="1" x14ac:dyDescent="0.35">
      <c r="I1602" s="16" t="s">
        <v>4628</v>
      </c>
      <c r="J1602" s="52">
        <v>602043</v>
      </c>
      <c r="K1602" s="16" t="str">
        <f t="shared" si="88"/>
        <v>602043 (PT. BPR Chandra Muktiartha)</v>
      </c>
    </row>
    <row r="1603" spans="9:11" ht="12.75" customHeight="1" x14ac:dyDescent="0.35">
      <c r="I1603" s="16" t="s">
        <v>4629</v>
      </c>
      <c r="J1603" s="52">
        <v>602044</v>
      </c>
      <c r="K1603" s="16" t="str">
        <f t="shared" si="88"/>
        <v>602044 (PT BPR Dewa Arthaka Mulya)</v>
      </c>
    </row>
    <row r="1604" spans="9:11" ht="12.75" customHeight="1" x14ac:dyDescent="0.35">
      <c r="I1604" s="16" t="s">
        <v>4630</v>
      </c>
      <c r="J1604" s="52">
        <v>602045</v>
      </c>
      <c r="K1604" s="16" t="str">
        <f t="shared" si="88"/>
        <v>602045 (PT. BPR Laksana Luhurcilamaya)</v>
      </c>
    </row>
    <row r="1605" spans="9:11" ht="12.75" customHeight="1" x14ac:dyDescent="0.35">
      <c r="I1605" s="16" t="s">
        <v>4631</v>
      </c>
      <c r="J1605" s="52">
        <v>602046</v>
      </c>
      <c r="K1605" s="16" t="str">
        <f t="shared" si="88"/>
        <v>602046 (PT BPR Mitra Rukun Mandiri)</v>
      </c>
    </row>
    <row r="1606" spans="9:11" ht="12.75" customHeight="1" x14ac:dyDescent="0.35">
      <c r="I1606" s="16" t="s">
        <v>4632</v>
      </c>
      <c r="J1606" s="52">
        <v>602047</v>
      </c>
      <c r="K1606" s="16" t="str">
        <f t="shared" si="88"/>
        <v>602047 (PT.BPR Nusantara Bona Pasogit 31)</v>
      </c>
    </row>
    <row r="1607" spans="9:11" ht="12.75" customHeight="1" x14ac:dyDescent="0.35">
      <c r="I1607" s="16" t="s">
        <v>4633</v>
      </c>
      <c r="J1607" s="52">
        <v>602048</v>
      </c>
      <c r="K1607" s="16" t="str">
        <f t="shared" si="88"/>
        <v>602048 (PT BPR Nusantara Bona Pasogit 27)</v>
      </c>
    </row>
    <row r="1608" spans="9:11" ht="12.75" customHeight="1" x14ac:dyDescent="0.35">
      <c r="I1608" s="16" t="s">
        <v>4634</v>
      </c>
      <c r="J1608" s="52">
        <v>602049</v>
      </c>
      <c r="K1608" s="16" t="str">
        <f t="shared" si="88"/>
        <v>602049 (PT. BPR Ragam Danakencana)</v>
      </c>
    </row>
    <row r="1609" spans="9:11" ht="12.75" customHeight="1" x14ac:dyDescent="0.35">
      <c r="I1609" s="16" t="s">
        <v>4635</v>
      </c>
      <c r="J1609" s="52">
        <v>602050</v>
      </c>
      <c r="K1609" s="16" t="str">
        <f t="shared" si="88"/>
        <v>602050 (PT. BPR Semesta Megadana)</v>
      </c>
    </row>
    <row r="1610" spans="9:11" ht="12.75" customHeight="1" x14ac:dyDescent="0.35">
      <c r="I1610" s="16" t="s">
        <v>4636</v>
      </c>
      <c r="J1610" s="52">
        <v>602051</v>
      </c>
      <c r="K1610" s="16" t="str">
        <f t="shared" si="88"/>
        <v>602051 (PT. BPR Gunadhana Mitrasembada)</v>
      </c>
    </row>
    <row r="1611" spans="9:11" ht="12.75" customHeight="1" x14ac:dyDescent="0.35">
      <c r="I1611" s="16" t="s">
        <v>4637</v>
      </c>
      <c r="J1611" s="52">
        <v>602052</v>
      </c>
      <c r="K1611" s="16" t="str">
        <f t="shared" si="88"/>
        <v>602052 (PT. BPR Baldah Sentosa)</v>
      </c>
    </row>
    <row r="1612" spans="9:11" ht="12.75" customHeight="1" x14ac:dyDescent="0.35">
      <c r="I1612" s="16" t="s">
        <v>4638</v>
      </c>
      <c r="J1612" s="52">
        <v>602053</v>
      </c>
      <c r="K1612" s="16" t="str">
        <f t="shared" si="88"/>
        <v>602053 (PD. BPR Kota Bandung)</v>
      </c>
    </row>
    <row r="1613" spans="9:11" ht="12.75" customHeight="1" x14ac:dyDescent="0.35">
      <c r="I1613" s="16" t="s">
        <v>4639</v>
      </c>
      <c r="J1613" s="52">
        <v>602054</v>
      </c>
      <c r="K1613" s="16" t="str">
        <f t="shared" si="88"/>
        <v>602054 (PT. BPR Trisurya Marga Artha)</v>
      </c>
    </row>
    <row r="1614" spans="9:11" ht="12.75" customHeight="1" x14ac:dyDescent="0.35">
      <c r="I1614" s="16" t="s">
        <v>4640</v>
      </c>
      <c r="J1614" s="52">
        <v>602055</v>
      </c>
      <c r="K1614" s="16" t="str">
        <f t="shared" si="88"/>
        <v>602055 (PT. BPR Daya Lumbung Asia)</v>
      </c>
    </row>
    <row r="1615" spans="9:11" ht="12.75" customHeight="1" x14ac:dyDescent="0.35">
      <c r="I1615" s="16" t="s">
        <v>4641</v>
      </c>
      <c r="J1615" s="52">
        <v>602056</v>
      </c>
      <c r="K1615" s="16" t="str">
        <f t="shared" si="88"/>
        <v>602056 (PT BPR Nusantara Bona Pasogit 30)</v>
      </c>
    </row>
    <row r="1616" spans="9:11" ht="12.75" customHeight="1" x14ac:dyDescent="0.35">
      <c r="I1616" s="16" t="s">
        <v>4642</v>
      </c>
      <c r="J1616" s="52">
        <v>602057</v>
      </c>
      <c r="K1616" s="16" t="str">
        <f t="shared" si="88"/>
        <v>602057 (PT BPR Nusantara Bona Pasogit 29)</v>
      </c>
    </row>
    <row r="1617" spans="9:11" ht="12.75" customHeight="1" x14ac:dyDescent="0.35">
      <c r="I1617" s="16" t="s">
        <v>4643</v>
      </c>
      <c r="J1617" s="52">
        <v>602058</v>
      </c>
      <c r="K1617" s="16" t="str">
        <f t="shared" si="88"/>
        <v>602058 (PT BPR Nusantara Bona Pasogit 28)</v>
      </c>
    </row>
    <row r="1618" spans="9:11" ht="12.75" customHeight="1" x14ac:dyDescent="0.35">
      <c r="I1618" s="16" t="s">
        <v>4644</v>
      </c>
      <c r="J1618" s="52">
        <v>602060</v>
      </c>
      <c r="K1618" s="16" t="str">
        <f t="shared" si="88"/>
        <v>602060 (PT. BPR Sinarenam Permai Jatiasih)</v>
      </c>
    </row>
    <row r="1619" spans="9:11" ht="12.75" customHeight="1" x14ac:dyDescent="0.35">
      <c r="I1619" s="16" t="s">
        <v>4645</v>
      </c>
      <c r="J1619" s="52">
        <v>602062</v>
      </c>
      <c r="K1619" s="16" t="str">
        <f t="shared" si="88"/>
        <v>602062 (PT. BPR Artha Jaya Mandiri)</v>
      </c>
    </row>
    <row r="1620" spans="9:11" ht="12.75" customHeight="1" x14ac:dyDescent="0.35">
      <c r="I1620" s="16" t="s">
        <v>4646</v>
      </c>
      <c r="J1620" s="52">
        <v>602063</v>
      </c>
      <c r="K1620" s="16" t="str">
        <f t="shared" si="88"/>
        <v>602063 (PT BPR Surya Prima Persada)</v>
      </c>
    </row>
    <row r="1621" spans="9:11" ht="12.75" customHeight="1" x14ac:dyDescent="0.35">
      <c r="I1621" s="16" t="s">
        <v>4647</v>
      </c>
      <c r="J1621" s="52">
        <v>602065</v>
      </c>
      <c r="K1621" s="16" t="str">
        <f t="shared" si="88"/>
        <v>602065 (PT. BPR Mitra Rakyat Riau)</v>
      </c>
    </row>
    <row r="1622" spans="9:11" ht="12.75" customHeight="1" x14ac:dyDescent="0.35">
      <c r="I1622" s="16" t="s">
        <v>4648</v>
      </c>
      <c r="J1622" s="52">
        <v>602066</v>
      </c>
      <c r="K1622" s="16" t="str">
        <f t="shared" si="88"/>
        <v>602066 (PT. BPR Mitra Prima Lestari)</v>
      </c>
    </row>
    <row r="1623" spans="9:11" ht="12.75" customHeight="1" x14ac:dyDescent="0.35">
      <c r="I1623" s="16" t="s">
        <v>4649</v>
      </c>
      <c r="J1623" s="52">
        <v>602067</v>
      </c>
      <c r="K1623" s="16" t="str">
        <f t="shared" si="88"/>
        <v>602067 (PD. BPR Kota Samarinda)</v>
      </c>
    </row>
    <row r="1624" spans="9:11" ht="12.75" customHeight="1" x14ac:dyDescent="0.35">
      <c r="I1624" s="16" t="s">
        <v>4650</v>
      </c>
      <c r="J1624" s="52">
        <v>602068</v>
      </c>
      <c r="K1624" s="16" t="str">
        <f t="shared" si="88"/>
        <v>602068 (PT. BPR Siliwangi Tasikmalaya)</v>
      </c>
    </row>
    <row r="1625" spans="9:11" ht="12.75" customHeight="1" x14ac:dyDescent="0.35">
      <c r="I1625" s="16" t="s">
        <v>4651</v>
      </c>
      <c r="J1625" s="52">
        <v>602070</v>
      </c>
      <c r="K1625" s="16" t="str">
        <f t="shared" si="88"/>
        <v>602070 (PT. BPR Hasa Mitra)</v>
      </c>
    </row>
    <row r="1626" spans="9:11" ht="12.75" customHeight="1" x14ac:dyDescent="0.35">
      <c r="I1626" s="16" t="s">
        <v>4652</v>
      </c>
      <c r="J1626" s="52">
        <v>602071</v>
      </c>
      <c r="K1626" s="16" t="str">
        <f t="shared" si="88"/>
        <v>602071 (PT. BPR Kusuma Arta Rini)</v>
      </c>
    </row>
    <row r="1627" spans="9:11" ht="12.75" customHeight="1" x14ac:dyDescent="0.35">
      <c r="I1627" s="16" t="s">
        <v>4653</v>
      </c>
      <c r="J1627" s="52">
        <v>602072</v>
      </c>
      <c r="K1627" s="16" t="str">
        <f t="shared" si="88"/>
        <v>602072 (PT. BPR Banda Raya)</v>
      </c>
    </row>
    <row r="1628" spans="9:11" ht="12.75" customHeight="1" x14ac:dyDescent="0.35">
      <c r="I1628" s="16" t="s">
        <v>4654</v>
      </c>
      <c r="J1628" s="52">
        <v>602073</v>
      </c>
      <c r="K1628" s="16" t="str">
        <f t="shared" si="88"/>
        <v>602073 (PT. BPR Artha Karya Sejahtera)</v>
      </c>
    </row>
    <row r="1629" spans="9:11" ht="12.75" customHeight="1" x14ac:dyDescent="0.35">
      <c r="I1629" s="16" t="s">
        <v>4655</v>
      </c>
      <c r="J1629" s="52">
        <v>602074</v>
      </c>
      <c r="K1629" s="16" t="str">
        <f t="shared" si="88"/>
        <v>602074 (PT. BPR Prima Multi Makmur)</v>
      </c>
    </row>
    <row r="1630" spans="9:11" ht="12.75" customHeight="1" x14ac:dyDescent="0.35">
      <c r="I1630" s="16" t="s">
        <v>4656</v>
      </c>
      <c r="J1630" s="52">
        <v>602075</v>
      </c>
      <c r="K1630" s="16" t="str">
        <f t="shared" si="88"/>
        <v>602075 (PT. BPR Dana Bintan Sejahtera)</v>
      </c>
    </row>
    <row r="1631" spans="9:11" ht="12.75" customHeight="1" x14ac:dyDescent="0.35">
      <c r="I1631" s="16" t="s">
        <v>4657</v>
      </c>
      <c r="J1631" s="52">
        <v>602084</v>
      </c>
      <c r="K1631" s="16" t="str">
        <f t="shared" si="88"/>
        <v>602084 (PT. BPR Bumi Riau Insani)</v>
      </c>
    </row>
    <row r="1632" spans="9:11" ht="12.75" customHeight="1" x14ac:dyDescent="0.35">
      <c r="I1632" s="16" t="s">
        <v>4658</v>
      </c>
      <c r="J1632" s="52">
        <v>602085</v>
      </c>
      <c r="K1632" s="16" t="str">
        <f t="shared" si="88"/>
        <v>602085 (PT. BPR Zebra Surya Prima)</v>
      </c>
    </row>
    <row r="1633" spans="9:11" ht="12.75" customHeight="1" x14ac:dyDescent="0.35">
      <c r="I1633" s="16" t="s">
        <v>4659</v>
      </c>
      <c r="J1633" s="52">
        <v>602460</v>
      </c>
      <c r="K1633" s="16" t="str">
        <f t="shared" si="88"/>
        <v>602460 (PT BPR Semoga Jaya Artha)</v>
      </c>
    </row>
    <row r="1634" spans="9:11" ht="12.75" customHeight="1" x14ac:dyDescent="0.35">
      <c r="I1634" s="16" t="s">
        <v>4660</v>
      </c>
      <c r="J1634" s="52">
        <v>602461</v>
      </c>
      <c r="K1634" s="16" t="str">
        <f t="shared" si="88"/>
        <v>602461 (PT. BPR Guna Rakyat)</v>
      </c>
    </row>
    <row r="1635" spans="9:11" ht="12.75" customHeight="1" x14ac:dyDescent="0.35">
      <c r="I1635" s="16" t="s">
        <v>4661</v>
      </c>
      <c r="J1635" s="52">
        <v>602462</v>
      </c>
      <c r="K1635" s="16" t="str">
        <f t="shared" si="88"/>
        <v>602462 (PT. BPR Artha Berkah Cemerlang)</v>
      </c>
    </row>
    <row r="1636" spans="9:11" ht="12.75" customHeight="1" x14ac:dyDescent="0.35">
      <c r="I1636" s="16" t="s">
        <v>4662</v>
      </c>
      <c r="J1636" s="52">
        <v>602463</v>
      </c>
      <c r="K1636" s="16" t="str">
        <f t="shared" si="88"/>
        <v>602463 (PT. BPR Ukabima Sejahtera)</v>
      </c>
    </row>
    <row r="1637" spans="9:11" ht="12.75" customHeight="1" x14ac:dyDescent="0.35">
      <c r="I1637" s="16" t="s">
        <v>4663</v>
      </c>
      <c r="J1637" s="52">
        <v>602464</v>
      </c>
      <c r="K1637" s="16" t="str">
        <f t="shared" si="88"/>
        <v>602464 (PT BPR Cemerlang Kapuas Makmur)</v>
      </c>
    </row>
    <row r="1638" spans="9:11" ht="12.75" customHeight="1" x14ac:dyDescent="0.35">
      <c r="I1638" s="16" t="s">
        <v>4664</v>
      </c>
      <c r="J1638" s="52">
        <v>602465</v>
      </c>
      <c r="K1638" s="16" t="str">
        <f t="shared" si="88"/>
        <v>602465 (PT. BPR Artha Prima Persada)</v>
      </c>
    </row>
    <row r="1639" spans="9:11" ht="12.75" customHeight="1" x14ac:dyDescent="0.35">
      <c r="I1639" s="16" t="s">
        <v>4665</v>
      </c>
      <c r="J1639" s="52">
        <v>602468</v>
      </c>
      <c r="K1639" s="16" t="str">
        <f t="shared" si="88"/>
        <v>602468 (PT. BPR Arisma Mandiri)</v>
      </c>
    </row>
    <row r="1640" spans="9:11" ht="12.75" customHeight="1" x14ac:dyDescent="0.35">
      <c r="I1640" s="16" t="s">
        <v>4666</v>
      </c>
      <c r="J1640" s="52">
        <v>602469</v>
      </c>
      <c r="K1640" s="16" t="str">
        <f t="shared" si="88"/>
        <v>602469 (PT. BPR Magga Jaya Utama)</v>
      </c>
    </row>
    <row r="1641" spans="9:11" ht="12.75" customHeight="1" x14ac:dyDescent="0.35">
      <c r="I1641" s="16" t="s">
        <v>4667</v>
      </c>
      <c r="J1641" s="52">
        <v>602470</v>
      </c>
      <c r="K1641" s="16" t="str">
        <f t="shared" si="88"/>
        <v>602470 (PT BPR Pundhi)</v>
      </c>
    </row>
    <row r="1642" spans="9:11" ht="12.75" customHeight="1" x14ac:dyDescent="0.35">
      <c r="I1642" s="16" t="s">
        <v>4668</v>
      </c>
      <c r="J1642" s="52">
        <v>602471</v>
      </c>
      <c r="K1642" s="16" t="str">
        <f t="shared" si="88"/>
        <v>602471 (PT BPR Walet Jaya Abadi)</v>
      </c>
    </row>
    <row r="1643" spans="9:11" ht="12.75" customHeight="1" x14ac:dyDescent="0.35">
      <c r="I1643" s="16" t="s">
        <v>4669</v>
      </c>
      <c r="J1643" s="52">
        <v>602472</v>
      </c>
      <c r="K1643" s="16" t="str">
        <f t="shared" si="88"/>
        <v>602472 (PT. BPR Surya Artha Utama)</v>
      </c>
    </row>
    <row r="1644" spans="9:11" ht="12.75" customHeight="1" x14ac:dyDescent="0.35">
      <c r="I1644" s="16" t="s">
        <v>4670</v>
      </c>
      <c r="J1644" s="52">
        <v>602473</v>
      </c>
      <c r="K1644" s="16" t="str">
        <f t="shared" si="88"/>
        <v>602473 (PT. BPR Tambun Ijuk)</v>
      </c>
    </row>
    <row r="1645" spans="9:11" ht="12.75" customHeight="1" x14ac:dyDescent="0.35">
      <c r="I1645" s="16" t="s">
        <v>4671</v>
      </c>
      <c r="J1645" s="52">
        <v>602474</v>
      </c>
      <c r="K1645" s="16" t="str">
        <f t="shared" si="88"/>
        <v>602474 (PT. BPR Cahaya Fajar)</v>
      </c>
    </row>
    <row r="1646" spans="9:11" ht="12.75" customHeight="1" x14ac:dyDescent="0.35">
      <c r="I1646" s="16" t="s">
        <v>4672</v>
      </c>
      <c r="J1646" s="52">
        <v>602538</v>
      </c>
      <c r="K1646" s="16" t="str">
        <f t="shared" si="88"/>
        <v>602538 (PT BPR Jam Gadang)</v>
      </c>
    </row>
    <row r="1647" spans="9:11" ht="12.75" customHeight="1" x14ac:dyDescent="0.35">
      <c r="I1647" s="16" t="s">
        <v>4673</v>
      </c>
      <c r="J1647" s="52">
        <v>602539</v>
      </c>
      <c r="K1647" s="16" t="str">
        <f t="shared" si="88"/>
        <v>602539 (PT BPR Alimo Dana Prima)</v>
      </c>
    </row>
    <row r="1648" spans="9:11" ht="12.75" customHeight="1" x14ac:dyDescent="0.35">
      <c r="I1648" s="16" t="s">
        <v>4674</v>
      </c>
      <c r="J1648" s="52">
        <v>602540</v>
      </c>
      <c r="K1648" s="16" t="str">
        <f t="shared" si="88"/>
        <v>602540 (PT. BPR Musi Artha Surya)</v>
      </c>
    </row>
    <row r="1649" spans="9:11" ht="12.75" customHeight="1" x14ac:dyDescent="0.35">
      <c r="I1649" s="16" t="s">
        <v>4675</v>
      </c>
      <c r="J1649" s="52">
        <v>602541</v>
      </c>
      <c r="K1649" s="16" t="str">
        <f t="shared" si="88"/>
        <v>602541 (PT BPR Dana Nagoya)</v>
      </c>
    </row>
    <row r="1650" spans="9:11" ht="12.75" customHeight="1" x14ac:dyDescent="0.35">
      <c r="I1650" s="16" t="s">
        <v>4676</v>
      </c>
      <c r="J1650" s="52">
        <v>602542</v>
      </c>
      <c r="K1650" s="16" t="str">
        <f t="shared" si="88"/>
        <v>602542 (PT. BPR Palu Anugerah)</v>
      </c>
    </row>
    <row r="1651" spans="9:11" ht="12.75" customHeight="1" x14ac:dyDescent="0.35">
      <c r="I1651" s="16" t="s">
        <v>4677</v>
      </c>
      <c r="J1651" s="52">
        <v>602543</v>
      </c>
      <c r="K1651" s="16" t="str">
        <f t="shared" si="88"/>
        <v>602543 (PT BPR Sukadana Prima)</v>
      </c>
    </row>
    <row r="1652" spans="9:11" ht="12.75" customHeight="1" x14ac:dyDescent="0.35">
      <c r="I1652" s="16" t="s">
        <v>4678</v>
      </c>
      <c r="J1652" s="52">
        <v>602544</v>
      </c>
      <c r="K1652" s="16" t="str">
        <f t="shared" si="88"/>
        <v>602544 (PT BPR Talenta Raya)</v>
      </c>
    </row>
    <row r="1653" spans="9:11" ht="12.75" customHeight="1" x14ac:dyDescent="0.35">
      <c r="I1653" s="16" t="s">
        <v>4679</v>
      </c>
      <c r="J1653" s="52">
        <v>602545</v>
      </c>
      <c r="K1653" s="16" t="str">
        <f t="shared" si="88"/>
        <v>602545 (PT BPR Budisetia)</v>
      </c>
    </row>
    <row r="1654" spans="9:11" ht="12.75" customHeight="1" x14ac:dyDescent="0.35">
      <c r="I1654" s="16" t="s">
        <v>4680</v>
      </c>
      <c r="J1654" s="52">
        <v>602546</v>
      </c>
      <c r="K1654" s="16" t="str">
        <f t="shared" si="88"/>
        <v>602546 (PT BPR Wuni Artha Utama)</v>
      </c>
    </row>
    <row r="1655" spans="9:11" ht="12.75" customHeight="1" x14ac:dyDescent="0.35">
      <c r="I1655" s="16" t="s">
        <v>4681</v>
      </c>
      <c r="J1655" s="52">
        <v>602547</v>
      </c>
      <c r="K1655" s="16" t="str">
        <f t="shared" si="88"/>
        <v>602547 (PT BPR Andalan Favorit Perdana)</v>
      </c>
    </row>
    <row r="1656" spans="9:11" ht="12.75" customHeight="1" x14ac:dyDescent="0.35">
      <c r="I1656" s="16" t="s">
        <v>4682</v>
      </c>
      <c r="J1656" s="52">
        <v>602548</v>
      </c>
      <c r="K1656" s="16" t="str">
        <f t="shared" si="88"/>
        <v>602548 (PD BPR Subang)</v>
      </c>
    </row>
    <row r="1657" spans="9:11" ht="12.75" customHeight="1" x14ac:dyDescent="0.35">
      <c r="I1657" s="16" t="s">
        <v>4683</v>
      </c>
      <c r="J1657" s="52">
        <v>602549</v>
      </c>
      <c r="K1657" s="16" t="str">
        <f t="shared" si="88"/>
        <v>602549 (PT BPR Pagai Utara Selatan)</v>
      </c>
    </row>
    <row r="1658" spans="9:11" ht="12.75" customHeight="1" x14ac:dyDescent="0.35">
      <c r="I1658" s="16" t="s">
        <v>4684</v>
      </c>
      <c r="J1658" s="52">
        <v>602550</v>
      </c>
      <c r="K1658" s="16" t="str">
        <f t="shared" si="88"/>
        <v>602550 (PT BPR Kutai Timur)</v>
      </c>
    </row>
    <row r="1659" spans="9:11" ht="12.75" customHeight="1" x14ac:dyDescent="0.35">
      <c r="I1659" s="16" t="s">
        <v>4685</v>
      </c>
      <c r="J1659" s="52">
        <v>602551</v>
      </c>
      <c r="K1659" s="16" t="str">
        <f t="shared" si="88"/>
        <v>602551 (PT BPR Sipora)</v>
      </c>
    </row>
    <row r="1660" spans="9:11" ht="12.75" customHeight="1" x14ac:dyDescent="0.35">
      <c r="I1660" s="16" t="s">
        <v>4686</v>
      </c>
      <c r="J1660" s="52">
        <v>602552</v>
      </c>
      <c r="K1660" s="16" t="str">
        <f t="shared" si="88"/>
        <v>602552 (PT BPR Samudera)</v>
      </c>
    </row>
    <row r="1661" spans="9:11" ht="12.75" customHeight="1" x14ac:dyDescent="0.35">
      <c r="I1661" s="16" t="s">
        <v>4687</v>
      </c>
      <c r="J1661" s="52">
        <v>602553</v>
      </c>
      <c r="K1661" s="16" t="str">
        <f t="shared" si="88"/>
        <v>602553 (PT BPR Mina Mandiri)</v>
      </c>
    </row>
    <row r="1662" spans="9:11" ht="12.75" customHeight="1" x14ac:dyDescent="0.35">
      <c r="I1662" s="16" t="s">
        <v>4688</v>
      </c>
      <c r="J1662" s="52">
        <v>602554</v>
      </c>
      <c r="K1662" s="16" t="str">
        <f t="shared" si="88"/>
        <v>602554 (PT BPR Tuah Negeri Mandiri)</v>
      </c>
    </row>
    <row r="1663" spans="9:11" ht="12.75" customHeight="1" x14ac:dyDescent="0.35">
      <c r="I1663" s="16" t="s">
        <v>4689</v>
      </c>
      <c r="J1663" s="52">
        <v>602555</v>
      </c>
      <c r="K1663" s="16" t="str">
        <f t="shared" si="88"/>
        <v>602555 (PT BPR Bepede Kutai Sejahtera)</v>
      </c>
    </row>
    <row r="1664" spans="9:11" ht="12.75" customHeight="1" x14ac:dyDescent="0.35">
      <c r="I1664" s="16" t="s">
        <v>4690</v>
      </c>
      <c r="J1664" s="52">
        <v>602556</v>
      </c>
      <c r="K1664" s="16" t="str">
        <f t="shared" si="88"/>
        <v>602556 (PT BPR Mataram Mitra Manunggal)</v>
      </c>
    </row>
    <row r="1665" spans="9:11" ht="12.75" customHeight="1" x14ac:dyDescent="0.35">
      <c r="I1665" s="16" t="s">
        <v>4691</v>
      </c>
      <c r="J1665" s="52">
        <v>602557</v>
      </c>
      <c r="K1665" s="16" t="str">
        <f t="shared" si="88"/>
        <v>602557 (PT BPR Usaha Madani Karya Mulia)</v>
      </c>
    </row>
    <row r="1666" spans="9:11" ht="12.75" customHeight="1" x14ac:dyDescent="0.35">
      <c r="I1666" s="16" t="s">
        <v>4692</v>
      </c>
      <c r="J1666" s="52">
        <v>602558</v>
      </c>
      <c r="K1666" s="16" t="str">
        <f t="shared" si="88"/>
        <v>602558 (PT BPR LSE Manggala)</v>
      </c>
    </row>
    <row r="1667" spans="9:11" ht="12.75" customHeight="1" x14ac:dyDescent="0.35">
      <c r="I1667" s="16" t="s">
        <v>4693</v>
      </c>
      <c r="J1667" s="52">
        <v>602559</v>
      </c>
      <c r="K1667" s="16" t="str">
        <f t="shared" si="88"/>
        <v>602559 (PT BPR Pekanbaru)</v>
      </c>
    </row>
    <row r="1668" spans="9:11" ht="12.75" customHeight="1" x14ac:dyDescent="0.35">
      <c r="I1668" s="16" t="s">
        <v>4694</v>
      </c>
      <c r="J1668" s="52">
        <v>602560</v>
      </c>
      <c r="K1668" s="16" t="str">
        <f t="shared" si="88"/>
        <v>602560 (PT BPR Artha Praja)</v>
      </c>
    </row>
    <row r="1669" spans="9:11" ht="12.75" customHeight="1" x14ac:dyDescent="0.35">
      <c r="I1669" s="16" t="s">
        <v>4695</v>
      </c>
      <c r="J1669" s="52">
        <v>602561</v>
      </c>
      <c r="K1669" s="16" t="str">
        <f t="shared" si="88"/>
        <v>602561 (PD BPR Rokan Hulu)</v>
      </c>
    </row>
    <row r="1670" spans="9:11" ht="12.75" customHeight="1" x14ac:dyDescent="0.35">
      <c r="I1670" s="16" t="s">
        <v>4696</v>
      </c>
      <c r="J1670" s="52">
        <v>602562</v>
      </c>
      <c r="K1670" s="16" t="str">
        <f t="shared" si="88"/>
        <v>602562 (PD BPR Citra Mas)</v>
      </c>
    </row>
    <row r="1671" spans="9:11" ht="12.75" customHeight="1" x14ac:dyDescent="0.35">
      <c r="I1671" s="16" t="s">
        <v>4697</v>
      </c>
      <c r="J1671" s="52">
        <v>602563</v>
      </c>
      <c r="K1671" s="16" t="str">
        <f t="shared" si="88"/>
        <v>602563 (PT BPR Metro Asia Mandiri)</v>
      </c>
    </row>
    <row r="1672" spans="9:11" ht="12.75" customHeight="1" x14ac:dyDescent="0.35">
      <c r="I1672" s="16" t="s">
        <v>4698</v>
      </c>
      <c r="J1672" s="52">
        <v>602564</v>
      </c>
      <c r="K1672" s="16" t="str">
        <f t="shared" si="88"/>
        <v>602564 (PT BPR Mandiri Jaya Perkasa)</v>
      </c>
    </row>
    <row r="1673" spans="9:11" ht="12.75" customHeight="1" x14ac:dyDescent="0.35">
      <c r="I1673" s="16" t="s">
        <v>4699</v>
      </c>
      <c r="J1673" s="52">
        <v>602565</v>
      </c>
      <c r="K1673" s="16" t="str">
        <f t="shared" si="88"/>
        <v>602565 (PT BPR Permata Hati jaya)</v>
      </c>
    </row>
    <row r="1674" spans="9:11" ht="12.75" customHeight="1" x14ac:dyDescent="0.35">
      <c r="I1674" s="16" t="s">
        <v>4700</v>
      </c>
      <c r="J1674" s="52">
        <v>602566</v>
      </c>
      <c r="K1674" s="16" t="str">
        <f t="shared" si="88"/>
        <v>602566 (PT BPR Pesisir Akbar)</v>
      </c>
    </row>
    <row r="1675" spans="9:11" ht="12.75" customHeight="1" x14ac:dyDescent="0.35">
      <c r="I1675" s="16" t="s">
        <v>4701</v>
      </c>
      <c r="J1675" s="52">
        <v>602567</v>
      </c>
      <c r="K1675" s="16" t="str">
        <f t="shared" si="88"/>
        <v>602567 (PT BPR Duta Artha Sejahtera)</v>
      </c>
    </row>
    <row r="1676" spans="9:11" ht="12.75" customHeight="1" x14ac:dyDescent="0.35">
      <c r="I1676" s="16" t="s">
        <v>4702</v>
      </c>
      <c r="J1676" s="52">
        <v>602568</v>
      </c>
      <c r="K1676" s="16" t="str">
        <f t="shared" si="88"/>
        <v>602568 (PT BPR Supra Wahana Arta)</v>
      </c>
    </row>
    <row r="1677" spans="9:11" ht="12.75" customHeight="1" x14ac:dyDescent="0.35">
      <c r="I1677" s="16" t="s">
        <v>4703</v>
      </c>
      <c r="J1677" s="52">
        <v>602569</v>
      </c>
      <c r="K1677" s="16" t="str">
        <f t="shared" si="88"/>
        <v>602569 (PT BPR Pesisir Layar Berkembang)</v>
      </c>
    </row>
    <row r="1678" spans="9:11" ht="12.75" customHeight="1" x14ac:dyDescent="0.35">
      <c r="I1678" s="16" t="s">
        <v>4704</v>
      </c>
      <c r="J1678" s="52">
        <v>602570</v>
      </c>
      <c r="K1678" s="16" t="str">
        <f t="shared" si="88"/>
        <v>602570 (PT BPR Berlian Global Aceh)</v>
      </c>
    </row>
    <row r="1679" spans="9:11" ht="12.75" customHeight="1" x14ac:dyDescent="0.35">
      <c r="I1679" s="16" t="s">
        <v>4705</v>
      </c>
      <c r="J1679" s="52">
        <v>602571</v>
      </c>
      <c r="K1679" s="16" t="str">
        <f t="shared" si="88"/>
        <v>602571 (PT BPR Tunas Jaya Graha)</v>
      </c>
    </row>
    <row r="1680" spans="9:11" ht="12.75" customHeight="1" x14ac:dyDescent="0.35">
      <c r="I1680" s="16" t="s">
        <v>4706</v>
      </c>
      <c r="J1680" s="52">
        <v>602572</v>
      </c>
      <c r="K1680" s="16" t="str">
        <f t="shared" si="88"/>
        <v>602572 (PT BPR Universal Karya Mandiri Riau)</v>
      </c>
    </row>
    <row r="1681" spans="9:11" ht="12.75" customHeight="1" x14ac:dyDescent="0.35">
      <c r="I1681" s="16" t="s">
        <v>4707</v>
      </c>
      <c r="J1681" s="52">
        <v>602573</v>
      </c>
      <c r="K1681" s="16" t="str">
        <f t="shared" si="88"/>
        <v>602573 (PT BPR Celebes Mitra Perdana)</v>
      </c>
    </row>
    <row r="1682" spans="9:11" ht="12.75" customHeight="1" x14ac:dyDescent="0.35">
      <c r="I1682" s="16" t="s">
        <v>4708</v>
      </c>
      <c r="J1682" s="52">
        <v>602574</v>
      </c>
      <c r="K1682" s="16" t="str">
        <f t="shared" si="88"/>
        <v>602574 (PT BPR Sumatera Selatan)</v>
      </c>
    </row>
    <row r="1683" spans="9:11" ht="12.75" customHeight="1" x14ac:dyDescent="0.35">
      <c r="I1683" s="16" t="s">
        <v>4709</v>
      </c>
      <c r="J1683" s="52">
        <v>602575</v>
      </c>
      <c r="K1683" s="16" t="str">
        <f t="shared" si="88"/>
        <v>602575 (PD BPR Bintan)</v>
      </c>
    </row>
    <row r="1684" spans="9:11" ht="12.75" customHeight="1" x14ac:dyDescent="0.35">
      <c r="I1684" s="16" t="s">
        <v>4710</v>
      </c>
      <c r="J1684" s="52">
        <v>602576</v>
      </c>
      <c r="K1684" s="16" t="str">
        <f t="shared" si="88"/>
        <v>602576 (PT BPR Tata Karya Indonesia)</v>
      </c>
    </row>
    <row r="1685" spans="9:11" ht="12.75" customHeight="1" x14ac:dyDescent="0.35">
      <c r="I1685" s="16" t="s">
        <v>4711</v>
      </c>
      <c r="J1685" s="52">
        <v>602577</v>
      </c>
      <c r="K1685" s="16" t="str">
        <f t="shared" si="88"/>
        <v>602577 (PD BPR Kerta Raharja)</v>
      </c>
    </row>
    <row r="1686" spans="9:11" ht="12.75" customHeight="1" x14ac:dyDescent="0.35">
      <c r="I1686" s="16" t="s">
        <v>4712</v>
      </c>
      <c r="J1686" s="52">
        <v>602578</v>
      </c>
      <c r="K1686" s="16" t="str">
        <f t="shared" si="88"/>
        <v>602578 (PT BPR Tanaoba Lais Manekat)</v>
      </c>
    </row>
    <row r="1687" spans="9:11" ht="12.75" customHeight="1" x14ac:dyDescent="0.35">
      <c r="I1687" s="16" t="s">
        <v>4713</v>
      </c>
      <c r="J1687" s="52">
        <v>602579</v>
      </c>
      <c r="K1687" s="16" t="str">
        <f t="shared" si="88"/>
        <v>602579 (PT BPR Pesisir Tanadoang)</v>
      </c>
    </row>
    <row r="1688" spans="9:11" ht="12.75" customHeight="1" x14ac:dyDescent="0.35">
      <c r="I1688" s="16" t="s">
        <v>4714</v>
      </c>
      <c r="J1688" s="52">
        <v>602580</v>
      </c>
      <c r="K1688" s="16" t="str">
        <f t="shared" si="88"/>
        <v>602580 (PT BPR Bina Dana Cakrawala)</v>
      </c>
    </row>
    <row r="1689" spans="9:11" ht="12.75" customHeight="1" x14ac:dyDescent="0.35">
      <c r="I1689" s="16" t="s">
        <v>4715</v>
      </c>
      <c r="J1689" s="52">
        <v>602581</v>
      </c>
      <c r="K1689" s="16" t="str">
        <f t="shared" si="88"/>
        <v>602581 (PD BPR Bestari)</v>
      </c>
    </row>
    <row r="1690" spans="9:11" ht="12.75" customHeight="1" x14ac:dyDescent="0.35">
      <c r="I1690" s="16" t="s">
        <v>4716</v>
      </c>
      <c r="J1690" s="52">
        <v>602582</v>
      </c>
      <c r="K1690" s="16" t="str">
        <f t="shared" si="88"/>
        <v>602582 (PT BPR Utomo Manunggal Sejahtera Lampung)</v>
      </c>
    </row>
    <row r="1691" spans="9:11" ht="12.75" customHeight="1" x14ac:dyDescent="0.35">
      <c r="I1691" s="16" t="s">
        <v>4717</v>
      </c>
      <c r="J1691" s="52">
        <v>602583</v>
      </c>
      <c r="K1691" s="16" t="str">
        <f t="shared" si="88"/>
        <v>602583 (PT BPR Harta Mandiri)</v>
      </c>
    </row>
    <row r="1692" spans="9:11" ht="12.75" customHeight="1" x14ac:dyDescent="0.35">
      <c r="I1692" s="16" t="s">
        <v>4718</v>
      </c>
      <c r="J1692" s="52">
        <v>602584</v>
      </c>
      <c r="K1692" s="16" t="str">
        <f t="shared" si="88"/>
        <v>602584 (PT BPR Papua Mandiri Makmur)</v>
      </c>
    </row>
    <row r="1693" spans="9:11" ht="12.75" customHeight="1" x14ac:dyDescent="0.35">
      <c r="I1693" s="16" t="s">
        <v>4719</v>
      </c>
      <c r="J1693" s="52">
        <v>602585</v>
      </c>
      <c r="K1693" s="16" t="str">
        <f t="shared" si="88"/>
        <v>602585 (PT BPR Arto Moro)</v>
      </c>
    </row>
    <row r="1694" spans="9:11" ht="12.75" customHeight="1" x14ac:dyDescent="0.35">
      <c r="I1694" s="16" t="s">
        <v>4720</v>
      </c>
      <c r="J1694" s="52">
        <v>602586</v>
      </c>
      <c r="K1694" s="16" t="str">
        <f t="shared" si="88"/>
        <v>602586 (PT BPR Delta Dana Mandiri)</v>
      </c>
    </row>
    <row r="1695" spans="9:11" ht="12.75" customHeight="1" x14ac:dyDescent="0.35">
      <c r="I1695" s="16" t="s">
        <v>4721</v>
      </c>
      <c r="J1695" s="52">
        <v>602587</v>
      </c>
      <c r="K1695" s="16" t="str">
        <f t="shared" si="88"/>
        <v>602587 (PT BPR Niji)</v>
      </c>
    </row>
    <row r="1696" spans="9:11" ht="12.75" customHeight="1" x14ac:dyDescent="0.35">
      <c r="I1696" s="16" t="s">
        <v>4722</v>
      </c>
      <c r="J1696" s="52">
        <v>602588</v>
      </c>
      <c r="K1696" s="16" t="str">
        <f t="shared" si="88"/>
        <v>602588 (PT BPR Panca Arta Graha)</v>
      </c>
    </row>
    <row r="1697" spans="9:11" ht="12.75" customHeight="1" x14ac:dyDescent="0.35">
      <c r="I1697" s="16" t="s">
        <v>4723</v>
      </c>
      <c r="J1697" s="52">
        <v>602589</v>
      </c>
      <c r="K1697" s="16" t="str">
        <f t="shared" si="88"/>
        <v>602589 (PT BPR Indomitra Mega Kapital)</v>
      </c>
    </row>
    <row r="1698" spans="9:11" ht="12.75" customHeight="1" x14ac:dyDescent="0.35">
      <c r="I1698" s="16" t="s">
        <v>4724</v>
      </c>
      <c r="J1698" s="52">
        <v>602590</v>
      </c>
      <c r="K1698" s="16" t="str">
        <f t="shared" si="88"/>
        <v>602590 (PT BPR Putra Batam)</v>
      </c>
    </row>
    <row r="1699" spans="9:11" ht="12.75" customHeight="1" x14ac:dyDescent="0.35">
      <c r="I1699" s="16" t="s">
        <v>4725</v>
      </c>
      <c r="J1699" s="52">
        <v>602591</v>
      </c>
      <c r="K1699" s="16" t="str">
        <f t="shared" si="88"/>
        <v>602591 (PT BPR Karya Bakti Sejahtera)</v>
      </c>
    </row>
    <row r="1700" spans="9:11" ht="12.75" customHeight="1" x14ac:dyDescent="0.35">
      <c r="I1700" s="16" t="s">
        <v>4726</v>
      </c>
      <c r="J1700" s="52">
        <v>602592</v>
      </c>
      <c r="K1700" s="16" t="str">
        <f t="shared" si="88"/>
        <v>602592 (PT BPR Stigma Andalas)</v>
      </c>
    </row>
    <row r="1701" spans="9:11" ht="12.75" customHeight="1" x14ac:dyDescent="0.35">
      <c r="I1701" s="16" t="s">
        <v>4727</v>
      </c>
      <c r="J1701" s="52">
        <v>602593</v>
      </c>
      <c r="K1701" s="16" t="str">
        <f t="shared" si="88"/>
        <v>602593 (PT BPR Hardi Mas Mandiri)</v>
      </c>
    </row>
    <row r="1702" spans="9:11" ht="12.75" customHeight="1" x14ac:dyDescent="0.35">
      <c r="I1702" s="16" t="s">
        <v>4728</v>
      </c>
      <c r="J1702" s="52">
        <v>602594</v>
      </c>
      <c r="K1702" s="16" t="str">
        <f t="shared" si="88"/>
        <v>602594 (PT BPR Timor Raya Makmur)</v>
      </c>
    </row>
    <row r="1703" spans="9:11" ht="12.75" customHeight="1" x14ac:dyDescent="0.35">
      <c r="I1703" s="16" t="s">
        <v>4729</v>
      </c>
      <c r="J1703" s="52">
        <v>602595</v>
      </c>
      <c r="K1703" s="16" t="str">
        <f t="shared" si="88"/>
        <v>602595 (PT BPR Danamas Simpan Pinjam)</v>
      </c>
    </row>
    <row r="1704" spans="9:11" ht="12.75" customHeight="1" x14ac:dyDescent="0.35">
      <c r="I1704" s="16" t="s">
        <v>4730</v>
      </c>
      <c r="J1704" s="52">
        <v>602596</v>
      </c>
      <c r="K1704" s="16" t="str">
        <f t="shared" si="88"/>
        <v>602596 (PT BPR Prima Dana Abadi)</v>
      </c>
    </row>
    <row r="1705" spans="9:11" ht="12.75" customHeight="1" x14ac:dyDescent="0.35">
      <c r="I1705" s="16" t="s">
        <v>4731</v>
      </c>
      <c r="J1705" s="52">
        <v>602598</v>
      </c>
      <c r="K1705" s="16" t="str">
        <f t="shared" si="88"/>
        <v>602598 (PT BPR Kepri Batam)</v>
      </c>
    </row>
    <row r="1706" spans="9:11" ht="12.75" customHeight="1" x14ac:dyDescent="0.35">
      <c r="I1706" s="16" t="s">
        <v>4732</v>
      </c>
      <c r="J1706" s="52">
        <v>602599</v>
      </c>
      <c r="K1706" s="16" t="str">
        <f t="shared" si="88"/>
        <v>602599 (PT BPR Kepri Bintan)</v>
      </c>
    </row>
    <row r="1707" spans="9:11" ht="12.75" customHeight="1" x14ac:dyDescent="0.35">
      <c r="I1707" s="16" t="s">
        <v>4733</v>
      </c>
      <c r="J1707" s="52">
        <v>602600</v>
      </c>
      <c r="K1707" s="16" t="str">
        <f t="shared" si="88"/>
        <v>602600 (PT BPR Agra Dhana)</v>
      </c>
    </row>
    <row r="1708" spans="9:11" ht="12.75" customHeight="1" x14ac:dyDescent="0.35">
      <c r="I1708" s="16" t="s">
        <v>4734</v>
      </c>
      <c r="J1708" s="52">
        <v>602601</v>
      </c>
      <c r="K1708" s="16" t="str">
        <f t="shared" si="88"/>
        <v>602601 (PT BPR Yaspis Dana Prima)</v>
      </c>
    </row>
    <row r="1709" spans="9:11" ht="12.75" customHeight="1" x14ac:dyDescent="0.35">
      <c r="I1709" s="16" t="s">
        <v>4735</v>
      </c>
      <c r="J1709" s="52">
        <v>602602</v>
      </c>
      <c r="K1709" s="16" t="str">
        <f t="shared" si="88"/>
        <v>602602 (PT BPR Kintamas Mitra Dana)</v>
      </c>
    </row>
    <row r="1710" spans="9:11" ht="12.75" customHeight="1" x14ac:dyDescent="0.35">
      <c r="I1710" s="16" t="s">
        <v>4736</v>
      </c>
      <c r="J1710" s="52">
        <v>602604</v>
      </c>
      <c r="K1710" s="16" t="str">
        <f t="shared" si="88"/>
        <v>602604 (PT BPR Christa Jaya Perdana)</v>
      </c>
    </row>
    <row r="1711" spans="9:11" ht="12.75" customHeight="1" x14ac:dyDescent="0.35">
      <c r="I1711" s="16" t="s">
        <v>4737</v>
      </c>
      <c r="J1711" s="52">
        <v>602605</v>
      </c>
      <c r="K1711" s="16" t="str">
        <f t="shared" si="88"/>
        <v>602605 (PT BPR Puskopat)</v>
      </c>
    </row>
    <row r="1712" spans="9:11" ht="12.75" customHeight="1" x14ac:dyDescent="0.35">
      <c r="I1712" s="16" t="s">
        <v>4738</v>
      </c>
      <c r="J1712" s="52">
        <v>602606</v>
      </c>
      <c r="K1712" s="16" t="str">
        <f t="shared" si="88"/>
        <v>602606 (PT BPR Rasyid)</v>
      </c>
    </row>
    <row r="1713" spans="9:11" ht="12.75" customHeight="1" x14ac:dyDescent="0.35">
      <c r="I1713" s="16" t="s">
        <v>4739</v>
      </c>
      <c r="J1713" s="52">
        <v>602607</v>
      </c>
      <c r="K1713" s="16" t="str">
        <f t="shared" si="88"/>
        <v>602607 (PT BPR Central Sejahtera)</v>
      </c>
    </row>
    <row r="1714" spans="9:11" ht="12.75" customHeight="1" x14ac:dyDescent="0.35">
      <c r="I1714" s="16" t="s">
        <v>4740</v>
      </c>
      <c r="J1714" s="52">
        <v>602608</v>
      </c>
      <c r="K1714" s="16" t="str">
        <f t="shared" si="88"/>
        <v>602608 (PT BPR Pembangunan Kerinci)</v>
      </c>
    </row>
    <row r="1715" spans="9:11" ht="12.75" customHeight="1" x14ac:dyDescent="0.35">
      <c r="I1715" s="16" t="s">
        <v>4741</v>
      </c>
      <c r="J1715" s="52">
        <v>602609</v>
      </c>
      <c r="K1715" s="16" t="str">
        <f t="shared" si="88"/>
        <v>602609 (PT BPR Tunas Mitra Mandiri)</v>
      </c>
    </row>
    <row r="1716" spans="9:11" ht="12.75" customHeight="1" x14ac:dyDescent="0.35">
      <c r="I1716" s="16" t="s">
        <v>4742</v>
      </c>
      <c r="J1716" s="52">
        <v>602610</v>
      </c>
      <c r="K1716" s="16" t="str">
        <f t="shared" si="88"/>
        <v>602610 (PD BPR Dana Amanah)</v>
      </c>
    </row>
    <row r="1717" spans="9:11" ht="12.75" customHeight="1" x14ac:dyDescent="0.35">
      <c r="I1717" s="16" t="s">
        <v>4743</v>
      </c>
      <c r="J1717" s="52">
        <v>602611</v>
      </c>
      <c r="K1717" s="16" t="str">
        <f t="shared" si="88"/>
        <v>602611 (PD BPR Marunting Sejahtera)</v>
      </c>
    </row>
    <row r="1718" spans="9:11" ht="12.75" customHeight="1" x14ac:dyDescent="0.35">
      <c r="I1718" s="16" t="s">
        <v>4744</v>
      </c>
      <c r="J1718" s="52">
        <v>602612</v>
      </c>
      <c r="K1718" s="16" t="str">
        <f t="shared" si="88"/>
        <v>602612 (PT BPR Artha Karya Usaha)</v>
      </c>
    </row>
    <row r="1719" spans="9:11" ht="12.75" customHeight="1" x14ac:dyDescent="0.35">
      <c r="I1719" s="16" t="s">
        <v>4745</v>
      </c>
      <c r="J1719" s="52">
        <v>602613</v>
      </c>
      <c r="K1719" s="16" t="str">
        <f t="shared" si="88"/>
        <v>602613 (PT BPR Cempaka Mitra Nagori Kuansing)</v>
      </c>
    </row>
    <row r="1720" spans="9:11" ht="12.75" customHeight="1" x14ac:dyDescent="0.35">
      <c r="I1720" s="16" t="s">
        <v>4746</v>
      </c>
      <c r="J1720" s="52">
        <v>602614</v>
      </c>
      <c r="K1720" s="16" t="str">
        <f t="shared" si="88"/>
        <v>602614 (PT BPR Indobaru Finansia)</v>
      </c>
    </row>
    <row r="1721" spans="9:11" ht="12.75" customHeight="1" x14ac:dyDescent="0.35">
      <c r="I1721" s="16" t="s">
        <v>4747</v>
      </c>
      <c r="J1721" s="52">
        <v>602615</v>
      </c>
      <c r="K1721" s="16" t="str">
        <f t="shared" si="88"/>
        <v>602615 (PT BPR Surya Utama)</v>
      </c>
    </row>
    <row r="1722" spans="9:11" ht="12.75" customHeight="1" x14ac:dyDescent="0.35">
      <c r="I1722" s="16" t="s">
        <v>4748</v>
      </c>
      <c r="J1722" s="52">
        <v>602616</v>
      </c>
      <c r="K1722" s="16" t="str">
        <f t="shared" si="88"/>
        <v>602616 (PT BPR Tanjung Pratama)</v>
      </c>
    </row>
    <row r="1723" spans="9:11" ht="12.75" customHeight="1" x14ac:dyDescent="0.35">
      <c r="I1723" s="16" t="s">
        <v>4749</v>
      </c>
      <c r="J1723" s="52">
        <v>602617</v>
      </c>
      <c r="K1723" s="16" t="str">
        <f t="shared" si="88"/>
        <v>602617 (PT BPR Karimun Sejahtera)</v>
      </c>
    </row>
    <row r="1724" spans="9:11" ht="12.75" customHeight="1" x14ac:dyDescent="0.35">
      <c r="I1724" s="16" t="s">
        <v>4750</v>
      </c>
      <c r="J1724" s="52">
        <v>602618</v>
      </c>
      <c r="K1724" s="16" t="str">
        <f t="shared" si="88"/>
        <v>602618 (PT BPR Harapan Bunda)</v>
      </c>
    </row>
    <row r="1725" spans="9:11" ht="12.75" customHeight="1" x14ac:dyDescent="0.35">
      <c r="I1725" s="16" t="s">
        <v>4751</v>
      </c>
      <c r="J1725" s="52">
        <v>602619</v>
      </c>
      <c r="K1725" s="16" t="str">
        <f t="shared" si="88"/>
        <v>602619 (PT BPR Global Mentari)</v>
      </c>
    </row>
    <row r="1726" spans="9:11" ht="12.75" customHeight="1" x14ac:dyDescent="0.35">
      <c r="I1726" s="16" t="s">
        <v>4752</v>
      </c>
      <c r="J1726" s="52">
        <v>602620</v>
      </c>
      <c r="K1726" s="16" t="str">
        <f t="shared" si="88"/>
        <v>602620 (PT. BPR Dana Fanindo)</v>
      </c>
    </row>
    <row r="1727" spans="9:11" ht="12.75" customHeight="1" x14ac:dyDescent="0.35">
      <c r="I1727" s="16" t="s">
        <v>4753</v>
      </c>
      <c r="J1727" s="52">
        <v>602621</v>
      </c>
      <c r="K1727" s="16" t="str">
        <f t="shared" si="88"/>
        <v>602621 (PT BPR Ukabima Grazia)</v>
      </c>
    </row>
    <row r="1728" spans="9:11" ht="12.75" customHeight="1" x14ac:dyDescent="0.35">
      <c r="I1728" s="16" t="s">
        <v>4754</v>
      </c>
      <c r="J1728" s="52">
        <v>602622</v>
      </c>
      <c r="K1728" s="16" t="str">
        <f t="shared" si="88"/>
        <v>602622 (PT BPR Nustria Mitra Abadi)</v>
      </c>
    </row>
    <row r="1729" spans="9:11" ht="12.75" customHeight="1" x14ac:dyDescent="0.35">
      <c r="I1729" s="16" t="s">
        <v>4755</v>
      </c>
      <c r="J1729" s="52">
        <v>602623</v>
      </c>
      <c r="K1729" s="16" t="str">
        <f t="shared" si="88"/>
        <v>602623 (PT BPR Ukabima Mitra Dana)</v>
      </c>
    </row>
    <row r="1730" spans="9:11" ht="12.75" customHeight="1" x14ac:dyDescent="0.35">
      <c r="I1730" s="16" t="s">
        <v>4756</v>
      </c>
      <c r="J1730" s="52">
        <v>602624</v>
      </c>
      <c r="K1730" s="16" t="str">
        <f t="shared" si="88"/>
        <v>602624 (PT BPR Bontang Sejahtera)</v>
      </c>
    </row>
    <row r="1731" spans="9:11" ht="12.75" customHeight="1" x14ac:dyDescent="0.35">
      <c r="I1731" s="16" t="s">
        <v>4757</v>
      </c>
      <c r="J1731" s="52">
        <v>602625</v>
      </c>
      <c r="K1731" s="16" t="str">
        <f t="shared" si="88"/>
        <v>602625 (PT BPR Dana Mitra Sukses)</v>
      </c>
    </row>
    <row r="1732" spans="9:11" ht="12.75" customHeight="1" x14ac:dyDescent="0.35">
      <c r="I1732" s="16" t="s">
        <v>4758</v>
      </c>
      <c r="J1732" s="52">
        <v>602626</v>
      </c>
      <c r="K1732" s="16" t="str">
        <f t="shared" si="88"/>
        <v>602626 (PT BPR Prima Artha Sejahtera)</v>
      </c>
    </row>
    <row r="1733" spans="9:11" ht="12.75" customHeight="1" x14ac:dyDescent="0.35">
      <c r="I1733" s="16" t="s">
        <v>4759</v>
      </c>
      <c r="J1733" s="52">
        <v>602627</v>
      </c>
      <c r="K1733" s="16" t="str">
        <f t="shared" si="88"/>
        <v>602627 (PD BPR Sumedang)</v>
      </c>
    </row>
    <row r="1734" spans="9:11" ht="12.75" customHeight="1" x14ac:dyDescent="0.35">
      <c r="I1734" s="16" t="s">
        <v>4760</v>
      </c>
      <c r="J1734" s="52">
        <v>602628</v>
      </c>
      <c r="K1734" s="16" t="str">
        <f t="shared" si="88"/>
        <v>602628 (PD BPR NTB Lombok Tengah)</v>
      </c>
    </row>
    <row r="1735" spans="9:11" ht="12.75" customHeight="1" x14ac:dyDescent="0.35">
      <c r="I1735" s="16" t="s">
        <v>4761</v>
      </c>
      <c r="J1735" s="52">
        <v>602629</v>
      </c>
      <c r="K1735" s="16" t="str">
        <f t="shared" si="88"/>
        <v>602629 (PD BPR NTB Lombok Timur)</v>
      </c>
    </row>
    <row r="1736" spans="9:11" ht="12.75" customHeight="1" x14ac:dyDescent="0.35">
      <c r="I1736" s="16" t="s">
        <v>4762</v>
      </c>
      <c r="J1736" s="52">
        <v>602630</v>
      </c>
      <c r="K1736" s="16" t="str">
        <f t="shared" si="88"/>
        <v>602630 (PT BPR Dana Putra)</v>
      </c>
    </row>
    <row r="1737" spans="9:11" ht="12.75" customHeight="1" x14ac:dyDescent="0.35">
      <c r="I1737" s="16" t="s">
        <v>4763</v>
      </c>
      <c r="J1737" s="52">
        <v>602631</v>
      </c>
      <c r="K1737" s="16" t="str">
        <f t="shared" si="88"/>
        <v>602631 (PT BPR Dana Makmur)</v>
      </c>
    </row>
    <row r="1738" spans="9:11" ht="12.75" customHeight="1" x14ac:dyDescent="0.35">
      <c r="I1738" s="16" t="s">
        <v>4764</v>
      </c>
      <c r="J1738" s="52">
        <v>602632</v>
      </c>
      <c r="K1738" s="16" t="str">
        <f t="shared" si="88"/>
        <v>602632 (PT BPR Buana Arta Mulia)</v>
      </c>
    </row>
    <row r="1739" spans="9:11" ht="12.75" customHeight="1" x14ac:dyDescent="0.35">
      <c r="I1739" s="16" t="s">
        <v>4765</v>
      </c>
      <c r="J1739" s="52">
        <v>602633</v>
      </c>
      <c r="K1739" s="16" t="str">
        <f t="shared" si="88"/>
        <v>602633 (PD BPR NTB Sumbawa)</v>
      </c>
    </row>
    <row r="1740" spans="9:11" ht="12.75" customHeight="1" x14ac:dyDescent="0.35">
      <c r="I1740" s="16" t="s">
        <v>4766</v>
      </c>
      <c r="J1740" s="52">
        <v>602635</v>
      </c>
      <c r="K1740" s="16" t="str">
        <f t="shared" si="88"/>
        <v>602635 (PT BPR Kencana Mandiri)</v>
      </c>
    </row>
    <row r="1741" spans="9:11" ht="12.75" customHeight="1" x14ac:dyDescent="0.35">
      <c r="I1741" s="16" t="s">
        <v>4767</v>
      </c>
      <c r="J1741" s="52">
        <v>602636</v>
      </c>
      <c r="K1741" s="16" t="str">
        <f t="shared" si="88"/>
        <v>602636 (PT BPR Central Dana Mandiri)</v>
      </c>
    </row>
    <row r="1742" spans="9:11" ht="12.75" customHeight="1" x14ac:dyDescent="0.35">
      <c r="I1742" s="16" t="s">
        <v>4768</v>
      </c>
      <c r="J1742" s="52">
        <v>602637</v>
      </c>
      <c r="K1742" s="16" t="str">
        <f t="shared" si="88"/>
        <v>602637 (PT BPR Athena Surya Prima)</v>
      </c>
    </row>
    <row r="1743" spans="9:11" ht="12.75" customHeight="1" x14ac:dyDescent="0.35">
      <c r="I1743" s="16" t="s">
        <v>4769</v>
      </c>
      <c r="J1743" s="52">
        <v>602638</v>
      </c>
      <c r="K1743" s="16" t="str">
        <f t="shared" si="88"/>
        <v>602638 (PT. BPR Kerta Raharja)</v>
      </c>
    </row>
    <row r="1744" spans="9:11" ht="12.75" customHeight="1" x14ac:dyDescent="0.35">
      <c r="I1744" s="16" t="s">
        <v>4770</v>
      </c>
      <c r="J1744" s="52">
        <v>602639</v>
      </c>
      <c r="K1744" s="16" t="str">
        <f t="shared" si="88"/>
        <v>602639 (PT BPR Dana Raya)</v>
      </c>
    </row>
    <row r="1745" spans="9:11" ht="12.75" customHeight="1" x14ac:dyDescent="0.35">
      <c r="I1745" s="16" t="s">
        <v>4771</v>
      </c>
      <c r="J1745" s="52">
        <v>602640</v>
      </c>
      <c r="K1745" s="16" t="str">
        <f t="shared" si="88"/>
        <v>602640 (PD BPR Garut)</v>
      </c>
    </row>
    <row r="1746" spans="9:11" ht="12.75" customHeight="1" x14ac:dyDescent="0.35">
      <c r="I1746" s="16" t="s">
        <v>4772</v>
      </c>
      <c r="J1746" s="52">
        <v>602642</v>
      </c>
      <c r="K1746" s="16" t="str">
        <f t="shared" si="88"/>
        <v>602642 (PT BPR Cempaka Mitra Usaha)</v>
      </c>
    </row>
    <row r="1747" spans="9:11" ht="12.75" customHeight="1" x14ac:dyDescent="0.35">
      <c r="I1747" s="16" t="s">
        <v>4773</v>
      </c>
      <c r="J1747" s="52">
        <v>602643</v>
      </c>
      <c r="K1747" s="16" t="str">
        <f t="shared" si="88"/>
        <v>602643 (PT BPR Arfak Indonesia)</v>
      </c>
    </row>
    <row r="1748" spans="9:11" ht="12.75" customHeight="1" x14ac:dyDescent="0.35">
      <c r="I1748" s="16" t="s">
        <v>4774</v>
      </c>
      <c r="J1748" s="52">
        <v>602644</v>
      </c>
      <c r="K1748" s="16" t="str">
        <f t="shared" si="88"/>
        <v>602644 (PT BPR Central Kepri)</v>
      </c>
    </row>
    <row r="1749" spans="9:11" ht="12.75" customHeight="1" x14ac:dyDescent="0.35">
      <c r="I1749" s="16" t="s">
        <v>4775</v>
      </c>
      <c r="J1749" s="52">
        <v>602645</v>
      </c>
      <c r="K1749" s="16" t="str">
        <f t="shared" si="88"/>
        <v>602645 (PT BPR Tara Dharma Artha)</v>
      </c>
    </row>
    <row r="1750" spans="9:11" ht="12.75" customHeight="1" x14ac:dyDescent="0.35">
      <c r="I1750" s="16" t="s">
        <v>4776</v>
      </c>
      <c r="J1750" s="52">
        <v>602646</v>
      </c>
      <c r="K1750" s="16" t="str">
        <f t="shared" si="88"/>
        <v>602646 (PT BPR Dana Central Mulia)</v>
      </c>
    </row>
    <row r="1751" spans="9:11" ht="12.75" customHeight="1" x14ac:dyDescent="0.35">
      <c r="I1751" s="16" t="s">
        <v>4777</v>
      </c>
      <c r="J1751" s="52">
        <v>602647</v>
      </c>
      <c r="K1751" s="16" t="str">
        <f t="shared" si="88"/>
        <v>602647 (PT BPR Majesty Golden Raya)</v>
      </c>
    </row>
    <row r="1752" spans="9:11" ht="12.75" customHeight="1" x14ac:dyDescent="0.35">
      <c r="I1752" s="16" t="s">
        <v>4778</v>
      </c>
      <c r="J1752" s="52">
        <v>602649</v>
      </c>
      <c r="K1752" s="16" t="str">
        <f t="shared" si="88"/>
        <v>602649 (PT BPR Bobato Lestari)</v>
      </c>
    </row>
    <row r="1753" spans="9:11" ht="12.75" customHeight="1" x14ac:dyDescent="0.35">
      <c r="I1753" s="16" t="s">
        <v>4779</v>
      </c>
      <c r="J1753" s="52">
        <v>602650</v>
      </c>
      <c r="K1753" s="16" t="str">
        <f t="shared" si="88"/>
        <v>602650 (PT BPR Central Artha)</v>
      </c>
    </row>
    <row r="1754" spans="9:11" ht="12.75" customHeight="1" x14ac:dyDescent="0.35">
      <c r="I1754" s="16" t="s">
        <v>4780</v>
      </c>
      <c r="J1754" s="52">
        <v>602651</v>
      </c>
      <c r="K1754" s="16" t="str">
        <f t="shared" si="88"/>
        <v>602651 (PT BPR Duta Perdana)</v>
      </c>
    </row>
    <row r="1755" spans="9:11" ht="12.75" customHeight="1" x14ac:dyDescent="0.35">
      <c r="I1755" s="16" t="s">
        <v>4781</v>
      </c>
      <c r="J1755" s="52">
        <v>602652</v>
      </c>
      <c r="K1755" s="16" t="str">
        <f t="shared" si="88"/>
        <v>602652 (PT BPR Mitra Harmoni)</v>
      </c>
    </row>
    <row r="1756" spans="9:11" ht="12.75" customHeight="1" x14ac:dyDescent="0.35">
      <c r="I1756" s="16" t="s">
        <v>4782</v>
      </c>
      <c r="J1756" s="52">
        <v>602653</v>
      </c>
      <c r="K1756" s="16" t="str">
        <f t="shared" si="88"/>
        <v>602653 (PT BPR Sumber Dana Mas)</v>
      </c>
    </row>
    <row r="1757" spans="9:11" ht="12.75" customHeight="1" x14ac:dyDescent="0.35">
      <c r="I1757" s="16" t="s">
        <v>4783</v>
      </c>
      <c r="J1757" s="52">
        <v>602654</v>
      </c>
      <c r="K1757" s="16" t="str">
        <f t="shared" si="88"/>
        <v>602654 (PD BPR NTB Lombok Barat)</v>
      </c>
    </row>
    <row r="1758" spans="9:11" ht="12.75" customHeight="1" x14ac:dyDescent="0.35">
      <c r="I1758" s="16" t="s">
        <v>4784</v>
      </c>
      <c r="J1758" s="52">
        <v>602655</v>
      </c>
      <c r="K1758" s="16" t="str">
        <f t="shared" si="88"/>
        <v>602655 (PT BPR Dana Mandiri)</v>
      </c>
    </row>
    <row r="1759" spans="9:11" ht="12.75" customHeight="1" x14ac:dyDescent="0.35">
      <c r="I1759" s="16" t="s">
        <v>4785</v>
      </c>
      <c r="J1759" s="52">
        <v>602656</v>
      </c>
      <c r="K1759" s="16" t="str">
        <f t="shared" si="88"/>
        <v>602656 (PD BPR NTB Dompu)</v>
      </c>
    </row>
    <row r="1760" spans="9:11" ht="12.75" customHeight="1" x14ac:dyDescent="0.35">
      <c r="I1760" s="16" t="s">
        <v>4786</v>
      </c>
      <c r="J1760" s="52">
        <v>602657</v>
      </c>
      <c r="K1760" s="16" t="str">
        <f t="shared" si="88"/>
        <v>602657 (PD BPR NTB Bima)</v>
      </c>
    </row>
    <row r="1761" spans="9:11" ht="12.75" customHeight="1" x14ac:dyDescent="0.35">
      <c r="I1761" s="16" t="s">
        <v>4787</v>
      </c>
      <c r="J1761" s="52">
        <v>602658</v>
      </c>
      <c r="K1761" s="16" t="str">
        <f t="shared" si="88"/>
        <v>602658 (PT BPR Primaesa Sejahtera)</v>
      </c>
    </row>
    <row r="1762" spans="9:11" ht="12.75" customHeight="1" x14ac:dyDescent="0.35">
      <c r="I1762" s="16" t="s">
        <v>4788</v>
      </c>
      <c r="J1762" s="52">
        <v>602659</v>
      </c>
      <c r="K1762" s="16" t="str">
        <f t="shared" si="88"/>
        <v>602659 (PT. BPR Dana Wira Buana)</v>
      </c>
    </row>
    <row r="1763" spans="9:11" ht="12.75" customHeight="1" x14ac:dyDescent="0.35">
      <c r="I1763" s="16" t="s">
        <v>4789</v>
      </c>
      <c r="J1763" s="52">
        <v>602660</v>
      </c>
      <c r="K1763" s="16" t="str">
        <f t="shared" si="88"/>
        <v>602660 (PT BPR Cipta Cemerlang Indonesia)</v>
      </c>
    </row>
    <row r="1764" spans="9:11" ht="12.75" customHeight="1" x14ac:dyDescent="0.35">
      <c r="I1764" s="16" t="s">
        <v>4790</v>
      </c>
      <c r="J1764" s="52">
        <v>602661</v>
      </c>
      <c r="K1764" s="16" t="str">
        <f t="shared" si="88"/>
        <v>602661 (PT.BPR Wahana Bersama KPUM)</v>
      </c>
    </row>
    <row r="1765" spans="9:11" ht="12.75" customHeight="1" x14ac:dyDescent="0.35">
      <c r="I1765" s="16" t="s">
        <v>4791</v>
      </c>
      <c r="J1765" s="52">
        <v>602662</v>
      </c>
      <c r="K1765" s="16" t="str">
        <f t="shared" si="88"/>
        <v>602662 (PT BPR Putra Niaga Mandiri)</v>
      </c>
    </row>
    <row r="1766" spans="9:11" ht="12.75" customHeight="1" x14ac:dyDescent="0.35">
      <c r="I1766" s="16" t="s">
        <v>4792</v>
      </c>
      <c r="J1766" s="52">
        <v>602663</v>
      </c>
      <c r="K1766" s="16" t="str">
        <f t="shared" si="88"/>
        <v>602663 (PT.BPR Faiza Pradani Andi)</v>
      </c>
    </row>
    <row r="1767" spans="9:11" ht="12.75" customHeight="1" x14ac:dyDescent="0.35">
      <c r="I1767" s="16" t="s">
        <v>4793</v>
      </c>
      <c r="J1767" s="52">
        <v>602664</v>
      </c>
      <c r="K1767" s="16" t="str">
        <f t="shared" si="88"/>
        <v>602664 (PT BPR Central Niaga Abadi)</v>
      </c>
    </row>
    <row r="1768" spans="9:11" ht="12.75" customHeight="1" x14ac:dyDescent="0.35">
      <c r="I1768" s="16" t="s">
        <v>4794</v>
      </c>
      <c r="J1768" s="52">
        <v>602665</v>
      </c>
      <c r="K1768" s="16" t="str">
        <f t="shared" si="88"/>
        <v>602665 (PD BPR Artha Sukapura)</v>
      </c>
    </row>
    <row r="1769" spans="9:11" ht="12.75" customHeight="1" x14ac:dyDescent="0.35">
      <c r="I1769" s="16" t="s">
        <v>4795</v>
      </c>
      <c r="J1769" s="52">
        <v>602666</v>
      </c>
      <c r="K1769" s="16" t="str">
        <f t="shared" si="88"/>
        <v>602666 (PD BPR Artha Galunggung)</v>
      </c>
    </row>
    <row r="1770" spans="9:11" ht="12.75" customHeight="1" x14ac:dyDescent="0.35">
      <c r="I1770" s="16" t="s">
        <v>4796</v>
      </c>
      <c r="J1770" s="52">
        <v>602667</v>
      </c>
      <c r="K1770" s="16" t="str">
        <f t="shared" si="88"/>
        <v>602667 (PD BPR Bahteramas Kendari)</v>
      </c>
    </row>
    <row r="1771" spans="9:11" ht="12.75" customHeight="1" x14ac:dyDescent="0.35">
      <c r="I1771" s="16" t="s">
        <v>4797</v>
      </c>
      <c r="J1771" s="52">
        <v>602668</v>
      </c>
      <c r="K1771" s="16" t="str">
        <f t="shared" si="88"/>
        <v>602668 (PD BPR Bahteramas Bau-Bau)</v>
      </c>
    </row>
    <row r="1772" spans="9:11" ht="12.75" customHeight="1" x14ac:dyDescent="0.35">
      <c r="I1772" s="16" t="s">
        <v>4798</v>
      </c>
      <c r="J1772" s="52">
        <v>602669</v>
      </c>
      <c r="K1772" s="16" t="str">
        <f t="shared" si="88"/>
        <v>602669 (PD BPR Bahteramas Konawe)</v>
      </c>
    </row>
    <row r="1773" spans="9:11" ht="12.75" customHeight="1" x14ac:dyDescent="0.35">
      <c r="I1773" s="16" t="s">
        <v>4799</v>
      </c>
      <c r="J1773" s="52">
        <v>602670</v>
      </c>
      <c r="K1773" s="16" t="str">
        <f t="shared" si="88"/>
        <v>602670 (PD BPR Bahteramas Konawe Selatan)</v>
      </c>
    </row>
    <row r="1774" spans="9:11" ht="12.75" customHeight="1" x14ac:dyDescent="0.35">
      <c r="I1774" s="16" t="s">
        <v>4800</v>
      </c>
      <c r="J1774" s="52">
        <v>602671</v>
      </c>
      <c r="K1774" s="16" t="str">
        <f t="shared" si="88"/>
        <v>602671 (PD BPR Bahteramas Kolaka)</v>
      </c>
    </row>
    <row r="1775" spans="9:11" ht="12.75" customHeight="1" x14ac:dyDescent="0.35">
      <c r="I1775" s="16" t="s">
        <v>4801</v>
      </c>
      <c r="J1775" s="52">
        <v>602672</v>
      </c>
      <c r="K1775" s="16" t="str">
        <f t="shared" si="88"/>
        <v>602672 (PD BPR Bahteramas Bombana)</v>
      </c>
    </row>
    <row r="1776" spans="9:11" ht="12.75" customHeight="1" x14ac:dyDescent="0.35">
      <c r="I1776" s="16" t="s">
        <v>4802</v>
      </c>
      <c r="J1776" s="52">
        <v>602673</v>
      </c>
      <c r="K1776" s="16" t="str">
        <f t="shared" si="88"/>
        <v>602673 (PD BPR Bahteramas Wakatobi)</v>
      </c>
    </row>
    <row r="1777" spans="9:11" ht="12.75" customHeight="1" x14ac:dyDescent="0.35">
      <c r="I1777" s="16" t="s">
        <v>4803</v>
      </c>
      <c r="J1777" s="52">
        <v>602674</v>
      </c>
      <c r="K1777" s="16" t="str">
        <f t="shared" si="88"/>
        <v>602674 (PT BPR Danatama Artha Mandiri)</v>
      </c>
    </row>
    <row r="1778" spans="9:11" ht="12.75" customHeight="1" x14ac:dyDescent="0.35">
      <c r="I1778" s="16" t="s">
        <v>4804</v>
      </c>
      <c r="J1778" s="52">
        <v>602675</v>
      </c>
      <c r="K1778" s="16" t="str">
        <f t="shared" si="88"/>
        <v>602675 (PT. BPR Dana Mitra Utama)</v>
      </c>
    </row>
    <row r="1779" spans="9:11" ht="12.75" customHeight="1" x14ac:dyDescent="0.35">
      <c r="I1779" s="16" t="s">
        <v>4805</v>
      </c>
      <c r="J1779" s="52">
        <v>602676</v>
      </c>
      <c r="K1779" s="16" t="str">
        <f t="shared" si="88"/>
        <v>602676 (PT BPR Mega Mas Lestari)</v>
      </c>
    </row>
    <row r="1780" spans="9:11" ht="12.75" customHeight="1" x14ac:dyDescent="0.35">
      <c r="I1780" s="16" t="s">
        <v>4806</v>
      </c>
      <c r="J1780" s="52">
        <v>602677</v>
      </c>
      <c r="K1780" s="16" t="str">
        <f t="shared" si="88"/>
        <v>602677 (PT. BPR Putra Riau Mandiri)</v>
      </c>
    </row>
    <row r="1781" spans="9:11" ht="12.75" customHeight="1" x14ac:dyDescent="0.35">
      <c r="I1781" s="16" t="s">
        <v>4807</v>
      </c>
      <c r="J1781" s="52">
        <v>602678</v>
      </c>
      <c r="K1781" s="16" t="str">
        <f t="shared" si="88"/>
        <v>602678 (PT. BPR Anugerah Bintang Sejahtera)</v>
      </c>
    </row>
    <row r="1782" spans="9:11" ht="12.75" customHeight="1" x14ac:dyDescent="0.35">
      <c r="I1782" s="16" t="s">
        <v>4808</v>
      </c>
      <c r="J1782" s="52">
        <v>602679</v>
      </c>
      <c r="K1782" s="16" t="str">
        <f t="shared" si="88"/>
        <v>602679 (PT. BPR Utomo Manunggal Sejahtera Sumsel)</v>
      </c>
    </row>
    <row r="1783" spans="9:11" ht="12.75" customHeight="1" x14ac:dyDescent="0.35">
      <c r="I1783" s="16" t="s">
        <v>4809</v>
      </c>
      <c r="J1783" s="52">
        <v>602680</v>
      </c>
      <c r="K1783" s="16" t="str">
        <f t="shared" si="88"/>
        <v>602680 (PT. BPR Danaku Mapan Lestari)</v>
      </c>
    </row>
    <row r="1784" spans="9:11" ht="12.75" customHeight="1" x14ac:dyDescent="0.35">
      <c r="I1784" s="16" t="s">
        <v>4810</v>
      </c>
      <c r="J1784" s="52">
        <v>602681</v>
      </c>
      <c r="K1784" s="16" t="str">
        <f t="shared" si="88"/>
        <v>602681 (PT. BPR Dana Karunia Sejahtera)</v>
      </c>
    </row>
    <row r="1785" spans="9:11" ht="12.75" customHeight="1" x14ac:dyDescent="0.35">
      <c r="I1785" s="16" t="s">
        <v>4811</v>
      </c>
      <c r="J1785" s="52">
        <v>602682</v>
      </c>
      <c r="K1785" s="16" t="str">
        <f t="shared" si="88"/>
        <v>602682 (PD.BPR NTB Sumbawa Barat)</v>
      </c>
    </row>
    <row r="1786" spans="9:11" ht="12.75" customHeight="1" x14ac:dyDescent="0.35">
      <c r="I1786" s="16" t="s">
        <v>4812</v>
      </c>
      <c r="J1786" s="52">
        <v>602683</v>
      </c>
      <c r="K1786" s="16" t="str">
        <f t="shared" si="88"/>
        <v>602683 (PT. BPR Ronatama Mandiri Jambi)</v>
      </c>
    </row>
    <row r="1787" spans="9:11" ht="12.75" customHeight="1" x14ac:dyDescent="0.35">
      <c r="I1787" s="16" t="s">
        <v>4813</v>
      </c>
      <c r="J1787" s="52">
        <v>602684</v>
      </c>
      <c r="K1787" s="16" t="str">
        <f t="shared" si="88"/>
        <v>602684 (PT BPR Fianka Rezalina Fatma)</v>
      </c>
    </row>
    <row r="1788" spans="9:11" ht="12.75" customHeight="1" x14ac:dyDescent="0.35">
      <c r="I1788" s="16" t="s">
        <v>4814</v>
      </c>
      <c r="J1788" s="52">
        <v>602685</v>
      </c>
      <c r="K1788" s="16" t="str">
        <f t="shared" si="88"/>
        <v>602685 (PT BPR Asia Sejahtera)</v>
      </c>
    </row>
    <row r="1789" spans="9:11" ht="12.75" customHeight="1" x14ac:dyDescent="0.35">
      <c r="I1789" s="16" t="s">
        <v>4815</v>
      </c>
      <c r="J1789" s="52">
        <v>602686</v>
      </c>
      <c r="K1789" s="16" t="str">
        <f t="shared" si="88"/>
        <v>602686 (PT BPR Ukabima Khatulistiwa Pontianak)</v>
      </c>
    </row>
    <row r="1790" spans="9:11" ht="12.75" customHeight="1" x14ac:dyDescent="0.35">
      <c r="I1790" s="16" t="s">
        <v>4816</v>
      </c>
      <c r="J1790" s="52">
        <v>602687</v>
      </c>
      <c r="K1790" s="16" t="str">
        <f t="shared" ref="K1790:K2004" si="89">CONCATENATE(J1790," (",SUBSTITUTE(I1790,"  ",""),")")</f>
        <v>602687 (PT. BPR Graha Lestari)</v>
      </c>
    </row>
    <row r="1791" spans="9:11" ht="12.75" customHeight="1" x14ac:dyDescent="0.35">
      <c r="I1791" s="16" t="s">
        <v>4817</v>
      </c>
      <c r="J1791" s="52">
        <v>602688</v>
      </c>
      <c r="K1791" s="16" t="str">
        <f t="shared" si="89"/>
        <v>602688 (PT. BPR Cosmic Mitra Andalan)</v>
      </c>
    </row>
    <row r="1792" spans="9:11" ht="12.75" customHeight="1" x14ac:dyDescent="0.35">
      <c r="I1792" s="16" t="s">
        <v>4818</v>
      </c>
      <c r="J1792" s="52">
        <v>602689</v>
      </c>
      <c r="K1792" s="16" t="str">
        <f t="shared" si="89"/>
        <v>602689 (PT. BPR Prima Jambi Mandiri)</v>
      </c>
    </row>
    <row r="1793" spans="9:11" ht="12.75" customHeight="1" x14ac:dyDescent="0.35">
      <c r="I1793" s="16" t="s">
        <v>4819</v>
      </c>
      <c r="J1793" s="52">
        <v>602690</v>
      </c>
      <c r="K1793" s="16" t="str">
        <f t="shared" si="89"/>
        <v>602690 (PT BPR Jambi Citra Sahabat)</v>
      </c>
    </row>
    <row r="1794" spans="9:11" ht="12.75" customHeight="1" x14ac:dyDescent="0.35">
      <c r="I1794" s="16" t="s">
        <v>4820</v>
      </c>
      <c r="J1794" s="52">
        <v>602691</v>
      </c>
      <c r="K1794" s="16" t="str">
        <f t="shared" si="89"/>
        <v>602691 (PD. BPR Artha Sukma Sejahtera)</v>
      </c>
    </row>
    <row r="1795" spans="9:11" ht="12.75" customHeight="1" x14ac:dyDescent="0.35">
      <c r="I1795" s="16" t="s">
        <v>4821</v>
      </c>
      <c r="J1795" s="52">
        <v>602692</v>
      </c>
      <c r="K1795" s="16" t="str">
        <f t="shared" si="89"/>
        <v>602692 (PT. BPR Pelangi)</v>
      </c>
    </row>
    <row r="1796" spans="9:11" ht="12.75" customHeight="1" x14ac:dyDescent="0.35">
      <c r="I1796" s="16" t="s">
        <v>4822</v>
      </c>
      <c r="J1796" s="52">
        <v>602693</v>
      </c>
      <c r="K1796" s="16" t="str">
        <f t="shared" si="89"/>
        <v>602693 (PT BPR Catur Mas)</v>
      </c>
    </row>
    <row r="1797" spans="9:11" ht="12.75" customHeight="1" x14ac:dyDescent="0.35">
      <c r="I1797" s="16" t="s">
        <v>4823</v>
      </c>
      <c r="J1797" s="52">
        <v>602694</v>
      </c>
      <c r="K1797" s="16" t="str">
        <f t="shared" si="89"/>
        <v>602694 (PT BPR Asia Bintang Cemerlang)</v>
      </c>
    </row>
    <row r="1798" spans="9:11" ht="12.75" customHeight="1" x14ac:dyDescent="0.35">
      <c r="I1798" s="16" t="s">
        <v>4824</v>
      </c>
      <c r="J1798" s="52">
        <v>602695</v>
      </c>
      <c r="K1798" s="16" t="str">
        <f t="shared" si="89"/>
        <v>602695 (PT BPR Arsham Sejahtera)</v>
      </c>
    </row>
    <row r="1799" spans="9:11" ht="12.75" customHeight="1" x14ac:dyDescent="0.35">
      <c r="I1799" s="16" t="s">
        <v>4825</v>
      </c>
      <c r="J1799" s="52">
        <v>602696</v>
      </c>
      <c r="K1799" s="16" t="str">
        <f t="shared" si="89"/>
        <v>602696 (PT. BPR Natuna)</v>
      </c>
    </row>
    <row r="1800" spans="9:11" ht="12.75" customHeight="1" x14ac:dyDescent="0.35">
      <c r="I1800" s="16" t="s">
        <v>4826</v>
      </c>
      <c r="J1800" s="52">
        <v>602697</v>
      </c>
      <c r="K1800" s="16" t="str">
        <f t="shared" si="89"/>
        <v>602697 (PD BPR Paringin)</v>
      </c>
    </row>
    <row r="1801" spans="9:11" ht="12.75" customHeight="1" x14ac:dyDescent="0.35">
      <c r="I1801" s="16" t="s">
        <v>4827</v>
      </c>
      <c r="J1801" s="52">
        <v>602698</v>
      </c>
      <c r="K1801" s="16" t="str">
        <f t="shared" si="89"/>
        <v>602698 (PD BPR Pulau Laut Utara)</v>
      </c>
    </row>
    <row r="1802" spans="9:11" ht="12.75" customHeight="1" x14ac:dyDescent="0.35">
      <c r="I1802" s="16" t="s">
        <v>4828</v>
      </c>
      <c r="J1802" s="52">
        <v>602699</v>
      </c>
      <c r="K1802" s="16" t="str">
        <f t="shared" si="89"/>
        <v>602699 (PT. BPR Indotama UKM Sulawesi)</v>
      </c>
    </row>
    <row r="1803" spans="9:11" ht="12.75" customHeight="1" x14ac:dyDescent="0.35">
      <c r="I1803" s="16" t="s">
        <v>4829</v>
      </c>
      <c r="J1803" s="52">
        <v>602700</v>
      </c>
      <c r="K1803" s="16" t="str">
        <f t="shared" si="89"/>
        <v>602700 (PD BPR Kabupaten Bulungan)</v>
      </c>
    </row>
    <row r="1804" spans="9:11" ht="12.75" customHeight="1" x14ac:dyDescent="0.35">
      <c r="I1804" s="16" t="s">
        <v>4830</v>
      </c>
      <c r="J1804" s="52">
        <v>602701</v>
      </c>
      <c r="K1804" s="16" t="str">
        <f t="shared" si="89"/>
        <v>602701 (PT BPR Pundi Dana Mandiri)</v>
      </c>
    </row>
    <row r="1805" spans="9:11" ht="12.75" customHeight="1" x14ac:dyDescent="0.35">
      <c r="I1805" s="16" t="s">
        <v>4831</v>
      </c>
      <c r="J1805" s="52">
        <v>602702</v>
      </c>
      <c r="K1805" s="16" t="str">
        <f t="shared" si="89"/>
        <v>602702 (PD BPR Karya Remaja)</v>
      </c>
    </row>
    <row r="1806" spans="9:11" ht="12.75" customHeight="1" x14ac:dyDescent="0.35">
      <c r="I1806" s="16" t="s">
        <v>4832</v>
      </c>
      <c r="J1806" s="52">
        <v>602703</v>
      </c>
      <c r="K1806" s="16" t="str">
        <f t="shared" si="89"/>
        <v>602703 (PT. BPR Nusantara Abdi Mulia)</v>
      </c>
    </row>
    <row r="1807" spans="9:11" ht="12.75" customHeight="1" x14ac:dyDescent="0.35">
      <c r="I1807" s="16" t="s">
        <v>4833</v>
      </c>
      <c r="J1807" s="52">
        <v>602704</v>
      </c>
      <c r="K1807" s="16" t="str">
        <f t="shared" si="89"/>
        <v>602704 (PT BPR Pratama Dana Abadi)</v>
      </c>
    </row>
    <row r="1808" spans="9:11" ht="12.75" customHeight="1" x14ac:dyDescent="0.35">
      <c r="I1808" s="16" t="s">
        <v>4834</v>
      </c>
      <c r="J1808" s="52">
        <v>602705</v>
      </c>
      <c r="K1808" s="16" t="str">
        <f t="shared" si="89"/>
        <v>602705 (PT. BPR Prima Madani)</v>
      </c>
    </row>
    <row r="1809" spans="9:11" ht="12.75" customHeight="1" x14ac:dyDescent="0.35">
      <c r="I1809" s="16" t="s">
        <v>4835</v>
      </c>
      <c r="J1809" s="52">
        <v>602706</v>
      </c>
      <c r="K1809" s="16" t="str">
        <f t="shared" si="89"/>
        <v>602706 (PT BPR Prima Sejahtera)</v>
      </c>
    </row>
    <row r="1810" spans="9:11" ht="12.75" customHeight="1" x14ac:dyDescent="0.35">
      <c r="I1810" s="16" t="s">
        <v>4836</v>
      </c>
      <c r="J1810" s="52">
        <v>602707</v>
      </c>
      <c r="K1810" s="16" t="str">
        <f t="shared" si="89"/>
        <v>602707 (PT BPR Tamara Dana Khatulistiwa Pontianak)</v>
      </c>
    </row>
    <row r="1811" spans="9:11" ht="12.75" customHeight="1" x14ac:dyDescent="0.35">
      <c r="I1811" s="16" t="s">
        <v>4837</v>
      </c>
      <c r="J1811" s="52">
        <v>602708</v>
      </c>
      <c r="K1811" s="16" t="str">
        <f t="shared" si="89"/>
        <v>602708 (PT BPR Danamas Belu)</v>
      </c>
    </row>
    <row r="1812" spans="9:11" ht="12.75" customHeight="1" x14ac:dyDescent="0.35">
      <c r="I1812" s="16" t="s">
        <v>4838</v>
      </c>
      <c r="J1812" s="52">
        <v>602709</v>
      </c>
      <c r="K1812" s="16" t="str">
        <f t="shared" si="89"/>
        <v>602709 (PD BPR Pelaihari)</v>
      </c>
    </row>
    <row r="1813" spans="9:11" ht="12.75" customHeight="1" x14ac:dyDescent="0.35">
      <c r="I1813" s="16" t="s">
        <v>4839</v>
      </c>
      <c r="J1813" s="52">
        <v>602710</v>
      </c>
      <c r="K1813" s="16" t="str">
        <f t="shared" si="89"/>
        <v>602710 (PT BPR Kapital Mandiri)</v>
      </c>
    </row>
    <row r="1814" spans="9:11" ht="12.75" customHeight="1" x14ac:dyDescent="0.35">
      <c r="I1814" s="16" t="s">
        <v>4840</v>
      </c>
      <c r="J1814" s="52">
        <v>602711</v>
      </c>
      <c r="K1814" s="16" t="str">
        <f t="shared" si="89"/>
        <v>602711 (PT BPR Citra Darma Wangsa)</v>
      </c>
    </row>
    <row r="1815" spans="9:11" ht="12.75" customHeight="1" x14ac:dyDescent="0.35">
      <c r="I1815" s="16" t="s">
        <v>4841</v>
      </c>
      <c r="J1815" s="52">
        <v>602712</v>
      </c>
      <c r="K1815" s="16" t="str">
        <f t="shared" si="89"/>
        <v>602712 (PT BPR Prima Riau Sentosa)</v>
      </c>
    </row>
    <row r="1816" spans="9:11" ht="12.75" customHeight="1" x14ac:dyDescent="0.35">
      <c r="I1816" s="16" t="s">
        <v>4842</v>
      </c>
      <c r="J1816" s="52">
        <v>602713</v>
      </c>
      <c r="K1816" s="16" t="str">
        <f t="shared" si="89"/>
        <v>602713 (PT BPR Muncul Artha Sejahtera)</v>
      </c>
    </row>
    <row r="1817" spans="9:11" ht="12.75" customHeight="1" x14ac:dyDescent="0.35">
      <c r="I1817" s="16" t="s">
        <v>4843</v>
      </c>
      <c r="J1817" s="52">
        <v>602714</v>
      </c>
      <c r="K1817" s="16" t="str">
        <f t="shared" si="89"/>
        <v>602714 (PT BPR Buana Mandiri)</v>
      </c>
    </row>
    <row r="1818" spans="9:11" ht="12.75" customHeight="1" x14ac:dyDescent="0.35">
      <c r="I1818" s="16" t="s">
        <v>4844</v>
      </c>
      <c r="J1818" s="52">
        <v>602715</v>
      </c>
      <c r="K1818" s="16" t="str">
        <f t="shared" si="89"/>
        <v>602715 (PT BPR Mukomuko Makmur)</v>
      </c>
    </row>
    <row r="1819" spans="9:11" ht="12.75" customHeight="1" x14ac:dyDescent="0.35">
      <c r="I1819" s="16" t="s">
        <v>4845</v>
      </c>
      <c r="J1819" s="52">
        <v>602716</v>
      </c>
      <c r="K1819" s="16" t="str">
        <f t="shared" si="89"/>
        <v>602716 (PT BPR Perdana Cipta Sejahtera)</v>
      </c>
    </row>
    <row r="1820" spans="9:11" ht="12.75" customHeight="1" x14ac:dyDescent="0.35">
      <c r="I1820" s="16" t="s">
        <v>4846</v>
      </c>
      <c r="J1820" s="52">
        <v>602717</v>
      </c>
      <c r="K1820" s="16" t="str">
        <f t="shared" si="89"/>
        <v>602717 (PT BPR Dana Mitra Indonesia)</v>
      </c>
    </row>
    <row r="1821" spans="9:11" ht="12.75" customHeight="1" x14ac:dyDescent="0.35">
      <c r="I1821" s="16" t="s">
        <v>4847</v>
      </c>
      <c r="J1821" s="52">
        <v>602718</v>
      </c>
      <c r="K1821" s="16" t="str">
        <f t="shared" si="89"/>
        <v>602718 (PT BPR Mitra Dana Kawanua)</v>
      </c>
    </row>
    <row r="1822" spans="9:11" ht="12.75" customHeight="1" x14ac:dyDescent="0.35">
      <c r="I1822" s="16" t="s">
        <v>4848</v>
      </c>
      <c r="J1822" s="52">
        <v>602719</v>
      </c>
      <c r="K1822" s="16" t="str">
        <f t="shared" si="89"/>
        <v>602719 (PT BPR Dana Selaras Sentosa)</v>
      </c>
    </row>
    <row r="1823" spans="9:11" ht="12.75" customHeight="1" x14ac:dyDescent="0.35">
      <c r="I1823" s="16" t="s">
        <v>4849</v>
      </c>
      <c r="J1823" s="52">
        <v>602720</v>
      </c>
      <c r="K1823" s="16" t="str">
        <f t="shared" si="89"/>
        <v>602720 (PT BPR Tritunggal)</v>
      </c>
    </row>
    <row r="1824" spans="9:11" ht="12.75" customHeight="1" x14ac:dyDescent="0.35">
      <c r="I1824" s="16" t="s">
        <v>4850</v>
      </c>
      <c r="J1824" s="52">
        <v>602721</v>
      </c>
      <c r="K1824" s="16" t="str">
        <f t="shared" si="89"/>
        <v>602721 (PD BPR Bahteramas Raha)</v>
      </c>
    </row>
    <row r="1825" spans="9:11" ht="12.75" customHeight="1" x14ac:dyDescent="0.35">
      <c r="I1825" s="16" t="s">
        <v>4851</v>
      </c>
      <c r="J1825" s="52">
        <v>602722</v>
      </c>
      <c r="K1825" s="16" t="str">
        <f t="shared" si="89"/>
        <v>602722 (PD BPR Bahteramas Konawe Utara)</v>
      </c>
    </row>
    <row r="1826" spans="9:11" ht="12.75" customHeight="1" x14ac:dyDescent="0.35">
      <c r="I1826" s="16" t="s">
        <v>4852</v>
      </c>
      <c r="J1826" s="52">
        <v>602723</v>
      </c>
      <c r="K1826" s="16" t="str">
        <f t="shared" si="89"/>
        <v>602723 (PD BPR Bahteramas Kolaka Utara)</v>
      </c>
    </row>
    <row r="1827" spans="9:11" ht="12.75" customHeight="1" x14ac:dyDescent="0.35">
      <c r="I1827" s="16" t="s">
        <v>4853</v>
      </c>
      <c r="J1827" s="52">
        <v>602724</v>
      </c>
      <c r="K1827" s="16" t="str">
        <f t="shared" si="89"/>
        <v>602724 (PD BPR Bahteramas Buton)</v>
      </c>
    </row>
    <row r="1828" spans="9:11" ht="12.75" customHeight="1" x14ac:dyDescent="0.35">
      <c r="I1828" s="16" t="s">
        <v>4854</v>
      </c>
      <c r="J1828" s="52">
        <v>602725</v>
      </c>
      <c r="K1828" s="16" t="str">
        <f t="shared" si="89"/>
        <v>602725 (PD BPR Bahteramas Buton Utara)</v>
      </c>
    </row>
    <row r="1829" spans="9:11" ht="12.75" customHeight="1" x14ac:dyDescent="0.35">
      <c r="I1829" s="16" t="s">
        <v>4855</v>
      </c>
      <c r="J1829" s="52">
        <v>602726</v>
      </c>
      <c r="K1829" s="16" t="str">
        <f t="shared" si="89"/>
        <v>602726 (PT BPR Guru Jateng)</v>
      </c>
    </row>
    <row r="1830" spans="9:11" ht="12.75" customHeight="1" x14ac:dyDescent="0.35">
      <c r="I1830" s="16" t="s">
        <v>4856</v>
      </c>
      <c r="J1830" s="52">
        <v>602727</v>
      </c>
      <c r="K1830" s="16" t="str">
        <f t="shared" si="89"/>
        <v>602727 (PT BPR Ukabima Permata)</v>
      </c>
    </row>
    <row r="1831" spans="9:11" ht="12.75" customHeight="1" x14ac:dyDescent="0.35">
      <c r="I1831" s="16" t="s">
        <v>4857</v>
      </c>
      <c r="J1831" s="52">
        <v>602728</v>
      </c>
      <c r="K1831" s="16" t="str">
        <f t="shared" si="89"/>
        <v>602728 (PT BPR Bintang Dana Persada)</v>
      </c>
    </row>
    <row r="1832" spans="9:11" ht="12.75" customHeight="1" x14ac:dyDescent="0.35">
      <c r="I1832" s="16" t="s">
        <v>4858</v>
      </c>
      <c r="J1832" s="52">
        <v>602729</v>
      </c>
      <c r="K1832" s="16" t="str">
        <f t="shared" si="89"/>
        <v>602729 (PT BPR Mitra Sumber Makmur)</v>
      </c>
    </row>
    <row r="1833" spans="9:11" ht="12.75" customHeight="1" x14ac:dyDescent="0.35">
      <c r="I1833" s="16" t="s">
        <v>4859</v>
      </c>
      <c r="J1833" s="52">
        <v>602730</v>
      </c>
      <c r="K1833" s="16" t="str">
        <f t="shared" si="89"/>
        <v>602730 (PT BPR Buana Artha Kassiti)</v>
      </c>
    </row>
    <row r="1834" spans="9:11" ht="12.75" customHeight="1" x14ac:dyDescent="0.35">
      <c r="I1834" s="16" t="s">
        <v>4860</v>
      </c>
      <c r="J1834" s="52">
        <v>602731</v>
      </c>
      <c r="K1834" s="16" t="str">
        <f t="shared" si="89"/>
        <v>602731 (PT BPR Pendanaan Sarana Rakyat )</v>
      </c>
    </row>
    <row r="1835" spans="9:11" ht="12.75" customHeight="1" x14ac:dyDescent="0.35">
      <c r="I1835" s="16" t="s">
        <v>4861</v>
      </c>
      <c r="J1835" s="52">
        <v>602732</v>
      </c>
      <c r="K1835" s="16" t="str">
        <f t="shared" si="89"/>
        <v>602732 (PT BPR Duta Niaga)</v>
      </c>
    </row>
    <row r="1836" spans="9:11" ht="12.75" customHeight="1" x14ac:dyDescent="0.35">
      <c r="I1836" s="16" t="s">
        <v>4862</v>
      </c>
      <c r="J1836" s="52">
        <v>602733</v>
      </c>
      <c r="K1836" s="16" t="str">
        <f t="shared" si="89"/>
        <v>602733 (PT BPR Dana Prima Mandiri)</v>
      </c>
    </row>
    <row r="1837" spans="9:11" ht="12.75" customHeight="1" x14ac:dyDescent="0.35">
      <c r="I1837" s="16" t="s">
        <v>4863</v>
      </c>
      <c r="J1837" s="52">
        <v>602734</v>
      </c>
      <c r="K1837" s="16" t="str">
        <f t="shared" si="89"/>
        <v>602734 (PD BPR Alalak)</v>
      </c>
    </row>
    <row r="1838" spans="9:11" ht="12.75" customHeight="1" x14ac:dyDescent="0.35">
      <c r="I1838" s="16" t="s">
        <v>4864</v>
      </c>
      <c r="J1838" s="52">
        <v>602735</v>
      </c>
      <c r="K1838" s="16" t="str">
        <f t="shared" si="89"/>
        <v>602735 (PT BPR Putra Mahkota Mandiri)</v>
      </c>
    </row>
    <row r="1839" spans="9:11" ht="12.75" customHeight="1" x14ac:dyDescent="0.35">
      <c r="I1839" s="16" t="s">
        <v>4865</v>
      </c>
      <c r="J1839" s="52">
        <v>602736</v>
      </c>
      <c r="K1839" s="16" t="str">
        <f t="shared" si="89"/>
        <v>602736 (PT BPR DP Taspen Jateng)</v>
      </c>
    </row>
    <row r="1840" spans="9:11" ht="12.75" customHeight="1" x14ac:dyDescent="0.35">
      <c r="I1840" s="16" t="s">
        <v>4866</v>
      </c>
      <c r="J1840" s="52">
        <v>602737</v>
      </c>
      <c r="K1840" s="16" t="str">
        <f t="shared" si="89"/>
        <v>602737 (PT BPR Sunni)</v>
      </c>
    </row>
    <row r="1841" spans="9:11" ht="12.75" customHeight="1" x14ac:dyDescent="0.35">
      <c r="I1841" s="16" t="s">
        <v>4867</v>
      </c>
      <c r="J1841" s="52">
        <v>620002</v>
      </c>
      <c r="K1841" s="16" t="str">
        <f t="shared" si="89"/>
        <v>620002 (PT BPRS Amanah Rabbaniah)</v>
      </c>
    </row>
    <row r="1842" spans="9:11" ht="12.75" customHeight="1" x14ac:dyDescent="0.35">
      <c r="I1842" s="16" t="s">
        <v>4868</v>
      </c>
      <c r="J1842" s="52">
        <v>620003</v>
      </c>
      <c r="K1842" s="16" t="str">
        <f t="shared" si="89"/>
        <v>620003 (PT BPRS Hareukat)</v>
      </c>
    </row>
    <row r="1843" spans="9:11" ht="12.75" customHeight="1" x14ac:dyDescent="0.35">
      <c r="I1843" s="16" t="s">
        <v>4869</v>
      </c>
      <c r="J1843" s="52">
        <v>620004</v>
      </c>
      <c r="K1843" s="16" t="str">
        <f t="shared" si="89"/>
        <v>620004 (PT BPRS Amanah Ummah)</v>
      </c>
    </row>
    <row r="1844" spans="9:11" ht="12.75" customHeight="1" x14ac:dyDescent="0.35">
      <c r="I1844" s="16" t="s">
        <v>4870</v>
      </c>
      <c r="J1844" s="52">
        <v>620005</v>
      </c>
      <c r="K1844" s="16" t="str">
        <f t="shared" si="89"/>
        <v>620005 (PT BPRS Artha Karimah Irsyadi )</v>
      </c>
    </row>
    <row r="1845" spans="9:11" ht="12.75" customHeight="1" x14ac:dyDescent="0.35">
      <c r="I1845" s="16" t="s">
        <v>4871</v>
      </c>
      <c r="J1845" s="52">
        <v>620006</v>
      </c>
      <c r="K1845" s="16" t="str">
        <f t="shared" si="89"/>
        <v>620006 (PT BPRS Bina Amwalul Hasanah)</v>
      </c>
    </row>
    <row r="1846" spans="9:11" ht="12.75" customHeight="1" x14ac:dyDescent="0.35">
      <c r="I1846" s="16" t="s">
        <v>4872</v>
      </c>
      <c r="J1846" s="52">
        <v>620007</v>
      </c>
      <c r="K1846" s="16" t="str">
        <f t="shared" si="89"/>
        <v>620007 (PT BPRS Musyarakah Ummat Indonesia)</v>
      </c>
    </row>
    <row r="1847" spans="9:11" ht="12.75" customHeight="1" x14ac:dyDescent="0.35">
      <c r="I1847" s="16" t="s">
        <v>4873</v>
      </c>
      <c r="J1847" s="52">
        <v>620008</v>
      </c>
      <c r="K1847" s="16" t="str">
        <f t="shared" si="89"/>
        <v>620008 (PT BPRS Mentari )</v>
      </c>
    </row>
    <row r="1848" spans="9:11" ht="12.75" customHeight="1" x14ac:dyDescent="0.35">
      <c r="I1848" s="16" t="s">
        <v>4874</v>
      </c>
      <c r="J1848" s="52">
        <v>620009</v>
      </c>
      <c r="K1848" s="16" t="str">
        <f t="shared" si="89"/>
        <v>620009 (PT BPRS Tulen Amanah)</v>
      </c>
    </row>
    <row r="1849" spans="9:11" ht="12.75" customHeight="1" x14ac:dyDescent="0.35">
      <c r="I1849" s="16" t="s">
        <v>4875</v>
      </c>
      <c r="J1849" s="52">
        <v>620010</v>
      </c>
      <c r="K1849" s="16" t="str">
        <f t="shared" si="89"/>
        <v>620010 (PT BPRS Indo Timur)</v>
      </c>
    </row>
    <row r="1850" spans="9:11" ht="12.75" customHeight="1" x14ac:dyDescent="0.35">
      <c r="I1850" s="16" t="s">
        <v>4876</v>
      </c>
      <c r="J1850" s="52">
        <v>620011</v>
      </c>
      <c r="K1850" s="16" t="str">
        <f t="shared" si="89"/>
        <v>620011 (PT BPRS Baiturridha Pusaka)</v>
      </c>
    </row>
    <row r="1851" spans="9:11" ht="12.75" customHeight="1" x14ac:dyDescent="0.35">
      <c r="I1851" s="16" t="s">
        <v>4877</v>
      </c>
      <c r="J1851" s="52">
        <v>620012</v>
      </c>
      <c r="K1851" s="16" t="str">
        <f t="shared" si="89"/>
        <v>620012 (PT BPRS Harta Insan Karimah )</v>
      </c>
    </row>
    <row r="1852" spans="9:11" ht="12.75" customHeight="1" x14ac:dyDescent="0.35">
      <c r="I1852" s="16" t="s">
        <v>4878</v>
      </c>
      <c r="J1852" s="52">
        <v>620013</v>
      </c>
      <c r="K1852" s="16" t="str">
        <f t="shared" si="89"/>
        <v>620013 (PT BPRS Barkah Gemadana)</v>
      </c>
    </row>
    <row r="1853" spans="9:11" ht="12.75" customHeight="1" x14ac:dyDescent="0.35">
      <c r="I1853" s="16" t="s">
        <v>4879</v>
      </c>
      <c r="J1853" s="52">
        <v>620014</v>
      </c>
      <c r="K1853" s="16" t="str">
        <f t="shared" si="89"/>
        <v>620014 (PT BPRS Ibadurrahman)</v>
      </c>
    </row>
    <row r="1854" spans="9:11" ht="12.75" customHeight="1" x14ac:dyDescent="0.35">
      <c r="I1854" s="16" t="s">
        <v>4880</v>
      </c>
      <c r="J1854" s="52">
        <v>620015</v>
      </c>
      <c r="K1854" s="16" t="str">
        <f t="shared" si="89"/>
        <v>620015 (PT BPRS Harta Insan Karimah Bekasi)</v>
      </c>
    </row>
    <row r="1855" spans="9:11" ht="12.75" customHeight="1" x14ac:dyDescent="0.35">
      <c r="I1855" s="16" t="s">
        <v>4881</v>
      </c>
      <c r="J1855" s="52">
        <v>620017</v>
      </c>
      <c r="K1855" s="16" t="str">
        <f t="shared" si="89"/>
        <v>620017 (PT BPRS Margirizki Bahagia)</v>
      </c>
    </row>
    <row r="1856" spans="9:11" ht="12.75" customHeight="1" x14ac:dyDescent="0.35">
      <c r="I1856" s="16" t="s">
        <v>4882</v>
      </c>
      <c r="J1856" s="52">
        <v>620018</v>
      </c>
      <c r="K1856" s="16" t="str">
        <f t="shared" si="89"/>
        <v>620018 (PT BPRS Bangun Drajat Warga )</v>
      </c>
    </row>
    <row r="1857" spans="9:11" ht="12.75" customHeight="1" x14ac:dyDescent="0.35">
      <c r="I1857" s="16" t="s">
        <v>4883</v>
      </c>
      <c r="J1857" s="52">
        <v>620020</v>
      </c>
      <c r="K1857" s="16" t="str">
        <f t="shared" si="89"/>
        <v>620020 (PT BPRS Harta Insan Karimah Cibitung)</v>
      </c>
    </row>
    <row r="1858" spans="9:11" ht="12.75" customHeight="1" x14ac:dyDescent="0.35">
      <c r="I1858" s="16" t="s">
        <v>4884</v>
      </c>
      <c r="J1858" s="52">
        <v>620021</v>
      </c>
      <c r="K1858" s="16" t="str">
        <f t="shared" si="89"/>
        <v>620021 (PT BPRS Patuh Beramal )</v>
      </c>
    </row>
    <row r="1859" spans="9:11" ht="12.75" customHeight="1" x14ac:dyDescent="0.35">
      <c r="I1859" s="16" t="s">
        <v>4885</v>
      </c>
      <c r="J1859" s="52">
        <v>620022</v>
      </c>
      <c r="K1859" s="16" t="str">
        <f t="shared" si="89"/>
        <v>620022 (PT BPRS Baktimakmur Indah )</v>
      </c>
    </row>
    <row r="1860" spans="9:11" ht="12.75" customHeight="1" x14ac:dyDescent="0.35">
      <c r="I1860" s="16" t="s">
        <v>4886</v>
      </c>
      <c r="J1860" s="52">
        <v>620024</v>
      </c>
      <c r="K1860" s="16" t="str">
        <f t="shared" si="89"/>
        <v>620024 (PT BPRS Baiturrahman)</v>
      </c>
    </row>
    <row r="1861" spans="9:11" ht="12.75" customHeight="1" x14ac:dyDescent="0.35">
      <c r="I1861" s="16" t="s">
        <v>4887</v>
      </c>
      <c r="J1861" s="52">
        <v>620025</v>
      </c>
      <c r="K1861" s="16" t="str">
        <f t="shared" si="89"/>
        <v>620025 (PT BPRS Tengku Chiek Dipante)</v>
      </c>
    </row>
    <row r="1862" spans="9:11" ht="12.75" customHeight="1" x14ac:dyDescent="0.35">
      <c r="I1862" s="16" t="s">
        <v>4888</v>
      </c>
      <c r="J1862" s="52">
        <v>620026</v>
      </c>
      <c r="K1862" s="16" t="str">
        <f t="shared" si="89"/>
        <v>620026 (PT BPRS Syariat Fajar Sejahtera Bali)</v>
      </c>
    </row>
    <row r="1863" spans="9:11" ht="12.75" customHeight="1" x14ac:dyDescent="0.35">
      <c r="I1863" s="16" t="s">
        <v>4889</v>
      </c>
      <c r="J1863" s="52">
        <v>620027</v>
      </c>
      <c r="K1863" s="16" t="str">
        <f t="shared" si="89"/>
        <v>620027 (PT BPRS Al Ma'soem Syari'ah )</v>
      </c>
    </row>
    <row r="1864" spans="9:11" ht="12.75" customHeight="1" x14ac:dyDescent="0.35">
      <c r="I1864" s="16" t="s">
        <v>4890</v>
      </c>
      <c r="J1864" s="52">
        <v>620029</v>
      </c>
      <c r="K1864" s="16" t="str">
        <f t="shared" si="89"/>
        <v>620029 (PT BPRS Harum Hikmahnugraha)</v>
      </c>
    </row>
    <row r="1865" spans="9:11" ht="12.75" customHeight="1" x14ac:dyDescent="0.35">
      <c r="I1865" s="16" t="s">
        <v>4891</v>
      </c>
      <c r="J1865" s="52">
        <v>620030</v>
      </c>
      <c r="K1865" s="16" t="str">
        <f t="shared" si="89"/>
        <v>620030 (PT BPRS Dana Moneter)</v>
      </c>
    </row>
    <row r="1866" spans="9:11" ht="12.75" customHeight="1" x14ac:dyDescent="0.35">
      <c r="I1866" s="16" t="s">
        <v>4892</v>
      </c>
      <c r="J1866" s="52">
        <v>620031</v>
      </c>
      <c r="K1866" s="16" t="str">
        <f t="shared" si="89"/>
        <v>620031 (PT BPRS Surya Sejati)</v>
      </c>
    </row>
    <row r="1867" spans="9:11" ht="12.75" customHeight="1" x14ac:dyDescent="0.35">
      <c r="I1867" s="16" t="s">
        <v>4893</v>
      </c>
      <c r="J1867" s="52">
        <v>620032</v>
      </c>
      <c r="K1867" s="16" t="str">
        <f t="shared" si="89"/>
        <v>620032 (PT BPRS Amanah Bangsa )</v>
      </c>
    </row>
    <row r="1868" spans="9:11" ht="12.75" customHeight="1" x14ac:dyDescent="0.35">
      <c r="I1868" s="16" t="s">
        <v>4894</v>
      </c>
      <c r="J1868" s="52">
        <v>620033</v>
      </c>
      <c r="K1868" s="16" t="str">
        <f t="shared" si="89"/>
        <v>620033 (PT BPRS Asri Madani Nusantara)</v>
      </c>
    </row>
    <row r="1869" spans="9:11" ht="12.75" customHeight="1" x14ac:dyDescent="0.35">
      <c r="I1869" s="16" t="s">
        <v>4895</v>
      </c>
      <c r="J1869" s="52">
        <v>620034</v>
      </c>
      <c r="K1869" s="16" t="str">
        <f t="shared" si="89"/>
        <v>620034 (PT BPRS Muamalah Cilegon)</v>
      </c>
    </row>
    <row r="1870" spans="9:11" ht="12.75" customHeight="1" x14ac:dyDescent="0.35">
      <c r="I1870" s="16" t="s">
        <v>4896</v>
      </c>
      <c r="J1870" s="52">
        <v>620035</v>
      </c>
      <c r="K1870" s="16" t="str">
        <f t="shared" si="89"/>
        <v>620035 (PT BPRS Ishlalul Ummah)</v>
      </c>
    </row>
    <row r="1871" spans="9:11" ht="12.75" customHeight="1" x14ac:dyDescent="0.35">
      <c r="I1871" s="16" t="s">
        <v>4897</v>
      </c>
      <c r="J1871" s="52">
        <v>620036</v>
      </c>
      <c r="K1871" s="16" t="str">
        <f t="shared" si="89"/>
        <v>620036 (PT BPRS Al Washliyah)</v>
      </c>
    </row>
    <row r="1872" spans="9:11" ht="12.75" customHeight="1" x14ac:dyDescent="0.35">
      <c r="I1872" s="16" t="s">
        <v>4898</v>
      </c>
      <c r="J1872" s="52">
        <v>620037</v>
      </c>
      <c r="K1872" s="16" t="str">
        <f t="shared" si="89"/>
        <v>620037 (PT BPRS Al Wadi'ah)</v>
      </c>
    </row>
    <row r="1873" spans="9:11" ht="12.75" customHeight="1" x14ac:dyDescent="0.35">
      <c r="I1873" s="16" t="s">
        <v>4899</v>
      </c>
      <c r="J1873" s="52">
        <v>620038</v>
      </c>
      <c r="K1873" s="16" t="str">
        <f t="shared" si="89"/>
        <v>620038 (PT BPRS Attaqwa)</v>
      </c>
    </row>
    <row r="1874" spans="9:11" ht="12.75" customHeight="1" x14ac:dyDescent="0.35">
      <c r="I1874" s="16" t="s">
        <v>4900</v>
      </c>
      <c r="J1874" s="52">
        <v>620039</v>
      </c>
      <c r="K1874" s="16" t="str">
        <f t="shared" si="89"/>
        <v>620039 (PT BPRS Niaga Madani)</v>
      </c>
    </row>
    <row r="1875" spans="9:11" ht="12.75" customHeight="1" x14ac:dyDescent="0.35">
      <c r="I1875" s="16" t="s">
        <v>4901</v>
      </c>
      <c r="J1875" s="52">
        <v>620040</v>
      </c>
      <c r="K1875" s="16" t="str">
        <f t="shared" si="89"/>
        <v>620040 (PT BPRS Al Falah)</v>
      </c>
    </row>
    <row r="1876" spans="9:11" ht="12.75" customHeight="1" x14ac:dyDescent="0.35">
      <c r="I1876" s="16" t="s">
        <v>4902</v>
      </c>
      <c r="J1876" s="52">
        <v>620041</v>
      </c>
      <c r="K1876" s="16" t="str">
        <f t="shared" si="89"/>
        <v>620041 (PT BPRS Hasanah )</v>
      </c>
    </row>
    <row r="1877" spans="9:11" ht="12.75" customHeight="1" x14ac:dyDescent="0.35">
      <c r="I1877" s="16" t="s">
        <v>4903</v>
      </c>
      <c r="J1877" s="52">
        <v>620042</v>
      </c>
      <c r="K1877" s="16" t="str">
        <f t="shared" si="89"/>
        <v>620042 (PT BPRS Wakalumi)</v>
      </c>
    </row>
    <row r="1878" spans="9:11" ht="12.75" customHeight="1" x14ac:dyDescent="0.35">
      <c r="I1878" s="16" t="s">
        <v>4904</v>
      </c>
      <c r="J1878" s="52">
        <v>620043</v>
      </c>
      <c r="K1878" s="16" t="str">
        <f t="shared" si="89"/>
        <v>620043 (PT BPRS Artha Fisabilillah)</v>
      </c>
    </row>
    <row r="1879" spans="9:11" ht="12.75" customHeight="1" x14ac:dyDescent="0.35">
      <c r="I1879" s="16" t="s">
        <v>4905</v>
      </c>
      <c r="J1879" s="52">
        <v>620044</v>
      </c>
      <c r="K1879" s="16" t="str">
        <f t="shared" si="89"/>
        <v>620044 (PT BPRS Al Ihsan)</v>
      </c>
    </row>
    <row r="1880" spans="9:11" ht="12.75" customHeight="1" x14ac:dyDescent="0.35">
      <c r="I1880" s="16" t="s">
        <v>4906</v>
      </c>
      <c r="J1880" s="52">
        <v>620045</v>
      </c>
      <c r="K1880" s="16" t="str">
        <f t="shared" si="89"/>
        <v>620045 (PT BPRS Nurul Ikhwan)</v>
      </c>
    </row>
    <row r="1881" spans="9:11" ht="12.75" customHeight="1" x14ac:dyDescent="0.35">
      <c r="I1881" s="16" t="s">
        <v>4907</v>
      </c>
      <c r="J1881" s="52">
        <v>620046</v>
      </c>
      <c r="K1881" s="16" t="str">
        <f t="shared" si="89"/>
        <v>620046 (PT BPRS Hikmah Wakilah)</v>
      </c>
    </row>
    <row r="1882" spans="9:11" ht="12.75" customHeight="1" x14ac:dyDescent="0.35">
      <c r="I1882" s="16" t="s">
        <v>4908</v>
      </c>
      <c r="J1882" s="52">
        <v>620047</v>
      </c>
      <c r="K1882" s="16" t="str">
        <f t="shared" si="89"/>
        <v>620047 (PT BPRS Ikhsanul Amal )</v>
      </c>
    </row>
    <row r="1883" spans="9:11" ht="12.75" customHeight="1" x14ac:dyDescent="0.35">
      <c r="I1883" s="16" t="s">
        <v>4909</v>
      </c>
      <c r="J1883" s="52">
        <v>620048</v>
      </c>
      <c r="K1883" s="16" t="str">
        <f t="shared" si="89"/>
        <v>620048 (PT BPRS Bhakti Haji )</v>
      </c>
    </row>
    <row r="1884" spans="9:11" ht="12.75" customHeight="1" x14ac:dyDescent="0.35">
      <c r="I1884" s="16" t="s">
        <v>4910</v>
      </c>
      <c r="J1884" s="52">
        <v>620049</v>
      </c>
      <c r="K1884" s="16" t="str">
        <f t="shared" si="89"/>
        <v>620049 (PT BPRS Rahman Hijrah Agung )</v>
      </c>
    </row>
    <row r="1885" spans="9:11" ht="12.75" customHeight="1" x14ac:dyDescent="0.35">
      <c r="I1885" s="16" t="s">
        <v>4911</v>
      </c>
      <c r="J1885" s="52">
        <v>620050</v>
      </c>
      <c r="K1885" s="16" t="str">
        <f t="shared" si="89"/>
        <v>620050 (PT BPRS Amanah Sejahtera)</v>
      </c>
    </row>
    <row r="1886" spans="9:11" ht="12.75" customHeight="1" x14ac:dyDescent="0.35">
      <c r="I1886" s="16" t="s">
        <v>4912</v>
      </c>
      <c r="J1886" s="52">
        <v>620051</v>
      </c>
      <c r="K1886" s="16" t="str">
        <f t="shared" si="89"/>
        <v>620051 (PT BPRS Bandar Lampung)</v>
      </c>
    </row>
    <row r="1887" spans="9:11" ht="12.75" customHeight="1" x14ac:dyDescent="0.35">
      <c r="I1887" s="16" t="s">
        <v>4913</v>
      </c>
      <c r="J1887" s="52">
        <v>620052</v>
      </c>
      <c r="K1887" s="16" t="str">
        <f t="shared" si="89"/>
        <v>620052 (PT BPRS Muamalat Harkat )</v>
      </c>
    </row>
    <row r="1888" spans="9:11" ht="12.75" customHeight="1" x14ac:dyDescent="0.35">
      <c r="I1888" s="16" t="s">
        <v>4914</v>
      </c>
      <c r="J1888" s="52">
        <v>620053</v>
      </c>
      <c r="K1888" s="16" t="str">
        <f t="shared" si="89"/>
        <v>620053 (PT BPRS Al Barokah)</v>
      </c>
    </row>
    <row r="1889" spans="9:11" ht="12.75" customHeight="1" x14ac:dyDescent="0.35">
      <c r="I1889" s="16" t="s">
        <v>4915</v>
      </c>
      <c r="J1889" s="52">
        <v>620054</v>
      </c>
      <c r="K1889" s="16" t="str">
        <f t="shared" si="89"/>
        <v>620054 (PT BPRS Harta Insan Karimah Parahyangan )</v>
      </c>
    </row>
    <row r="1890" spans="9:11" ht="12.75" customHeight="1" x14ac:dyDescent="0.35">
      <c r="I1890" s="16" t="s">
        <v>4916</v>
      </c>
      <c r="J1890" s="52">
        <v>620055</v>
      </c>
      <c r="K1890" s="16" t="str">
        <f t="shared" si="89"/>
        <v>620055 (PT BPRS Gebu Prima)</v>
      </c>
    </row>
    <row r="1891" spans="9:11" ht="12.75" customHeight="1" x14ac:dyDescent="0.35">
      <c r="I1891" s="16" t="s">
        <v>4917</v>
      </c>
      <c r="J1891" s="52">
        <v>620056</v>
      </c>
      <c r="K1891" s="16" t="str">
        <f t="shared" si="89"/>
        <v>620056 (PT BPRS Daya Artha Mentari)</v>
      </c>
    </row>
    <row r="1892" spans="9:11" ht="12.75" customHeight="1" x14ac:dyDescent="0.35">
      <c r="I1892" s="16" t="s">
        <v>4918</v>
      </c>
      <c r="J1892" s="52">
        <v>620057</v>
      </c>
      <c r="K1892" s="16" t="str">
        <f t="shared" si="89"/>
        <v>620057 (PT BPRS Mulia Berkah Abadi)</v>
      </c>
    </row>
    <row r="1893" spans="9:11" ht="12.75" customHeight="1" x14ac:dyDescent="0.35">
      <c r="I1893" s="16" t="s">
        <v>4919</v>
      </c>
      <c r="J1893" s="52">
        <v>620058</v>
      </c>
      <c r="K1893" s="16" t="str">
        <f t="shared" si="89"/>
        <v>620058 (PT BPRS Puduarta Insani )</v>
      </c>
    </row>
    <row r="1894" spans="9:11" ht="12.75" customHeight="1" x14ac:dyDescent="0.35">
      <c r="I1894" s="16" t="s">
        <v>4920</v>
      </c>
      <c r="J1894" s="52">
        <v>620059</v>
      </c>
      <c r="K1894" s="16" t="str">
        <f t="shared" si="89"/>
        <v>620059 (PT BPRS Mentari Pasaman Saiyo )</v>
      </c>
    </row>
    <row r="1895" spans="9:11" ht="12.75" customHeight="1" x14ac:dyDescent="0.35">
      <c r="I1895" s="16" t="s">
        <v>4921</v>
      </c>
      <c r="J1895" s="52">
        <v>620060</v>
      </c>
      <c r="K1895" s="16" t="str">
        <f t="shared" si="89"/>
        <v>620060 (PT BPRS Berkah Dana Fadhilah)</v>
      </c>
    </row>
    <row r="1896" spans="9:11" ht="12.75" customHeight="1" x14ac:dyDescent="0.35">
      <c r="I1896" s="16" t="s">
        <v>4922</v>
      </c>
      <c r="J1896" s="52">
        <v>620061</v>
      </c>
      <c r="K1896" s="16" t="str">
        <f t="shared" si="89"/>
        <v>620061 (PT BPRS Bina Rahmah )</v>
      </c>
    </row>
    <row r="1897" spans="9:11" ht="12.75" customHeight="1" x14ac:dyDescent="0.35">
      <c r="I1897" s="16" t="s">
        <v>4923</v>
      </c>
      <c r="J1897" s="52">
        <v>620062</v>
      </c>
      <c r="K1897" s="16" t="str">
        <f t="shared" si="89"/>
        <v>620062 (PT BPRS Al Hijrah Amanah)</v>
      </c>
    </row>
    <row r="1898" spans="9:11" ht="12.75" customHeight="1" x14ac:dyDescent="0.35">
      <c r="I1898" s="16" t="s">
        <v>4924</v>
      </c>
      <c r="J1898" s="52">
        <v>620063</v>
      </c>
      <c r="K1898" s="16" t="str">
        <f t="shared" si="89"/>
        <v>620063 (PT BPRS Gala Mitra Abadi)</v>
      </c>
    </row>
    <row r="1899" spans="9:11" ht="12.75" customHeight="1" x14ac:dyDescent="0.35">
      <c r="I1899" s="16" t="s">
        <v>4925</v>
      </c>
      <c r="J1899" s="52">
        <v>620064</v>
      </c>
      <c r="K1899" s="16" t="str">
        <f t="shared" si="89"/>
        <v>620064 (PT BPRS Carana Kiat Andalas )</v>
      </c>
    </row>
    <row r="1900" spans="9:11" ht="12.75" customHeight="1" x14ac:dyDescent="0.35">
      <c r="I1900" s="16" t="s">
        <v>4926</v>
      </c>
      <c r="J1900" s="52">
        <v>620065</v>
      </c>
      <c r="K1900" s="16" t="str">
        <f t="shared" si="89"/>
        <v>620065 (PT BPRS Gowata)</v>
      </c>
    </row>
    <row r="1901" spans="9:11" ht="12.75" customHeight="1" x14ac:dyDescent="0.35">
      <c r="I1901" s="16" t="s">
        <v>4927</v>
      </c>
      <c r="J1901" s="52">
        <v>620066</v>
      </c>
      <c r="K1901" s="16" t="str">
        <f t="shared" si="89"/>
        <v>620066 (PT BPRS Amanah Insani )</v>
      </c>
    </row>
    <row r="1902" spans="9:11" ht="12.75" customHeight="1" x14ac:dyDescent="0.35">
      <c r="I1902" s="16" t="s">
        <v>4928</v>
      </c>
      <c r="J1902" s="52">
        <v>620067</v>
      </c>
      <c r="K1902" s="16" t="str">
        <f t="shared" si="89"/>
        <v>620067 (PT BPRS Muamalat Yotefa)</v>
      </c>
    </row>
    <row r="1903" spans="9:11" ht="12.75" customHeight="1" x14ac:dyDescent="0.35">
      <c r="I1903" s="16" t="s">
        <v>4929</v>
      </c>
      <c r="J1903" s="52">
        <v>620068</v>
      </c>
      <c r="K1903" s="16" t="str">
        <f t="shared" si="89"/>
        <v>620068 (PT BPRS Rif’atul Ummah)</v>
      </c>
    </row>
    <row r="1904" spans="9:11" ht="12.75" customHeight="1" x14ac:dyDescent="0.35">
      <c r="I1904" s="16" t="s">
        <v>4930</v>
      </c>
      <c r="J1904" s="52">
        <v>620069</v>
      </c>
      <c r="K1904" s="16" t="str">
        <f t="shared" si="89"/>
        <v>620069 (PT BPRS Insan Cita Artha Jaya )</v>
      </c>
    </row>
    <row r="1905" spans="9:11" ht="12.75" customHeight="1" x14ac:dyDescent="0.35">
      <c r="I1905" s="16" t="s">
        <v>4931</v>
      </c>
      <c r="J1905" s="52">
        <v>620070</v>
      </c>
      <c r="K1905" s="16" t="str">
        <f t="shared" si="89"/>
        <v>620070 (PT BPRS Asad Alif )</v>
      </c>
    </row>
    <row r="1906" spans="9:11" ht="12.75" customHeight="1" x14ac:dyDescent="0.35">
      <c r="I1906" s="16" t="s">
        <v>4932</v>
      </c>
      <c r="J1906" s="52">
        <v>620071</v>
      </c>
      <c r="K1906" s="16" t="str">
        <f t="shared" si="89"/>
        <v>620071 (PT BPRS Ampek Angkek Candung)</v>
      </c>
    </row>
    <row r="1907" spans="9:11" ht="12.75" customHeight="1" x14ac:dyDescent="0.35">
      <c r="I1907" s="16" t="s">
        <v>4933</v>
      </c>
      <c r="J1907" s="52">
        <v>620073</v>
      </c>
      <c r="K1907" s="16" t="str">
        <f t="shared" si="89"/>
        <v>620073 (PT BPRS Al Mabrur Babadan )</v>
      </c>
    </row>
    <row r="1908" spans="9:11" ht="12.75" customHeight="1" x14ac:dyDescent="0.35">
      <c r="I1908" s="16" t="s">
        <v>4934</v>
      </c>
      <c r="J1908" s="52">
        <v>620074</v>
      </c>
      <c r="K1908" s="16" t="str">
        <f t="shared" si="89"/>
        <v>620074 (PT BPRS Ummu)</v>
      </c>
    </row>
    <row r="1909" spans="9:11" ht="12.75" customHeight="1" x14ac:dyDescent="0.35">
      <c r="I1909" s="16" t="s">
        <v>4935</v>
      </c>
      <c r="J1909" s="52">
        <v>620075</v>
      </c>
      <c r="K1909" s="16" t="str">
        <f t="shared" si="89"/>
        <v>620075 (PT BPRS Berkah Ramadhan )</v>
      </c>
    </row>
    <row r="1910" spans="9:11" ht="12.75" customHeight="1" x14ac:dyDescent="0.35">
      <c r="I1910" s="16" t="s">
        <v>4936</v>
      </c>
      <c r="J1910" s="52">
        <v>620076</v>
      </c>
      <c r="K1910" s="16" t="str">
        <f t="shared" si="89"/>
        <v>620076 (PT BPRSBangka )</v>
      </c>
    </row>
    <row r="1911" spans="9:11" ht="12.75" customHeight="1" x14ac:dyDescent="0.35">
      <c r="I1911" s="16" t="s">
        <v>4937</v>
      </c>
      <c r="J1911" s="52">
        <v>620077</v>
      </c>
      <c r="K1911" s="16" t="str">
        <f t="shared" si="89"/>
        <v>620077 (PT BPRS Investama Mega Bakti)</v>
      </c>
    </row>
    <row r="1912" spans="9:11" ht="12.75" customHeight="1" x14ac:dyDescent="0.35">
      <c r="I1912" s="16" t="s">
        <v>4938</v>
      </c>
      <c r="J1912" s="52">
        <v>620079</v>
      </c>
      <c r="K1912" s="16" t="str">
        <f t="shared" si="89"/>
        <v>620079 (PT BPRS Bumi Rinjani Batu )</v>
      </c>
    </row>
    <row r="1913" spans="9:11" ht="12.75" customHeight="1" x14ac:dyDescent="0.35">
      <c r="I1913" s="16" t="s">
        <v>4939</v>
      </c>
      <c r="J1913" s="52">
        <v>620080</v>
      </c>
      <c r="K1913" s="16" t="str">
        <f t="shared" si="89"/>
        <v>620080 (PT BPRS Cilegon Mandiri )</v>
      </c>
    </row>
    <row r="1914" spans="9:11" ht="12.75" customHeight="1" x14ac:dyDescent="0.35">
      <c r="I1914" s="16" t="s">
        <v>4940</v>
      </c>
      <c r="J1914" s="52">
        <v>620081</v>
      </c>
      <c r="K1914" s="16" t="str">
        <f t="shared" si="89"/>
        <v>620081 (PT BPRS Situbondo )</v>
      </c>
    </row>
    <row r="1915" spans="9:11" ht="12.75" customHeight="1" x14ac:dyDescent="0.35">
      <c r="I1915" s="16" t="s">
        <v>4941</v>
      </c>
      <c r="J1915" s="52">
        <v>620082</v>
      </c>
      <c r="K1915" s="16" t="str">
        <f t="shared" si="89"/>
        <v>620082 (PT BPRS Tanggamus )</v>
      </c>
    </row>
    <row r="1916" spans="9:11" ht="12.75" customHeight="1" x14ac:dyDescent="0.35">
      <c r="I1916" s="16" t="s">
        <v>4942</v>
      </c>
      <c r="J1916" s="52">
        <v>620083</v>
      </c>
      <c r="K1916" s="16" t="str">
        <f t="shared" si="89"/>
        <v>620083 (PT BPRS Buana Mitra Perwira )</v>
      </c>
    </row>
    <row r="1917" spans="9:11" ht="12.75" customHeight="1" x14ac:dyDescent="0.35">
      <c r="I1917" s="16" t="s">
        <v>4943</v>
      </c>
      <c r="J1917" s="52">
        <v>620084</v>
      </c>
      <c r="K1917" s="16" t="str">
        <f t="shared" si="89"/>
        <v>620084 (PT BPRS Artha Surya Barokah )</v>
      </c>
    </row>
    <row r="1918" spans="9:11" ht="12.75" customHeight="1" x14ac:dyDescent="0.35">
      <c r="I1918" s="16" t="s">
        <v>4944</v>
      </c>
      <c r="J1918" s="52">
        <v>620085</v>
      </c>
      <c r="K1918" s="16" t="str">
        <f t="shared" si="89"/>
        <v>620085 (PT BPRS Bhakti Sumekar)</v>
      </c>
    </row>
    <row r="1919" spans="9:11" ht="12.75" customHeight="1" x14ac:dyDescent="0.35">
      <c r="I1919" s="16" t="s">
        <v>4945</v>
      </c>
      <c r="J1919" s="52">
        <v>620086</v>
      </c>
      <c r="K1919" s="16" t="str">
        <f t="shared" si="89"/>
        <v>620086 (PT BPRS Suriyah )</v>
      </c>
    </row>
    <row r="1920" spans="9:11" ht="12.75" customHeight="1" x14ac:dyDescent="0.35">
      <c r="I1920" s="16" t="s">
        <v>4946</v>
      </c>
      <c r="J1920" s="52">
        <v>620087</v>
      </c>
      <c r="K1920" s="16" t="str">
        <f t="shared" si="89"/>
        <v>620087 (PT BPRS Bina Amanah Satria)</v>
      </c>
    </row>
    <row r="1921" spans="9:11" ht="12.75" customHeight="1" x14ac:dyDescent="0.35">
      <c r="I1921" s="16" t="s">
        <v>4947</v>
      </c>
      <c r="J1921" s="52">
        <v>620088</v>
      </c>
      <c r="K1921" s="16" t="str">
        <f t="shared" si="89"/>
        <v>620088 (PT BPRS Artha Madani)</v>
      </c>
    </row>
    <row r="1922" spans="9:11" ht="12.75" customHeight="1" x14ac:dyDescent="0.35">
      <c r="I1922" s="16" t="s">
        <v>4948</v>
      </c>
      <c r="J1922" s="52">
        <v>620089</v>
      </c>
      <c r="K1922" s="16" t="str">
        <f t="shared" si="89"/>
        <v>620089 (PT BPRS Khasanah Ummat)</v>
      </c>
    </row>
    <row r="1923" spans="9:11" ht="12.75" customHeight="1" x14ac:dyDescent="0.35">
      <c r="I1923" s="16" t="s">
        <v>4949</v>
      </c>
      <c r="J1923" s="52">
        <v>620090</v>
      </c>
      <c r="K1923" s="16" t="str">
        <f t="shared" si="89"/>
        <v>620090 (PT BPRS Safir )</v>
      </c>
    </row>
    <row r="1924" spans="9:11" ht="12.75" customHeight="1" x14ac:dyDescent="0.35">
      <c r="I1924" s="16" t="s">
        <v>4950</v>
      </c>
      <c r="J1924" s="52">
        <v>620091</v>
      </c>
      <c r="K1924" s="16" t="str">
        <f t="shared" si="89"/>
        <v>620091 (PT BPRS Metro Madani)</v>
      </c>
    </row>
    <row r="1925" spans="9:11" ht="12.75" customHeight="1" x14ac:dyDescent="0.35">
      <c r="I1925" s="16" t="s">
        <v>4951</v>
      </c>
      <c r="J1925" s="52">
        <v>620092</v>
      </c>
      <c r="K1925" s="16" t="str">
        <f t="shared" si="89"/>
        <v>620092 (PT BPRS Al-Yaqin)</v>
      </c>
    </row>
    <row r="1926" spans="9:11" ht="12.75" customHeight="1" x14ac:dyDescent="0.35">
      <c r="I1926" s="16" t="s">
        <v>4952</v>
      </c>
      <c r="J1926" s="52">
        <v>620098</v>
      </c>
      <c r="K1926" s="16" t="str">
        <f t="shared" si="89"/>
        <v>620098 (PT BPRS Lantabur Tebuireng)</v>
      </c>
    </row>
    <row r="1927" spans="9:11" ht="12.75" customHeight="1" x14ac:dyDescent="0.35">
      <c r="I1927" s="16" t="s">
        <v>4953</v>
      </c>
      <c r="J1927" s="52">
        <v>620099</v>
      </c>
      <c r="K1927" s="16" t="str">
        <f t="shared" si="89"/>
        <v>620099 (PT BPRS Haji Miskin )</v>
      </c>
    </row>
    <row r="1928" spans="9:11" ht="12.75" customHeight="1" x14ac:dyDescent="0.35">
      <c r="I1928" s="16" t="s">
        <v>4954</v>
      </c>
      <c r="J1928" s="52">
        <v>620100</v>
      </c>
      <c r="K1928" s="16" t="str">
        <f t="shared" si="89"/>
        <v>620100 (PT BPRS Artha Mas Abadi )</v>
      </c>
    </row>
    <row r="1929" spans="9:11" ht="12.75" customHeight="1" x14ac:dyDescent="0.35">
      <c r="I1929" s="16" t="s">
        <v>4955</v>
      </c>
      <c r="J1929" s="52">
        <v>620101</v>
      </c>
      <c r="K1929" s="16" t="str">
        <f t="shared" si="89"/>
        <v>620101 (PT BPRS Al Salaam Amal Salman )</v>
      </c>
    </row>
    <row r="1930" spans="9:11" ht="12.75" customHeight="1" x14ac:dyDescent="0.35">
      <c r="I1930" s="16" t="s">
        <v>4956</v>
      </c>
      <c r="J1930" s="52">
        <v>620102</v>
      </c>
      <c r="K1930" s="16" t="str">
        <f t="shared" si="89"/>
        <v>620102 (PT BPRS PNM Binama)</v>
      </c>
    </row>
    <row r="1931" spans="9:11" ht="12.75" customHeight="1" x14ac:dyDescent="0.35">
      <c r="I1931" s="16" t="s">
        <v>4957</v>
      </c>
      <c r="J1931" s="52">
        <v>620103</v>
      </c>
      <c r="K1931" s="16" t="str">
        <f t="shared" si="89"/>
        <v>620103 (PT BPRS Jabal Tsur)</v>
      </c>
    </row>
    <row r="1932" spans="9:11" ht="12.75" customHeight="1" x14ac:dyDescent="0.35">
      <c r="I1932" s="16" t="s">
        <v>4958</v>
      </c>
      <c r="J1932" s="52">
        <v>620104</v>
      </c>
      <c r="K1932" s="16" t="str">
        <f t="shared" si="89"/>
        <v>620104 (PT BPRS Dinar Ashri )</v>
      </c>
    </row>
    <row r="1933" spans="9:11" ht="12.75" customHeight="1" x14ac:dyDescent="0.35">
      <c r="I1933" s="16" t="s">
        <v>4959</v>
      </c>
      <c r="J1933" s="52">
        <v>620105</v>
      </c>
      <c r="K1933" s="16" t="str">
        <f t="shared" si="89"/>
        <v>620105 (PT BPRS Bumi Rinjani Probolinggo)</v>
      </c>
    </row>
    <row r="1934" spans="9:11" ht="12.75" customHeight="1" x14ac:dyDescent="0.35">
      <c r="I1934" s="16" t="s">
        <v>4960</v>
      </c>
      <c r="J1934" s="52">
        <v>620106</v>
      </c>
      <c r="K1934" s="16" t="str">
        <f t="shared" si="89"/>
        <v>620106 (PT BPRS Bumi Rinjani Kepanjen )</v>
      </c>
    </row>
    <row r="1935" spans="9:11" ht="12.75" customHeight="1" x14ac:dyDescent="0.35">
      <c r="I1935" s="16" t="s">
        <v>4961</v>
      </c>
      <c r="J1935" s="52">
        <v>620107</v>
      </c>
      <c r="K1935" s="16" t="str">
        <f t="shared" si="89"/>
        <v>620107 (PT BPRS Dana Hidayatullah )</v>
      </c>
    </row>
    <row r="1936" spans="9:11" ht="12.75" customHeight="1" x14ac:dyDescent="0.35">
      <c r="I1936" s="16" t="s">
        <v>4962</v>
      </c>
      <c r="J1936" s="52">
        <v>620108</v>
      </c>
      <c r="K1936" s="16" t="str">
        <f t="shared" si="89"/>
        <v>620108 (PT BPRS Kota Bekasi )</v>
      </c>
    </row>
    <row r="1937" spans="9:11" ht="12.75" customHeight="1" x14ac:dyDescent="0.35">
      <c r="I1937" s="16" t="s">
        <v>4963</v>
      </c>
      <c r="J1937" s="52">
        <v>620110</v>
      </c>
      <c r="K1937" s="16" t="str">
        <f t="shared" si="89"/>
        <v>620110 (PT BPRS Arta Leksana)</v>
      </c>
    </row>
    <row r="1938" spans="9:11" ht="12.75" customHeight="1" x14ac:dyDescent="0.35">
      <c r="I1938" s="16" t="s">
        <v>4964</v>
      </c>
      <c r="J1938" s="52">
        <v>620111</v>
      </c>
      <c r="K1938" s="16" t="str">
        <f t="shared" si="89"/>
        <v>620111 (PT BPRS Sindanglaya Katonapan )</v>
      </c>
    </row>
    <row r="1939" spans="9:11" ht="12.75" customHeight="1" x14ac:dyDescent="0.35">
      <c r="I1939" s="16" t="s">
        <v>4965</v>
      </c>
      <c r="J1939" s="52">
        <v>620112</v>
      </c>
      <c r="K1939" s="16" t="str">
        <f t="shared" si="89"/>
        <v>620112 (PT BPRS Bumi Artha Sampang)</v>
      </c>
    </row>
    <row r="1940" spans="9:11" ht="12.75" customHeight="1" x14ac:dyDescent="0.35">
      <c r="I1940" s="16" t="s">
        <v>4966</v>
      </c>
      <c r="J1940" s="52">
        <v>620113</v>
      </c>
      <c r="K1940" s="16" t="str">
        <f t="shared" si="89"/>
        <v>620113 (PT BPRS Karya MugiSentosa )</v>
      </c>
    </row>
    <row r="1941" spans="9:11" ht="12.75" customHeight="1" x14ac:dyDescent="0.35">
      <c r="I1941" s="16" t="s">
        <v>4967</v>
      </c>
      <c r="J1941" s="52">
        <v>620114</v>
      </c>
      <c r="K1941" s="16" t="str">
        <f t="shared" si="89"/>
        <v>620114 (PT BPRS Jabal Nur )</v>
      </c>
    </row>
    <row r="1942" spans="9:11" ht="12.75" customHeight="1" x14ac:dyDescent="0.35">
      <c r="I1942" s="16" t="s">
        <v>4968</v>
      </c>
      <c r="J1942" s="52">
        <v>620115</v>
      </c>
      <c r="K1942" s="16" t="str">
        <f t="shared" si="89"/>
        <v>620115 (PT BPRS Barokah Dana Sejahtera)</v>
      </c>
    </row>
    <row r="1943" spans="9:11" ht="12.75" customHeight="1" x14ac:dyDescent="0.35">
      <c r="I1943" s="16" t="s">
        <v>4969</v>
      </c>
      <c r="J1943" s="52">
        <v>620116</v>
      </c>
      <c r="K1943" s="16" t="str">
        <f t="shared" si="89"/>
        <v>620116 (PT BPRS Artha Amanah Ummat)</v>
      </c>
    </row>
    <row r="1944" spans="9:11" ht="12.75" customHeight="1" x14ac:dyDescent="0.35">
      <c r="I1944" s="16" t="s">
        <v>4970</v>
      </c>
      <c r="J1944" s="52">
        <v>620117</v>
      </c>
      <c r="K1944" s="16" t="str">
        <f t="shared" si="89"/>
        <v>620117 (PT BPRS Mitra Amal Mulia)</v>
      </c>
    </row>
    <row r="1945" spans="9:11" ht="12.75" customHeight="1" x14ac:dyDescent="0.35">
      <c r="I1945" s="16" t="s">
        <v>4971</v>
      </c>
      <c r="J1945" s="52">
        <v>620118</v>
      </c>
      <c r="K1945" s="16" t="str">
        <f t="shared" si="89"/>
        <v>620118 (PT BPRS Madina Mandiri Sejahtera)</v>
      </c>
    </row>
    <row r="1946" spans="9:11" ht="12.75" customHeight="1" x14ac:dyDescent="0.35">
      <c r="I1946" s="16" t="s">
        <v>4972</v>
      </c>
      <c r="J1946" s="52">
        <v>620120</v>
      </c>
      <c r="K1946" s="16" t="str">
        <f t="shared" si="89"/>
        <v>620120 (PT BPRS Renggali)</v>
      </c>
    </row>
    <row r="1947" spans="9:11" ht="12.75" customHeight="1" x14ac:dyDescent="0.35">
      <c r="I1947" s="16" t="s">
        <v>4973</v>
      </c>
      <c r="J1947" s="52">
        <v>620121</v>
      </c>
      <c r="K1947" s="16" t="str">
        <f t="shared" si="89"/>
        <v>620121 (PT BPRS Syarikat Madani )</v>
      </c>
    </row>
    <row r="1948" spans="9:11" ht="12.75" customHeight="1" x14ac:dyDescent="0.35">
      <c r="I1948" s="16" t="s">
        <v>4974</v>
      </c>
      <c r="J1948" s="52">
        <v>620122</v>
      </c>
      <c r="K1948" s="16" t="str">
        <f t="shared" si="89"/>
        <v>620122 (PT BPRS Dana Mulia)</v>
      </c>
    </row>
    <row r="1949" spans="9:11" ht="12.75" customHeight="1" x14ac:dyDescent="0.35">
      <c r="I1949" s="16" t="s">
        <v>4975</v>
      </c>
      <c r="J1949" s="52">
        <v>620123</v>
      </c>
      <c r="K1949" s="16" t="str">
        <f t="shared" si="89"/>
        <v>620123 (PT BPRS Barakah Nawaitul Ikhlas )</v>
      </c>
    </row>
    <row r="1950" spans="9:11" ht="12.75" customHeight="1" x14ac:dyDescent="0.35">
      <c r="I1950" s="16" t="s">
        <v>4976</v>
      </c>
      <c r="J1950" s="52">
        <v>620124</v>
      </c>
      <c r="K1950" s="16" t="str">
        <f t="shared" si="89"/>
        <v>620124 (PT BPRS Sukowati Sragen )</v>
      </c>
    </row>
    <row r="1951" spans="9:11" ht="12.75" customHeight="1" x14ac:dyDescent="0.35">
      <c r="I1951" s="16" t="s">
        <v>4977</v>
      </c>
      <c r="J1951" s="52">
        <v>620125</v>
      </c>
      <c r="K1951" s="16" t="str">
        <f t="shared" si="89"/>
        <v>620125 (PT BPRS Dana Amanah )</v>
      </c>
    </row>
    <row r="1952" spans="9:11" ht="12.75" customHeight="1" x14ac:dyDescent="0.35">
      <c r="I1952" s="16" t="s">
        <v>4978</v>
      </c>
      <c r="J1952" s="52">
        <v>620126</v>
      </c>
      <c r="K1952" s="16" t="str">
        <f t="shared" si="89"/>
        <v>620126 (PT BPRS Mandiri Mitra Sukses)</v>
      </c>
    </row>
    <row r="1953" spans="9:11" ht="12.75" customHeight="1" x14ac:dyDescent="0.35">
      <c r="I1953" s="16" t="s">
        <v>4979</v>
      </c>
      <c r="J1953" s="52">
        <v>620127</v>
      </c>
      <c r="K1953" s="16" t="str">
        <f t="shared" si="89"/>
        <v>620127 (PT BPRS Sarana Prima Mandiri)</v>
      </c>
    </row>
    <row r="1954" spans="9:11" ht="12.75" customHeight="1" x14ac:dyDescent="0.35">
      <c r="I1954" s="16" t="s">
        <v>4980</v>
      </c>
      <c r="J1954" s="52">
        <v>620128</v>
      </c>
      <c r="K1954" s="16" t="str">
        <f t="shared" si="89"/>
        <v>620128 (PT BPRS Danagung Syariah)</v>
      </c>
    </row>
    <row r="1955" spans="9:11" ht="12.75" customHeight="1" x14ac:dyDescent="0.35">
      <c r="I1955" s="16" t="s">
        <v>4981</v>
      </c>
      <c r="J1955" s="52">
        <v>620129</v>
      </c>
      <c r="K1955" s="16" t="str">
        <f t="shared" si="89"/>
        <v>620129 (PT BPRS Rajasa)</v>
      </c>
    </row>
    <row r="1956" spans="9:11" ht="12.75" customHeight="1" x14ac:dyDescent="0.35">
      <c r="I1956" s="16" t="s">
        <v>4982</v>
      </c>
      <c r="J1956" s="52">
        <v>620130</v>
      </c>
      <c r="K1956" s="16" t="str">
        <f t="shared" si="89"/>
        <v>620130 (PT BPRS Tanmiya Artha )</v>
      </c>
    </row>
    <row r="1957" spans="9:11" ht="12.75" customHeight="1" x14ac:dyDescent="0.35">
      <c r="I1957" s="16" t="s">
        <v>4983</v>
      </c>
      <c r="J1957" s="52">
        <v>620131</v>
      </c>
      <c r="K1957" s="16" t="str">
        <f t="shared" si="89"/>
        <v>620131 (PT BPRS Kotabumi)</v>
      </c>
    </row>
    <row r="1958" spans="9:11" ht="12.75" customHeight="1" x14ac:dyDescent="0.35">
      <c r="I1958" s="16" t="s">
        <v>4984</v>
      </c>
      <c r="J1958" s="52">
        <v>620132</v>
      </c>
      <c r="K1958" s="16" t="str">
        <f t="shared" si="89"/>
        <v>620132 (PT BPRS Al Makmur )</v>
      </c>
    </row>
    <row r="1959" spans="9:11" ht="12.75" customHeight="1" x14ac:dyDescent="0.35">
      <c r="I1959" s="16" t="s">
        <v>4985</v>
      </c>
      <c r="J1959" s="52">
        <v>620133</v>
      </c>
      <c r="K1959" s="16" t="str">
        <f t="shared" si="89"/>
        <v>620133 (PT BPRS Mitra Cahaya Indonesia)</v>
      </c>
    </row>
    <row r="1960" spans="9:11" ht="12.75" customHeight="1" x14ac:dyDescent="0.35">
      <c r="I1960" s="16" t="s">
        <v>4986</v>
      </c>
      <c r="J1960" s="52">
        <v>620134</v>
      </c>
      <c r="K1960" s="16" t="str">
        <f t="shared" si="89"/>
        <v>620134 (PT BPRS Vitka Central )</v>
      </c>
    </row>
    <row r="1961" spans="9:11" ht="12.75" customHeight="1" x14ac:dyDescent="0.35">
      <c r="I1961" s="16" t="s">
        <v>4987</v>
      </c>
      <c r="J1961" s="52">
        <v>620135</v>
      </c>
      <c r="K1961" s="16" t="str">
        <f t="shared" si="89"/>
        <v>620135 (PT BPRS Annisa Mukti)</v>
      </c>
    </row>
    <row r="1962" spans="9:11" ht="12.75" customHeight="1" x14ac:dyDescent="0.35">
      <c r="I1962" s="16" t="s">
        <v>4988</v>
      </c>
      <c r="J1962" s="52">
        <v>620136</v>
      </c>
      <c r="K1962" s="16" t="str">
        <f t="shared" si="89"/>
        <v>620136 (PT BPRS FORMES)</v>
      </c>
    </row>
    <row r="1963" spans="9:11" ht="12.75" customHeight="1" x14ac:dyDescent="0.35">
      <c r="I1963" s="16" t="s">
        <v>4989</v>
      </c>
      <c r="J1963" s="52">
        <v>620137</v>
      </c>
      <c r="K1963" s="16" t="str">
        <f t="shared" si="89"/>
        <v>620137 (PT BPRS Central Syariah Utama )</v>
      </c>
    </row>
    <row r="1964" spans="9:11" ht="12.75" customHeight="1" x14ac:dyDescent="0.35">
      <c r="I1964" s="16" t="s">
        <v>4990</v>
      </c>
      <c r="J1964" s="52">
        <v>620138</v>
      </c>
      <c r="K1964" s="16" t="str">
        <f t="shared" si="89"/>
        <v>620138 (PT BPRS Cempaka Al Amin )</v>
      </c>
    </row>
    <row r="1965" spans="9:11" ht="12.75" customHeight="1" x14ac:dyDescent="0.35">
      <c r="I1965" s="16" t="s">
        <v>4991</v>
      </c>
      <c r="J1965" s="52">
        <v>620139</v>
      </c>
      <c r="K1965" s="16" t="str">
        <f t="shared" si="89"/>
        <v>620139 (PT BPRSMadinah)</v>
      </c>
    </row>
    <row r="1966" spans="9:11" ht="12.75" customHeight="1" x14ac:dyDescent="0.35">
      <c r="I1966" s="16" t="s">
        <v>4992</v>
      </c>
      <c r="J1966" s="52">
        <v>620140</v>
      </c>
      <c r="K1966" s="16" t="str">
        <f t="shared" si="89"/>
        <v>620140 (PT BPRS Lampung Timur )</v>
      </c>
    </row>
    <row r="1967" spans="9:11" ht="12.75" customHeight="1" x14ac:dyDescent="0.35">
      <c r="I1967" s="16" t="s">
        <v>4993</v>
      </c>
      <c r="J1967" s="52">
        <v>620141</v>
      </c>
      <c r="K1967" s="16" t="str">
        <f t="shared" si="89"/>
        <v>620141 (PT BPRS Adeco )</v>
      </c>
    </row>
    <row r="1968" spans="9:11" ht="12.75" customHeight="1" x14ac:dyDescent="0.35">
      <c r="I1968" s="16" t="s">
        <v>4994</v>
      </c>
      <c r="J1968" s="52">
        <v>620142</v>
      </c>
      <c r="K1968" s="16" t="str">
        <f t="shared" si="89"/>
        <v>620142 (PT BPRS Al Mabrur )</v>
      </c>
    </row>
    <row r="1969" spans="9:11" ht="12.75" customHeight="1" x14ac:dyDescent="0.35">
      <c r="I1969" s="16" t="s">
        <v>4995</v>
      </c>
      <c r="J1969" s="52">
        <v>620143</v>
      </c>
      <c r="K1969" s="16" t="str">
        <f t="shared" si="89"/>
        <v>620143 (PT BPRS MERU SANKARA)</v>
      </c>
    </row>
    <row r="1970" spans="9:11" ht="12.75" customHeight="1" x14ac:dyDescent="0.35">
      <c r="I1970" s="16" t="s">
        <v>4996</v>
      </c>
      <c r="J1970" s="52">
        <v>620144</v>
      </c>
      <c r="K1970" s="16" t="str">
        <f t="shared" si="89"/>
        <v>620144 (PT BPRS Kota Juang)</v>
      </c>
    </row>
    <row r="1971" spans="9:11" ht="12.75" customHeight="1" x14ac:dyDescent="0.35">
      <c r="I1971" s="16" t="s">
        <v>4997</v>
      </c>
      <c r="J1971" s="52">
        <v>620145</v>
      </c>
      <c r="K1971" s="16" t="str">
        <f t="shared" si="89"/>
        <v>620145 (PT BPRS Amanah Insan Cita )</v>
      </c>
    </row>
    <row r="1972" spans="9:11" ht="12.75" customHeight="1" x14ac:dyDescent="0.35">
      <c r="I1972" s="16" t="s">
        <v>4998</v>
      </c>
      <c r="J1972" s="52">
        <v>620146</v>
      </c>
      <c r="K1972" s="16" t="str">
        <f t="shared" si="89"/>
        <v>620146 (PT BPRS Gunung Slamet )</v>
      </c>
    </row>
    <row r="1973" spans="9:11" ht="12.75" customHeight="1" x14ac:dyDescent="0.35">
      <c r="I1973" s="16" t="s">
        <v>4999</v>
      </c>
      <c r="J1973" s="52">
        <v>620147</v>
      </c>
      <c r="K1973" s="16" t="str">
        <f t="shared" si="89"/>
        <v>620147 (PT BPRS Artha Pamenang)</v>
      </c>
    </row>
    <row r="1974" spans="9:11" ht="12.75" customHeight="1" x14ac:dyDescent="0.35">
      <c r="I1974" s="16" t="s">
        <v>5000</v>
      </c>
      <c r="J1974" s="52">
        <v>620148</v>
      </c>
      <c r="K1974" s="16" t="str">
        <f t="shared" si="89"/>
        <v>620148 (PT BPRS Rahmania Dana Sejahtera )</v>
      </c>
    </row>
    <row r="1975" spans="9:11" ht="12.75" customHeight="1" x14ac:dyDescent="0.35">
      <c r="I1975" s="16" t="s">
        <v>5001</v>
      </c>
      <c r="J1975" s="52">
        <v>620149</v>
      </c>
      <c r="K1975" s="16" t="str">
        <f t="shared" si="89"/>
        <v>620149 (PT BPRS Mitra Harmoni Yogyakarta)</v>
      </c>
    </row>
    <row r="1976" spans="9:11" ht="12.75" customHeight="1" x14ac:dyDescent="0.35">
      <c r="I1976" s="16" t="s">
        <v>5002</v>
      </c>
      <c r="J1976" s="52">
        <v>620150</v>
      </c>
      <c r="K1976" s="16" t="str">
        <f t="shared" si="89"/>
        <v>620150 (PT BPRS Rahma Syariah )</v>
      </c>
    </row>
    <row r="1977" spans="9:11" ht="12.75" customHeight="1" x14ac:dyDescent="0.35">
      <c r="I1977" s="16" t="s">
        <v>5003</v>
      </c>
      <c r="J1977" s="52">
        <v>620151</v>
      </c>
      <c r="K1977" s="16" t="str">
        <f t="shared" si="89"/>
        <v>620151 (PT BPRS Mitra Harmoni Kota Semarang )</v>
      </c>
    </row>
    <row r="1978" spans="9:11" ht="12.75" customHeight="1" x14ac:dyDescent="0.35">
      <c r="I1978" s="16" t="s">
        <v>5004</v>
      </c>
      <c r="J1978" s="52">
        <v>620152</v>
      </c>
      <c r="K1978" s="16" t="str">
        <f t="shared" si="89"/>
        <v>620152 (PT BPRS SERAMBI MEKAH)</v>
      </c>
    </row>
    <row r="1979" spans="9:11" ht="12.75" customHeight="1" x14ac:dyDescent="0.35">
      <c r="I1979" s="16" t="s">
        <v>5005</v>
      </c>
      <c r="J1979" s="52">
        <v>620153</v>
      </c>
      <c r="K1979" s="16" t="str">
        <f t="shared" si="89"/>
        <v>620153 (PT BPRS Mitra Harmoni Kota Malang )</v>
      </c>
    </row>
    <row r="1980" spans="9:11" ht="12.75" customHeight="1" x14ac:dyDescent="0.35">
      <c r="I1980" s="16" t="s">
        <v>5006</v>
      </c>
      <c r="J1980" s="52">
        <v>620154</v>
      </c>
      <c r="K1980" s="16" t="str">
        <f t="shared" si="89"/>
        <v>620154 (PT BPRS Insan Madani)</v>
      </c>
    </row>
    <row r="1981" spans="9:11" ht="12.75" customHeight="1" x14ac:dyDescent="0.35">
      <c r="I1981" s="16" t="s">
        <v>5007</v>
      </c>
      <c r="J1981" s="52">
        <v>620155</v>
      </c>
      <c r="K1981" s="16" t="str">
        <f t="shared" si="89"/>
        <v>620155 (PT BPRS Unawi Barokah )</v>
      </c>
    </row>
    <row r="1982" spans="9:11" ht="12.75" customHeight="1" x14ac:dyDescent="0.35">
      <c r="I1982" s="16" t="s">
        <v>5008</v>
      </c>
      <c r="J1982" s="52">
        <v>620156</v>
      </c>
      <c r="K1982" s="16" t="str">
        <f t="shared" si="89"/>
        <v>620156 (PT BPRS Al-Madinah Tasikmalaya)</v>
      </c>
    </row>
    <row r="1983" spans="9:11" ht="12.75" customHeight="1" x14ac:dyDescent="0.35">
      <c r="I1983" s="16" t="s">
        <v>5009</v>
      </c>
      <c r="J1983" s="52">
        <v>620157</v>
      </c>
      <c r="K1983" s="16" t="str">
        <f t="shared" si="89"/>
        <v>620157 (PT BPRS Way Kanan )</v>
      </c>
    </row>
    <row r="1984" spans="9:11" ht="12.75" customHeight="1" x14ac:dyDescent="0.35">
      <c r="I1984" s="16" t="s">
        <v>5010</v>
      </c>
      <c r="J1984" s="52">
        <v>620158</v>
      </c>
      <c r="K1984" s="16" t="str">
        <f t="shared" si="89"/>
        <v>620158 (PT BPRS Oloan Ummah Sidempuan )</v>
      </c>
    </row>
    <row r="1985" spans="9:11" ht="12.75" customHeight="1" x14ac:dyDescent="0.35">
      <c r="I1985" s="16" t="s">
        <v>5011</v>
      </c>
      <c r="J1985" s="52">
        <v>620159</v>
      </c>
      <c r="K1985" s="16" t="str">
        <f t="shared" si="89"/>
        <v>620159 (PT BPRS Dharma Kuwera )</v>
      </c>
    </row>
    <row r="1986" spans="9:11" ht="12.75" customHeight="1" x14ac:dyDescent="0.35">
      <c r="I1986" s="16" t="s">
        <v>5012</v>
      </c>
      <c r="J1986" s="52">
        <v>620160</v>
      </c>
      <c r="K1986" s="16" t="str">
        <f t="shared" si="89"/>
        <v>620160 (PT BPRS Kota Mojokerto)</v>
      </c>
    </row>
    <row r="1987" spans="9:11" ht="12.75" customHeight="1" x14ac:dyDescent="0.35">
      <c r="I1987" s="16" t="s">
        <v>5013</v>
      </c>
      <c r="J1987" s="52">
        <v>620161</v>
      </c>
      <c r="K1987" s="16" t="str">
        <f t="shared" si="89"/>
        <v>620161 (PT BPRS Mitra Harmoni Kota Bandung)</v>
      </c>
    </row>
    <row r="1988" spans="9:11" ht="12.75" customHeight="1" x14ac:dyDescent="0.35">
      <c r="I1988" s="16" t="s">
        <v>5014</v>
      </c>
      <c r="J1988" s="52">
        <v>620162</v>
      </c>
      <c r="K1988" s="16" t="str">
        <f t="shared" si="89"/>
        <v>620162 (PT BPRS Gajah Tongga Kota Piliang )</v>
      </c>
    </row>
    <row r="1989" spans="9:11" ht="12.75" customHeight="1" x14ac:dyDescent="0.35">
      <c r="I1989" s="16" t="s">
        <v>5015</v>
      </c>
      <c r="J1989" s="52">
        <v>620163</v>
      </c>
      <c r="K1989" s="16" t="str">
        <f t="shared" si="89"/>
        <v>620163 (PT BPRS Cahaya Hidup)</v>
      </c>
    </row>
    <row r="1990" spans="9:11" ht="12.75" customHeight="1" x14ac:dyDescent="0.35">
      <c r="I1990" s="16" t="s">
        <v>5016</v>
      </c>
      <c r="J1990" s="52">
        <v>620164</v>
      </c>
      <c r="K1990" s="16" t="str">
        <f t="shared" si="89"/>
        <v>620164 (PT BPRS Bahari Berkesan )</v>
      </c>
    </row>
    <row r="1991" spans="9:11" ht="12.75" customHeight="1" x14ac:dyDescent="0.35">
      <c r="I1991" s="16" t="s">
        <v>5017</v>
      </c>
      <c r="J1991" s="52">
        <v>620165</v>
      </c>
      <c r="K1991" s="16" t="str">
        <f t="shared" si="89"/>
        <v>620165 (PT BPRS Syariah Magetan)</v>
      </c>
    </row>
    <row r="1992" spans="9:11" ht="12.75" customHeight="1" x14ac:dyDescent="0.35">
      <c r="I1992" s="16" t="s">
        <v>5018</v>
      </c>
      <c r="J1992" s="52">
        <v>620166</v>
      </c>
      <c r="K1992" s="16" t="str">
        <f t="shared" si="89"/>
        <v>620166 (PT BPRS Bakti Artha Sejahtera Sampang)</v>
      </c>
    </row>
    <row r="1993" spans="9:11" ht="12.75" customHeight="1" x14ac:dyDescent="0.35">
      <c r="I1993" s="16" t="s">
        <v>5019</v>
      </c>
      <c r="J1993" s="52">
        <v>620167</v>
      </c>
      <c r="K1993" s="16" t="str">
        <f t="shared" si="89"/>
        <v>620167 (PT BPRS Saka Dana Mulia)</v>
      </c>
    </row>
    <row r="1994" spans="9:11" ht="12.75" customHeight="1" x14ac:dyDescent="0.35">
      <c r="I1994" s="16" t="s">
        <v>5020</v>
      </c>
      <c r="J1994" s="52">
        <v>620168</v>
      </c>
      <c r="K1994" s="16" t="str">
        <f t="shared" si="89"/>
        <v>620168 (PT BPRS Harta Insan Karimah Makassar)</v>
      </c>
    </row>
    <row r="1995" spans="9:11" ht="12.75" customHeight="1" x14ac:dyDescent="0.35">
      <c r="I1995" s="16" t="s">
        <v>5021</v>
      </c>
      <c r="J1995" s="52">
        <v>620169</v>
      </c>
      <c r="K1995" s="16" t="str">
        <f t="shared" si="89"/>
        <v>620169 (PT BPRS Mitra Agro Usaha)</v>
      </c>
    </row>
    <row r="1996" spans="9:11" ht="12.75" customHeight="1" x14ac:dyDescent="0.35">
      <c r="I1996" s="16" t="s">
        <v>5022</v>
      </c>
      <c r="J1996" s="52">
        <v>620170</v>
      </c>
      <c r="K1996" s="16" t="str">
        <f t="shared" si="89"/>
        <v>620170 (PT BPRS Mitra Amanah)</v>
      </c>
    </row>
    <row r="1997" spans="9:11" ht="12.75" customHeight="1" x14ac:dyDescent="0.35">
      <c r="I1997" s="16" t="s">
        <v>5023</v>
      </c>
      <c r="J1997" s="52">
        <v>620171</v>
      </c>
      <c r="K1997" s="16" t="str">
        <f t="shared" si="89"/>
        <v>620171 (PT BPRS Harta Insan Karimah Surakarta)</v>
      </c>
    </row>
    <row r="1998" spans="9:11" ht="12.75" customHeight="1" x14ac:dyDescent="0.35">
      <c r="I1998" s="16" t="s">
        <v>5024</v>
      </c>
      <c r="J1998" s="52">
        <v>620172</v>
      </c>
      <c r="K1998" s="16" t="str">
        <f t="shared" si="89"/>
        <v>620172 (PT BPRS Gotong Royong)</v>
      </c>
    </row>
    <row r="1999" spans="9:11" ht="12.75" customHeight="1" x14ac:dyDescent="0.35">
      <c r="I1999" s="16" t="s">
        <v>5025</v>
      </c>
      <c r="J1999" s="52">
        <v>620173</v>
      </c>
      <c r="K1999" s="16" t="str">
        <f t="shared" si="89"/>
        <v>620173 (PT BPRS Aman Syariah)</v>
      </c>
    </row>
    <row r="2000" spans="9:11" ht="12.75" customHeight="1" x14ac:dyDescent="0.35">
      <c r="I2000" s="16" t="s">
        <v>5026</v>
      </c>
      <c r="J2000" s="52">
        <v>620174</v>
      </c>
      <c r="K2000" s="16" t="str">
        <f t="shared" si="89"/>
        <v>620174 (PT BPRS Harta Insan Karimah Kota Tegal)</v>
      </c>
    </row>
    <row r="2001" spans="9:11" ht="12.75" customHeight="1" x14ac:dyDescent="0.35">
      <c r="I2001" s="16" t="s">
        <v>5027</v>
      </c>
      <c r="J2001" s="52">
        <v>620175</v>
      </c>
      <c r="K2001" s="16" t="str">
        <f t="shared" si="89"/>
        <v>620175 (PT BPRS Lampung Barat)</v>
      </c>
    </row>
    <row r="2002" spans="9:11" ht="12.75" customHeight="1" x14ac:dyDescent="0.35">
      <c r="I2002" s="16" t="s">
        <v>5028</v>
      </c>
      <c r="J2002" s="52">
        <v>620176</v>
      </c>
      <c r="K2002" s="16" t="str">
        <f t="shared" si="89"/>
        <v>620176 (PT BPRS Tani Tulang Bawang Barat)</v>
      </c>
    </row>
    <row r="2003" spans="9:11" ht="12.75" customHeight="1" x14ac:dyDescent="0.35">
      <c r="I2003" s="16" t="s">
        <v>5029</v>
      </c>
      <c r="J2003" s="52">
        <v>620177</v>
      </c>
      <c r="K2003" s="16" t="str">
        <f t="shared" si="89"/>
        <v>620177 (PT BPRS Bogor Tegar Beriman)</v>
      </c>
    </row>
    <row r="2004" spans="9:11" ht="12.75" customHeight="1" x14ac:dyDescent="0.35">
      <c r="I2004" s="16" t="s">
        <v>5030</v>
      </c>
      <c r="J2004" s="52">
        <v>620178</v>
      </c>
      <c r="K2004" s="16" t="str">
        <f t="shared" si="89"/>
        <v>620178 (PT BPRS Unisa Insan Indonesia)</v>
      </c>
    </row>
    <row r="2005" spans="9:11" ht="12.75" customHeight="1" x14ac:dyDescent="0.35"/>
    <row r="2006" spans="9:11" ht="12.75" customHeight="1" x14ac:dyDescent="0.35"/>
    <row r="2007" spans="9:11" ht="12.75" customHeight="1" x14ac:dyDescent="0.35"/>
  </sheetData>
  <mergeCells count="3">
    <mergeCell ref="M3:M4"/>
    <mergeCell ref="M5:R5"/>
    <mergeCell ref="N28:R28"/>
  </mergeCells>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ader">
    <tabColor rgb="FF0070C0"/>
  </sheetPr>
  <dimension ref="A1:G63"/>
  <sheetViews>
    <sheetView showGridLines="0" topLeftCell="A8" workbookViewId="0">
      <selection activeCell="B33" sqref="B33:D33"/>
    </sheetView>
  </sheetViews>
  <sheetFormatPr defaultColWidth="14.453125" defaultRowHeight="15" customHeight="1" x14ac:dyDescent="0.35"/>
  <cols>
    <col min="1" max="1" width="16.54296875" customWidth="1"/>
    <col min="2" max="2" width="21.54296875" customWidth="1"/>
    <col min="3" max="3" width="36.453125" customWidth="1"/>
    <col min="4" max="4" width="34.54296875" customWidth="1"/>
    <col min="5" max="26" width="8.54296875" customWidth="1"/>
  </cols>
  <sheetData>
    <row r="1" spans="1:7" ht="24.75" customHeight="1" x14ac:dyDescent="0.35">
      <c r="A1" s="74" t="s">
        <v>5031</v>
      </c>
      <c r="B1" s="74" t="s">
        <v>5032</v>
      </c>
      <c r="C1" s="74" t="s">
        <v>3047</v>
      </c>
      <c r="D1" s="74" t="s">
        <v>5033</v>
      </c>
      <c r="G1" s="75" t="s">
        <v>5034</v>
      </c>
    </row>
    <row r="2" spans="1:7" ht="30.75" customHeight="1" x14ac:dyDescent="0.35">
      <c r="A2" s="76">
        <v>609999</v>
      </c>
      <c r="B2" s="77" t="s">
        <v>6089</v>
      </c>
      <c r="C2" s="76"/>
      <c r="D2" s="315"/>
      <c r="G2" s="84" t="s">
        <v>6062</v>
      </c>
    </row>
    <row r="3" spans="1:7" ht="2" customHeight="1" x14ac:dyDescent="0.35">
      <c r="A3" s="79"/>
      <c r="B3" s="80" t="s">
        <v>3051</v>
      </c>
      <c r="C3" s="80"/>
      <c r="D3" s="81"/>
      <c r="G3" s="78"/>
    </row>
    <row r="4" spans="1:7" ht="14.5" x14ac:dyDescent="0.35">
      <c r="A4" s="82"/>
      <c r="B4" s="406" t="s">
        <v>6104</v>
      </c>
      <c r="C4" s="407"/>
      <c r="D4" s="83"/>
      <c r="G4" s="84"/>
    </row>
    <row r="5" spans="1:7" ht="14.5" x14ac:dyDescent="0.35">
      <c r="A5" s="82"/>
      <c r="B5" s="408"/>
      <c r="C5" s="409"/>
      <c r="D5" s="83"/>
    </row>
    <row r="6" spans="1:7" ht="3.75" customHeight="1" x14ac:dyDescent="0.35">
      <c r="A6" s="85"/>
      <c r="B6" s="86"/>
      <c r="C6" s="86"/>
      <c r="D6" s="87"/>
    </row>
    <row r="7" spans="1:7" ht="14.5" x14ac:dyDescent="0.35">
      <c r="E7" s="88" t="s">
        <v>5035</v>
      </c>
      <c r="G7" s="78"/>
    </row>
    <row r="8" spans="1:7" ht="14.5" x14ac:dyDescent="0.35">
      <c r="G8" s="78"/>
    </row>
    <row r="9" spans="1:7" ht="23.25" customHeight="1" x14ac:dyDescent="0.35">
      <c r="A9" s="89" t="s">
        <v>5036</v>
      </c>
      <c r="G9" s="78" t="s">
        <v>6054</v>
      </c>
    </row>
    <row r="10" spans="1:7" ht="18.5" x14ac:dyDescent="0.35">
      <c r="A10" s="74" t="s">
        <v>5037</v>
      </c>
      <c r="B10" s="410" t="s">
        <v>5038</v>
      </c>
      <c r="C10" s="401"/>
      <c r="D10" s="402"/>
      <c r="E10" s="74" t="s">
        <v>3180</v>
      </c>
      <c r="G10" s="78"/>
    </row>
    <row r="11" spans="1:7" ht="14.5" x14ac:dyDescent="0.35">
      <c r="A11" s="90" t="s">
        <v>5039</v>
      </c>
      <c r="B11" s="411" t="s">
        <v>5040</v>
      </c>
      <c r="C11" s="401"/>
      <c r="D11" s="402"/>
      <c r="E11" s="91" t="s">
        <v>5041</v>
      </c>
      <c r="G11" s="84"/>
    </row>
    <row r="12" spans="1:7" ht="14.5" x14ac:dyDescent="0.35">
      <c r="A12" s="90" t="s">
        <v>5042</v>
      </c>
      <c r="B12" s="411" t="s">
        <v>5043</v>
      </c>
      <c r="C12" s="401"/>
      <c r="D12" s="402"/>
      <c r="E12" s="91" t="s">
        <v>5041</v>
      </c>
      <c r="G12" s="78" t="s">
        <v>6055</v>
      </c>
    </row>
    <row r="13" spans="1:7" ht="14.5" x14ac:dyDescent="0.35">
      <c r="A13" s="90" t="s">
        <v>5044</v>
      </c>
      <c r="B13" s="411" t="s">
        <v>5045</v>
      </c>
      <c r="C13" s="401"/>
      <c r="D13" s="402"/>
      <c r="E13" s="91" t="s">
        <v>5041</v>
      </c>
      <c r="G13" s="78" t="s">
        <v>6056</v>
      </c>
    </row>
    <row r="14" spans="1:7" ht="14.5" x14ac:dyDescent="0.35">
      <c r="A14" s="90" t="s">
        <v>5046</v>
      </c>
      <c r="B14" s="411" t="s">
        <v>6070</v>
      </c>
      <c r="C14" s="401"/>
      <c r="D14" s="402"/>
      <c r="E14" s="91" t="s">
        <v>5041</v>
      </c>
      <c r="G14" s="78" t="s">
        <v>6057</v>
      </c>
    </row>
    <row r="15" spans="1:7" ht="14.5" x14ac:dyDescent="0.35">
      <c r="A15" s="90" t="s">
        <v>5047</v>
      </c>
      <c r="B15" s="411" t="s">
        <v>5048</v>
      </c>
      <c r="C15" s="401"/>
      <c r="D15" s="402"/>
      <c r="E15" s="91" t="s">
        <v>5041</v>
      </c>
      <c r="G15" s="78" t="s">
        <v>6058</v>
      </c>
    </row>
    <row r="16" spans="1:7" ht="14.5" x14ac:dyDescent="0.35">
      <c r="A16" s="92" t="s">
        <v>5049</v>
      </c>
      <c r="B16" s="412" t="s">
        <v>5050</v>
      </c>
      <c r="C16" s="401"/>
      <c r="D16" s="402"/>
      <c r="E16" s="93" t="s">
        <v>5041</v>
      </c>
      <c r="G16" s="78" t="s">
        <v>6059</v>
      </c>
    </row>
    <row r="17" spans="1:7" ht="14.5" x14ac:dyDescent="0.35">
      <c r="A17" s="94" t="s">
        <v>5051</v>
      </c>
      <c r="B17" s="413" t="s">
        <v>5052</v>
      </c>
      <c r="C17" s="401"/>
      <c r="D17" s="402"/>
      <c r="E17" s="94" t="s">
        <v>5041</v>
      </c>
      <c r="G17" s="84" t="s">
        <v>6060</v>
      </c>
    </row>
    <row r="18" spans="1:7" ht="14.5" x14ac:dyDescent="0.35">
      <c r="A18" s="95" t="s">
        <v>5053</v>
      </c>
      <c r="B18" s="413" t="s">
        <v>5054</v>
      </c>
      <c r="C18" s="401"/>
      <c r="D18" s="402"/>
      <c r="E18" s="94" t="s">
        <v>5041</v>
      </c>
      <c r="G18" s="78" t="s">
        <v>6061</v>
      </c>
    </row>
    <row r="19" spans="1:7" ht="14.5" x14ac:dyDescent="0.35">
      <c r="A19" s="91" t="s">
        <v>5055</v>
      </c>
      <c r="B19" s="411" t="s">
        <v>5056</v>
      </c>
      <c r="C19" s="401"/>
      <c r="D19" s="402"/>
      <c r="E19" s="91" t="s">
        <v>5041</v>
      </c>
    </row>
    <row r="20" spans="1:7" ht="14.5" x14ac:dyDescent="0.35">
      <c r="A20" s="95" t="s">
        <v>5057</v>
      </c>
      <c r="B20" s="413" t="s">
        <v>5058</v>
      </c>
      <c r="C20" s="401"/>
      <c r="D20" s="402"/>
      <c r="E20" s="94" t="s">
        <v>5041</v>
      </c>
    </row>
    <row r="21" spans="1:7" ht="14.5" x14ac:dyDescent="0.35">
      <c r="A21" s="94" t="s">
        <v>5059</v>
      </c>
      <c r="B21" s="413" t="s">
        <v>6072</v>
      </c>
      <c r="C21" s="401"/>
      <c r="D21" s="402"/>
      <c r="E21" s="94" t="s">
        <v>5041</v>
      </c>
    </row>
    <row r="22" spans="1:7" ht="14.5" x14ac:dyDescent="0.35">
      <c r="A22" s="91" t="s">
        <v>5060</v>
      </c>
      <c r="B22" s="411" t="s">
        <v>6066</v>
      </c>
      <c r="C22" s="401"/>
      <c r="D22" s="402"/>
      <c r="E22" s="91" t="s">
        <v>5041</v>
      </c>
    </row>
    <row r="23" spans="1:7" ht="14.5" x14ac:dyDescent="0.35">
      <c r="A23" s="93" t="s">
        <v>5061</v>
      </c>
      <c r="B23" s="412" t="s">
        <v>6067</v>
      </c>
      <c r="C23" s="401"/>
      <c r="D23" s="402"/>
      <c r="E23" s="93" t="s">
        <v>5041</v>
      </c>
    </row>
    <row r="24" spans="1:7" ht="14.5" x14ac:dyDescent="0.35">
      <c r="A24" s="94" t="s">
        <v>5062</v>
      </c>
      <c r="B24" s="413" t="s">
        <v>5063</v>
      </c>
      <c r="C24" s="401"/>
      <c r="D24" s="402"/>
      <c r="E24" s="94" t="s">
        <v>5064</v>
      </c>
    </row>
    <row r="25" spans="1:7" ht="14.5" x14ac:dyDescent="0.35">
      <c r="A25" s="96" t="s">
        <v>5065</v>
      </c>
      <c r="B25" s="414" t="s">
        <v>5066</v>
      </c>
      <c r="C25" s="401"/>
      <c r="D25" s="402"/>
      <c r="E25" s="97" t="s">
        <v>5041</v>
      </c>
    </row>
    <row r="26" spans="1:7" ht="14.5" x14ac:dyDescent="0.35">
      <c r="A26" s="100" t="s">
        <v>5067</v>
      </c>
      <c r="B26" s="413" t="s">
        <v>6083</v>
      </c>
      <c r="C26" s="401"/>
      <c r="D26" s="402"/>
      <c r="E26" s="94" t="s">
        <v>5041</v>
      </c>
    </row>
    <row r="27" spans="1:7" ht="14.5" x14ac:dyDescent="0.35">
      <c r="A27" s="101" t="s">
        <v>5068</v>
      </c>
      <c r="B27" s="415" t="s">
        <v>5069</v>
      </c>
      <c r="C27" s="401"/>
      <c r="D27" s="402"/>
      <c r="E27" s="99" t="s">
        <v>5041</v>
      </c>
    </row>
    <row r="28" spans="1:7" ht="14.5" x14ac:dyDescent="0.35">
      <c r="A28" s="101" t="s">
        <v>5070</v>
      </c>
      <c r="B28" s="415" t="s">
        <v>5071</v>
      </c>
      <c r="C28" s="401"/>
      <c r="D28" s="402"/>
      <c r="E28" s="99" t="s">
        <v>5041</v>
      </c>
    </row>
    <row r="29" spans="1:7" ht="14.5" x14ac:dyDescent="0.35">
      <c r="A29" s="101" t="s">
        <v>5072</v>
      </c>
      <c r="B29" s="415" t="s">
        <v>5073</v>
      </c>
      <c r="C29" s="401"/>
      <c r="D29" s="402"/>
      <c r="E29" s="99" t="s">
        <v>5041</v>
      </c>
    </row>
    <row r="30" spans="1:7" ht="14.5" x14ac:dyDescent="0.35">
      <c r="A30" s="101" t="s">
        <v>5074</v>
      </c>
      <c r="B30" s="415" t="s">
        <v>5075</v>
      </c>
      <c r="C30" s="401"/>
      <c r="D30" s="402"/>
      <c r="E30" s="99" t="s">
        <v>5064</v>
      </c>
    </row>
    <row r="31" spans="1:7" ht="14.5" x14ac:dyDescent="0.35">
      <c r="A31" s="101" t="s">
        <v>5076</v>
      </c>
      <c r="B31" s="415" t="s">
        <v>5077</v>
      </c>
      <c r="C31" s="401"/>
      <c r="D31" s="402"/>
      <c r="E31" s="99" t="s">
        <v>5064</v>
      </c>
    </row>
    <row r="32" spans="1:7" ht="14.5" x14ac:dyDescent="0.35">
      <c r="A32" s="98" t="s">
        <v>6027</v>
      </c>
      <c r="B32" s="415" t="s">
        <v>6117</v>
      </c>
      <c r="C32" s="401"/>
      <c r="D32" s="402"/>
      <c r="E32" s="99" t="s">
        <v>5064</v>
      </c>
    </row>
    <row r="33" spans="1:5" ht="14.5" x14ac:dyDescent="0.35">
      <c r="A33" s="91" t="s">
        <v>5078</v>
      </c>
      <c r="B33" s="411" t="s">
        <v>5079</v>
      </c>
      <c r="C33" s="401"/>
      <c r="D33" s="402"/>
      <c r="E33" s="91" t="s">
        <v>5041</v>
      </c>
    </row>
    <row r="34" spans="1:5" ht="14.5" x14ac:dyDescent="0.35">
      <c r="A34" s="95" t="s">
        <v>5080</v>
      </c>
      <c r="B34" s="413" t="s">
        <v>5081</v>
      </c>
      <c r="C34" s="401"/>
      <c r="D34" s="402"/>
      <c r="E34" s="94" t="s">
        <v>5041</v>
      </c>
    </row>
    <row r="35" spans="1:5" ht="14.5" x14ac:dyDescent="0.35">
      <c r="A35" s="91" t="s">
        <v>5082</v>
      </c>
      <c r="B35" s="411" t="s">
        <v>6116</v>
      </c>
      <c r="C35" s="401"/>
      <c r="D35" s="402"/>
      <c r="E35" s="91" t="s">
        <v>5041</v>
      </c>
    </row>
    <row r="36" spans="1:5" ht="14.5" x14ac:dyDescent="0.35">
      <c r="A36" s="94" t="s">
        <v>5083</v>
      </c>
      <c r="B36" s="413" t="s">
        <v>5084</v>
      </c>
      <c r="C36" s="401"/>
      <c r="D36" s="402"/>
      <c r="E36" s="94" t="s">
        <v>5041</v>
      </c>
    </row>
    <row r="37" spans="1:5" ht="14.5" x14ac:dyDescent="0.35">
      <c r="A37" s="91" t="s">
        <v>5085</v>
      </c>
      <c r="B37" s="411" t="s">
        <v>5086</v>
      </c>
      <c r="C37" s="401"/>
      <c r="D37" s="402"/>
      <c r="E37" s="91" t="s">
        <v>5041</v>
      </c>
    </row>
    <row r="38" spans="1:5" ht="14.5" x14ac:dyDescent="0.35">
      <c r="A38" s="91" t="s">
        <v>5087</v>
      </c>
      <c r="B38" s="411" t="s">
        <v>5088</v>
      </c>
      <c r="C38" s="401"/>
      <c r="D38" s="402"/>
      <c r="E38" s="91" t="s">
        <v>5041</v>
      </c>
    </row>
    <row r="39" spans="1:5" ht="14.5" x14ac:dyDescent="0.35">
      <c r="A39" s="91" t="s">
        <v>5089</v>
      </c>
      <c r="B39" s="411" t="s">
        <v>5090</v>
      </c>
      <c r="C39" s="401"/>
      <c r="D39" s="402"/>
      <c r="E39" s="91" t="s">
        <v>5041</v>
      </c>
    </row>
    <row r="40" spans="1:5" ht="14.5" x14ac:dyDescent="0.35">
      <c r="A40" s="93" t="s">
        <v>5091</v>
      </c>
      <c r="B40" s="412" t="s">
        <v>5092</v>
      </c>
      <c r="C40" s="401"/>
      <c r="D40" s="402"/>
      <c r="E40" s="93" t="s">
        <v>5041</v>
      </c>
    </row>
    <row r="41" spans="1:5" ht="14.5" x14ac:dyDescent="0.35">
      <c r="A41" s="102" t="s">
        <v>5093</v>
      </c>
      <c r="B41" s="415" t="s">
        <v>5094</v>
      </c>
      <c r="C41" s="401"/>
      <c r="D41" s="402"/>
      <c r="E41" s="99" t="s">
        <v>5041</v>
      </c>
    </row>
    <row r="42" spans="1:5" ht="14.5" x14ac:dyDescent="0.35">
      <c r="A42" s="91" t="s">
        <v>5095</v>
      </c>
      <c r="B42" s="411" t="s">
        <v>5096</v>
      </c>
      <c r="C42" s="401"/>
      <c r="D42" s="402"/>
      <c r="E42" s="91" t="s">
        <v>5041</v>
      </c>
    </row>
    <row r="43" spans="1:5" ht="14.5" x14ac:dyDescent="0.35">
      <c r="A43" s="91" t="s">
        <v>5097</v>
      </c>
      <c r="B43" s="411" t="s">
        <v>5098</v>
      </c>
      <c r="C43" s="401"/>
      <c r="D43" s="402"/>
      <c r="E43" s="91" t="s">
        <v>5041</v>
      </c>
    </row>
    <row r="44" spans="1:5" ht="14.5" x14ac:dyDescent="0.35">
      <c r="A44" s="94" t="s">
        <v>5099</v>
      </c>
      <c r="B44" s="413" t="s">
        <v>5100</v>
      </c>
      <c r="C44" s="401"/>
      <c r="D44" s="402"/>
      <c r="E44" s="94" t="s">
        <v>5041</v>
      </c>
    </row>
    <row r="45" spans="1:5" ht="14.5" x14ac:dyDescent="0.35">
      <c r="A45" s="94" t="s">
        <v>617</v>
      </c>
      <c r="B45" s="413" t="s">
        <v>5101</v>
      </c>
      <c r="C45" s="401"/>
      <c r="D45" s="402"/>
      <c r="E45" s="94" t="s">
        <v>5041</v>
      </c>
    </row>
    <row r="46" spans="1:5" ht="14.5" x14ac:dyDescent="0.35">
      <c r="A46" s="94" t="s">
        <v>5102</v>
      </c>
      <c r="B46" s="413" t="s">
        <v>5103</v>
      </c>
      <c r="C46" s="401"/>
      <c r="D46" s="402"/>
      <c r="E46" s="94" t="s">
        <v>5041</v>
      </c>
    </row>
    <row r="47" spans="1:5" ht="14.5" x14ac:dyDescent="0.35">
      <c r="A47" s="91" t="s">
        <v>5104</v>
      </c>
      <c r="B47" s="411" t="s">
        <v>5105</v>
      </c>
      <c r="C47" s="401"/>
      <c r="D47" s="402"/>
      <c r="E47" s="91" t="s">
        <v>5041</v>
      </c>
    </row>
    <row r="48" spans="1:5" ht="14.5" x14ac:dyDescent="0.35">
      <c r="A48" s="91" t="s">
        <v>5106</v>
      </c>
      <c r="B48" s="411" t="s">
        <v>5107</v>
      </c>
      <c r="C48" s="401"/>
      <c r="D48" s="402"/>
      <c r="E48" s="91" t="s">
        <v>5041</v>
      </c>
    </row>
    <row r="49" spans="1:5" ht="14.5" x14ac:dyDescent="0.35">
      <c r="A49" s="93" t="s">
        <v>5108</v>
      </c>
      <c r="B49" s="412" t="s">
        <v>5109</v>
      </c>
      <c r="C49" s="401"/>
      <c r="D49" s="402"/>
      <c r="E49" s="93" t="s">
        <v>5041</v>
      </c>
    </row>
    <row r="50" spans="1:5" ht="14.5" x14ac:dyDescent="0.35">
      <c r="A50" s="94" t="s">
        <v>5110</v>
      </c>
      <c r="B50" s="413" t="s">
        <v>5111</v>
      </c>
      <c r="C50" s="401"/>
      <c r="D50" s="402"/>
      <c r="E50" s="94" t="s">
        <v>5041</v>
      </c>
    </row>
    <row r="51" spans="1:5" ht="14.5" x14ac:dyDescent="0.35">
      <c r="A51" s="94" t="s">
        <v>5112</v>
      </c>
      <c r="B51" s="413" t="s">
        <v>5113</v>
      </c>
      <c r="C51" s="401"/>
      <c r="D51" s="402"/>
      <c r="E51" s="94" t="s">
        <v>5041</v>
      </c>
    </row>
    <row r="52" spans="1:5" ht="14.5" x14ac:dyDescent="0.35">
      <c r="A52" s="93" t="s">
        <v>5114</v>
      </c>
      <c r="B52" s="412" t="s">
        <v>6081</v>
      </c>
      <c r="C52" s="401"/>
      <c r="D52" s="402"/>
      <c r="E52" s="93" t="s">
        <v>5041</v>
      </c>
    </row>
    <row r="53" spans="1:5" ht="14.5" x14ac:dyDescent="0.35">
      <c r="A53" s="99">
        <v>1600</v>
      </c>
      <c r="B53" s="415" t="s">
        <v>5115</v>
      </c>
      <c r="C53" s="401"/>
      <c r="D53" s="402"/>
      <c r="E53" s="99" t="s">
        <v>5041</v>
      </c>
    </row>
    <row r="54" spans="1:5" ht="14.5" x14ac:dyDescent="0.35">
      <c r="A54" s="99">
        <v>1700</v>
      </c>
      <c r="B54" s="415" t="s">
        <v>5116</v>
      </c>
      <c r="C54" s="401"/>
      <c r="D54" s="402"/>
      <c r="E54" s="99" t="s">
        <v>5041</v>
      </c>
    </row>
    <row r="55" spans="1:5" ht="14.5" x14ac:dyDescent="0.35">
      <c r="A55" s="99">
        <v>1800</v>
      </c>
      <c r="B55" s="415" t="s">
        <v>5117</v>
      </c>
      <c r="C55" s="401"/>
      <c r="D55" s="402"/>
      <c r="E55" s="99" t="s">
        <v>5041</v>
      </c>
    </row>
    <row r="56" spans="1:5" ht="14.5" x14ac:dyDescent="0.35">
      <c r="A56" s="99">
        <v>1900</v>
      </c>
      <c r="B56" s="415" t="s">
        <v>5118</v>
      </c>
      <c r="C56" s="401"/>
      <c r="D56" s="402"/>
      <c r="E56" s="99" t="s">
        <v>5041</v>
      </c>
    </row>
    <row r="57" spans="1:5" ht="15.75" customHeight="1" x14ac:dyDescent="0.35"/>
    <row r="58" spans="1:5" ht="15.75" customHeight="1" x14ac:dyDescent="0.35">
      <c r="B58" s="78" t="s">
        <v>5119</v>
      </c>
    </row>
    <row r="59" spans="1:5" ht="15.75" customHeight="1" x14ac:dyDescent="0.35">
      <c r="B59" s="411" t="s">
        <v>5120</v>
      </c>
      <c r="C59" s="401"/>
      <c r="D59" s="402"/>
    </row>
    <row r="60" spans="1:5" ht="15.75" customHeight="1" x14ac:dyDescent="0.35">
      <c r="B60" s="412" t="s">
        <v>5121</v>
      </c>
      <c r="C60" s="401"/>
      <c r="D60" s="402"/>
    </row>
    <row r="61" spans="1:5" ht="15.75" customHeight="1" x14ac:dyDescent="0.35">
      <c r="B61" s="413" t="s">
        <v>3363</v>
      </c>
      <c r="C61" s="401"/>
      <c r="D61" s="402"/>
    </row>
    <row r="62" spans="1:5" ht="15.75" customHeight="1" x14ac:dyDescent="0.35">
      <c r="B62" s="414" t="s">
        <v>5122</v>
      </c>
      <c r="C62" s="401"/>
      <c r="D62" s="402"/>
    </row>
    <row r="63" spans="1:5" ht="15.75" customHeight="1" x14ac:dyDescent="0.35">
      <c r="B63" s="415" t="s">
        <v>5123</v>
      </c>
      <c r="C63" s="401"/>
      <c r="D63" s="402"/>
    </row>
  </sheetData>
  <mergeCells count="53">
    <mergeCell ref="B62:D62"/>
    <mergeCell ref="B63:D63"/>
    <mergeCell ref="B51:D51"/>
    <mergeCell ref="B52:D52"/>
    <mergeCell ref="B53:D53"/>
    <mergeCell ref="B54:D54"/>
    <mergeCell ref="B55:D55"/>
    <mergeCell ref="B56:D56"/>
    <mergeCell ref="B59:D59"/>
    <mergeCell ref="B48:D48"/>
    <mergeCell ref="B49:D49"/>
    <mergeCell ref="B50:D50"/>
    <mergeCell ref="B60:D60"/>
    <mergeCell ref="B61:D61"/>
    <mergeCell ref="B43:D43"/>
    <mergeCell ref="B44:D44"/>
    <mergeCell ref="B45:D45"/>
    <mergeCell ref="B46:D46"/>
    <mergeCell ref="B47:D47"/>
    <mergeCell ref="B38:D38"/>
    <mergeCell ref="B39:D39"/>
    <mergeCell ref="B40:D40"/>
    <mergeCell ref="B41:D41"/>
    <mergeCell ref="B42:D42"/>
    <mergeCell ref="B33:D33"/>
    <mergeCell ref="B34:D34"/>
    <mergeCell ref="B35:D35"/>
    <mergeCell ref="B36:D36"/>
    <mergeCell ref="B37:D37"/>
    <mergeCell ref="B24:D24"/>
    <mergeCell ref="B25:D25"/>
    <mergeCell ref="B32:D32"/>
    <mergeCell ref="B26:D26"/>
    <mergeCell ref="B27:D27"/>
    <mergeCell ref="B28:D28"/>
    <mergeCell ref="B29:D29"/>
    <mergeCell ref="B30:D30"/>
    <mergeCell ref="B31:D31"/>
    <mergeCell ref="B19:D19"/>
    <mergeCell ref="B20:D20"/>
    <mergeCell ref="B21:D21"/>
    <mergeCell ref="B22:D22"/>
    <mergeCell ref="B23:D23"/>
    <mergeCell ref="B14:D14"/>
    <mergeCell ref="B15:D15"/>
    <mergeCell ref="B16:D16"/>
    <mergeCell ref="B17:D17"/>
    <mergeCell ref="B18:D18"/>
    <mergeCell ref="B4:C5"/>
    <mergeCell ref="B10:D10"/>
    <mergeCell ref="B11:D11"/>
    <mergeCell ref="B12:D12"/>
    <mergeCell ref="B13:D13"/>
  </mergeCells>
  <pageMargins left="0.7" right="0.7" top="0.75" bottom="0.75" header="0" footer="0"/>
  <pageSetup paperSize="9" orientation="portrait" r:id="rId1"/>
  <drawing r:id="rId2"/>
  <legacyDrawing r:id="rId3"/>
  <controls>
    <mc:AlternateContent xmlns:mc="http://schemas.openxmlformats.org/markup-compatibility/2006">
      <mc:Choice Requires="x14">
        <control shapeId="1029" r:id="rId4" name="jenisPelaporan">
          <controlPr defaultSize="0" autoLine="0" autoPict="0" linkedCell="B3" r:id="rId5">
            <anchor moveWithCells="1">
              <from>
                <xdr:col>2</xdr:col>
                <xdr:colOff>44450</xdr:colOff>
                <xdr:row>1</xdr:row>
                <xdr:rowOff>107950</xdr:rowOff>
              </from>
              <to>
                <xdr:col>2</xdr:col>
                <xdr:colOff>2393950</xdr:colOff>
                <xdr:row>1</xdr:row>
                <xdr:rowOff>311150</xdr:rowOff>
              </to>
            </anchor>
          </controlPr>
        </control>
      </mc:Choice>
      <mc:Fallback>
        <control shapeId="1029" r:id="rId4" name="jenisPelaporan"/>
      </mc:Fallback>
    </mc:AlternateContent>
    <mc:AlternateContent xmlns:mc="http://schemas.openxmlformats.org/markup-compatibility/2006">
      <mc:Choice Requires="x14">
        <control shapeId="1027" r:id="rId6" name="Button 3">
          <controlPr defaultSize="0" print="0" autoFill="0" autoPict="0" macro="[0]!btn_process" altText="Generate Teks">
            <anchor moveWithCells="1" sizeWithCells="1">
              <from>
                <xdr:col>3</xdr:col>
                <xdr:colOff>488950</xdr:colOff>
                <xdr:row>3</xdr:row>
                <xdr:rowOff>6350</xdr:rowOff>
              </from>
              <to>
                <xdr:col>3</xdr:col>
                <xdr:colOff>1600200</xdr:colOff>
                <xdr:row>4</xdr:row>
                <xdr:rowOff>158750</xdr:rowOff>
              </to>
            </anchor>
          </controlPr>
        </control>
      </mc:Choice>
    </mc:AlternateContent>
    <mc:AlternateContent xmlns:mc="http://schemas.openxmlformats.org/markup-compatibility/2006">
      <mc:Choice Requires="x14">
        <control shapeId="1030" r:id="rId7" name="Button 6">
          <controlPr defaultSize="0" print="0" autoFill="0" autoPict="0" macro="[0]!get_path.get_path">
            <anchor moveWithCells="1" sizeWithCells="1">
              <from>
                <xdr:col>0</xdr:col>
                <xdr:colOff>69850</xdr:colOff>
                <xdr:row>3</xdr:row>
                <xdr:rowOff>6350</xdr:rowOff>
              </from>
              <to>
                <xdr:col>0</xdr:col>
                <xdr:colOff>1073150</xdr:colOff>
                <xdr:row>4</xdr:row>
                <xdr:rowOff>184150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rm_0000">
    <tabColor rgb="FF99FF33"/>
  </sheetPr>
  <dimension ref="A1:E52"/>
  <sheetViews>
    <sheetView showGridLines="0" topLeftCell="A38" workbookViewId="0">
      <selection activeCell="D55" sqref="D55"/>
    </sheetView>
  </sheetViews>
  <sheetFormatPr defaultColWidth="14.453125" defaultRowHeight="15" customHeight="1" x14ac:dyDescent="0.35"/>
  <cols>
    <col min="1" max="1" width="7.453125" customWidth="1"/>
    <col min="2" max="2" width="5.54296875" customWidth="1"/>
    <col min="3" max="3" width="55.54296875" customWidth="1"/>
    <col min="4" max="4" width="46.453125" bestFit="1" customWidth="1"/>
    <col min="5" max="5" width="24.453125" customWidth="1"/>
    <col min="6" max="26" width="8.54296875" customWidth="1"/>
  </cols>
  <sheetData>
    <row r="1" spans="1:4" ht="14.5" x14ac:dyDescent="0.35">
      <c r="A1" s="103" t="str">
        <f>CONCATENATE("FORM ",Header!A11," - ",Header!B11)</f>
        <v>FORM 0000 - INFORMASI POKOK BPR</v>
      </c>
      <c r="B1" s="104"/>
      <c r="C1" s="104"/>
      <c r="D1" s="105" t="s">
        <v>5124</v>
      </c>
    </row>
    <row r="2" spans="1:4" ht="29" x14ac:dyDescent="0.35">
      <c r="A2" s="106" t="s">
        <v>5125</v>
      </c>
      <c r="B2" s="416" t="s">
        <v>5126</v>
      </c>
      <c r="C2" s="402"/>
      <c r="D2" s="107" t="s">
        <v>5127</v>
      </c>
    </row>
    <row r="3" spans="1:4" ht="14.5" x14ac:dyDescent="0.35">
      <c r="A3" s="108" t="s">
        <v>5128</v>
      </c>
      <c r="B3" s="109" t="s">
        <v>5129</v>
      </c>
      <c r="C3" s="110"/>
      <c r="D3" s="111" t="s">
        <v>5130</v>
      </c>
    </row>
    <row r="4" spans="1:4" ht="14.5" x14ac:dyDescent="0.35">
      <c r="A4" s="108" t="s">
        <v>5128</v>
      </c>
      <c r="B4" s="109" t="s">
        <v>5131</v>
      </c>
      <c r="C4" s="110"/>
      <c r="D4" s="111" t="s">
        <v>5132</v>
      </c>
    </row>
    <row r="5" spans="1:4" ht="14.5" x14ac:dyDescent="0.35">
      <c r="A5" s="108" t="s">
        <v>5128</v>
      </c>
      <c r="B5" s="109" t="s">
        <v>5133</v>
      </c>
      <c r="C5" s="110"/>
      <c r="D5" s="111" t="s">
        <v>5134</v>
      </c>
    </row>
    <row r="6" spans="1:4" ht="14.5" x14ac:dyDescent="0.35">
      <c r="A6" s="108" t="s">
        <v>5128</v>
      </c>
      <c r="B6" s="109" t="s">
        <v>5135</v>
      </c>
      <c r="C6" s="110"/>
      <c r="D6" s="111" t="s">
        <v>6053</v>
      </c>
    </row>
    <row r="7" spans="1:4" ht="14.5" x14ac:dyDescent="0.35">
      <c r="A7" s="108" t="s">
        <v>5128</v>
      </c>
      <c r="B7" s="109" t="s">
        <v>5136</v>
      </c>
      <c r="C7" s="110"/>
      <c r="D7" s="111" t="s">
        <v>5137</v>
      </c>
    </row>
    <row r="8" spans="1:4" ht="14.5" x14ac:dyDescent="0.35">
      <c r="A8" s="108" t="s">
        <v>5128</v>
      </c>
      <c r="B8" s="109" t="s">
        <v>5138</v>
      </c>
      <c r="C8" s="110"/>
      <c r="D8" s="111" t="s">
        <v>5139</v>
      </c>
    </row>
    <row r="9" spans="1:4" ht="14.5" x14ac:dyDescent="0.35">
      <c r="A9" s="108" t="s">
        <v>5128</v>
      </c>
      <c r="B9" s="109" t="s">
        <v>5140</v>
      </c>
      <c r="C9" s="110"/>
      <c r="D9" s="112" t="s">
        <v>5141</v>
      </c>
    </row>
    <row r="10" spans="1:4" ht="14.5" x14ac:dyDescent="0.35">
      <c r="A10" s="108" t="s">
        <v>5128</v>
      </c>
      <c r="B10" s="109" t="s">
        <v>5142</v>
      </c>
      <c r="C10" s="113"/>
      <c r="D10" s="111" t="s">
        <v>5143</v>
      </c>
    </row>
    <row r="11" spans="1:4" ht="14.5" x14ac:dyDescent="0.35">
      <c r="A11" s="108" t="s">
        <v>5144</v>
      </c>
      <c r="B11" s="110" t="s">
        <v>5145</v>
      </c>
      <c r="C11" s="114"/>
      <c r="D11" s="115"/>
    </row>
    <row r="12" spans="1:4" ht="14.5" x14ac:dyDescent="0.35">
      <c r="A12" s="108" t="s">
        <v>5128</v>
      </c>
      <c r="B12" s="116" t="s">
        <v>5146</v>
      </c>
      <c r="C12" s="114" t="s">
        <v>5147</v>
      </c>
      <c r="D12" s="111" t="s">
        <v>5148</v>
      </c>
    </row>
    <row r="13" spans="1:4" ht="14.5" x14ac:dyDescent="0.35">
      <c r="A13" s="108" t="s">
        <v>5128</v>
      </c>
      <c r="B13" s="116" t="s">
        <v>5149</v>
      </c>
      <c r="C13" s="114" t="s">
        <v>5150</v>
      </c>
      <c r="D13" s="111" t="s">
        <v>5151</v>
      </c>
    </row>
    <row r="14" spans="1:4" ht="14.5" x14ac:dyDescent="0.35">
      <c r="A14" s="108" t="s">
        <v>5128</v>
      </c>
      <c r="B14" s="116" t="s">
        <v>5152</v>
      </c>
      <c r="C14" s="114" t="s">
        <v>5136</v>
      </c>
      <c r="D14" s="111" t="s">
        <v>5137</v>
      </c>
    </row>
    <row r="15" spans="1:4" ht="14.5" x14ac:dyDescent="0.35">
      <c r="A15" s="108" t="s">
        <v>5128</v>
      </c>
      <c r="B15" s="116" t="s">
        <v>5153</v>
      </c>
      <c r="C15" s="114" t="s">
        <v>5138</v>
      </c>
      <c r="D15" s="111" t="s">
        <v>5139</v>
      </c>
    </row>
    <row r="16" spans="1:4" ht="14.5" x14ac:dyDescent="0.35">
      <c r="A16" s="108" t="s">
        <v>5144</v>
      </c>
      <c r="B16" s="110" t="s">
        <v>5154</v>
      </c>
      <c r="C16" s="114"/>
      <c r="D16" s="117"/>
    </row>
    <row r="17" spans="1:5" ht="14.5" x14ac:dyDescent="0.35">
      <c r="A17" s="108" t="s">
        <v>5128</v>
      </c>
      <c r="B17" s="116" t="s">
        <v>5146</v>
      </c>
      <c r="C17" s="114" t="s">
        <v>5155</v>
      </c>
      <c r="D17" s="111" t="s">
        <v>5156</v>
      </c>
      <c r="E17" s="88"/>
    </row>
    <row r="18" spans="1:5" ht="14.5" x14ac:dyDescent="0.35">
      <c r="A18" s="108" t="s">
        <v>5128</v>
      </c>
      <c r="B18" s="116" t="s">
        <v>5149</v>
      </c>
      <c r="C18" s="114" t="s">
        <v>5157</v>
      </c>
      <c r="D18" s="111">
        <v>2018</v>
      </c>
      <c r="E18" s="88"/>
    </row>
    <row r="19" spans="1:5" ht="14.5" x14ac:dyDescent="0.35">
      <c r="A19" s="108" t="s">
        <v>5128</v>
      </c>
      <c r="B19" s="109" t="s">
        <v>5158</v>
      </c>
      <c r="C19" s="110"/>
      <c r="D19" s="111" t="s">
        <v>5156</v>
      </c>
    </row>
    <row r="20" spans="1:5" ht="14.5" x14ac:dyDescent="0.35">
      <c r="A20" s="108" t="s">
        <v>5144</v>
      </c>
      <c r="B20" s="110" t="s">
        <v>5159</v>
      </c>
      <c r="C20" s="114"/>
      <c r="D20" s="115"/>
    </row>
    <row r="21" spans="1:5" ht="14.5" x14ac:dyDescent="0.35">
      <c r="A21" s="91" t="s">
        <v>5128</v>
      </c>
      <c r="B21" s="118" t="s">
        <v>5160</v>
      </c>
      <c r="C21" s="119" t="s">
        <v>5161</v>
      </c>
      <c r="D21" s="120" t="s">
        <v>118</v>
      </c>
    </row>
    <row r="22" spans="1:5" ht="15.75" customHeight="1" x14ac:dyDescent="0.35">
      <c r="A22" s="108" t="s">
        <v>5128</v>
      </c>
      <c r="B22" s="116" t="s">
        <v>5149</v>
      </c>
      <c r="C22" s="114" t="s">
        <v>5162</v>
      </c>
      <c r="D22" s="111"/>
    </row>
    <row r="23" spans="1:5" ht="15.75" customHeight="1" x14ac:dyDescent="0.35">
      <c r="A23" s="108" t="s">
        <v>5128</v>
      </c>
      <c r="B23" s="116" t="s">
        <v>5152</v>
      </c>
      <c r="C23" s="114" t="s">
        <v>5163</v>
      </c>
      <c r="D23" s="111"/>
    </row>
    <row r="24" spans="1:5" ht="15.75" customHeight="1" x14ac:dyDescent="0.35">
      <c r="A24" s="345" t="s">
        <v>5128</v>
      </c>
      <c r="B24" s="346" t="s">
        <v>5164</v>
      </c>
      <c r="C24" s="80" t="s">
        <v>5165</v>
      </c>
      <c r="D24" s="347"/>
    </row>
    <row r="25" spans="1:5" ht="15.75" customHeight="1" x14ac:dyDescent="0.35">
      <c r="A25" s="350" t="s">
        <v>5128</v>
      </c>
      <c r="B25" s="348" t="s">
        <v>6090</v>
      </c>
      <c r="C25" s="348" t="s">
        <v>6091</v>
      </c>
      <c r="D25" s="344"/>
    </row>
    <row r="26" spans="1:5" ht="15.75" customHeight="1" x14ac:dyDescent="0.35">
      <c r="A26" s="350" t="s">
        <v>5128</v>
      </c>
      <c r="B26" s="348" t="s">
        <v>6092</v>
      </c>
      <c r="C26" s="348" t="s">
        <v>6093</v>
      </c>
      <c r="D26" s="344"/>
    </row>
    <row r="27" spans="1:5" ht="15.75" customHeight="1" x14ac:dyDescent="0.35">
      <c r="A27" s="341" t="s">
        <v>5128</v>
      </c>
      <c r="B27" s="342" t="s">
        <v>5166</v>
      </c>
      <c r="C27" s="85"/>
      <c r="D27" s="343">
        <v>1000000</v>
      </c>
    </row>
    <row r="28" spans="1:5" ht="15.75" customHeight="1" x14ac:dyDescent="0.35">
      <c r="A28" s="91" t="s">
        <v>5128</v>
      </c>
      <c r="B28" s="121" t="s">
        <v>6068</v>
      </c>
      <c r="C28" s="119"/>
      <c r="D28" s="120" t="s">
        <v>118</v>
      </c>
    </row>
    <row r="29" spans="1:5" ht="14.5" x14ac:dyDescent="0.35">
      <c r="A29" s="108" t="s">
        <v>5144</v>
      </c>
      <c r="B29" s="110" t="s">
        <v>5167</v>
      </c>
      <c r="C29" s="114"/>
      <c r="D29" s="115"/>
    </row>
    <row r="30" spans="1:5" ht="15.75" customHeight="1" x14ac:dyDescent="0.35">
      <c r="A30" s="108" t="s">
        <v>5128</v>
      </c>
      <c r="B30" s="116" t="s">
        <v>5146</v>
      </c>
      <c r="C30" s="114" t="s">
        <v>5168</v>
      </c>
      <c r="D30" s="122" t="s">
        <v>118</v>
      </c>
    </row>
    <row r="31" spans="1:5" ht="15.75" customHeight="1" x14ac:dyDescent="0.35">
      <c r="A31" s="108" t="s">
        <v>5128</v>
      </c>
      <c r="B31" s="116" t="s">
        <v>5149</v>
      </c>
      <c r="C31" s="114" t="s">
        <v>5169</v>
      </c>
      <c r="D31" s="122" t="s">
        <v>6037</v>
      </c>
    </row>
    <row r="32" spans="1:5" ht="15.75" customHeight="1" x14ac:dyDescent="0.35">
      <c r="A32" s="108" t="s">
        <v>5128</v>
      </c>
      <c r="B32" s="116" t="s">
        <v>5152</v>
      </c>
      <c r="C32" s="114" t="s">
        <v>5170</v>
      </c>
      <c r="D32" s="111" t="s">
        <v>5684</v>
      </c>
    </row>
    <row r="33" spans="1:4" ht="24" customHeight="1" x14ac:dyDescent="0.35">
      <c r="A33" s="108" t="s">
        <v>5128</v>
      </c>
      <c r="B33" s="123" t="s">
        <v>5172</v>
      </c>
      <c r="C33" s="114"/>
      <c r="D33" s="120" t="s">
        <v>118</v>
      </c>
    </row>
    <row r="34" spans="1:4" ht="15.75" customHeight="1" x14ac:dyDescent="0.35">
      <c r="A34" s="91" t="s">
        <v>5144</v>
      </c>
      <c r="B34" s="124" t="s">
        <v>5173</v>
      </c>
      <c r="C34" s="119"/>
      <c r="D34" s="120"/>
    </row>
    <row r="35" spans="1:4" ht="15.75" customHeight="1" x14ac:dyDescent="0.35">
      <c r="A35" s="91" t="s">
        <v>5128</v>
      </c>
      <c r="B35" s="124" t="s">
        <v>5160</v>
      </c>
      <c r="C35" s="124" t="s">
        <v>5174</v>
      </c>
      <c r="D35" s="120" t="s">
        <v>5746</v>
      </c>
    </row>
    <row r="36" spans="1:4" ht="15.75" customHeight="1" x14ac:dyDescent="0.35">
      <c r="A36" s="91" t="s">
        <v>5128</v>
      </c>
      <c r="B36" s="124" t="s">
        <v>5149</v>
      </c>
      <c r="C36" s="124" t="s">
        <v>5175</v>
      </c>
      <c r="D36" s="120"/>
    </row>
    <row r="37" spans="1:4" ht="15.75" customHeight="1" x14ac:dyDescent="0.35">
      <c r="A37" s="91" t="s">
        <v>5128</v>
      </c>
      <c r="B37" s="124" t="s">
        <v>5152</v>
      </c>
      <c r="C37" s="124" t="s">
        <v>6069</v>
      </c>
      <c r="D37" s="120"/>
    </row>
    <row r="38" spans="1:4" ht="15.75" customHeight="1" x14ac:dyDescent="0.35">
      <c r="A38" s="91" t="s">
        <v>5128</v>
      </c>
      <c r="B38" s="124" t="s">
        <v>5176</v>
      </c>
      <c r="C38" s="124"/>
      <c r="D38" s="120" t="s">
        <v>118</v>
      </c>
    </row>
    <row r="39" spans="1:4" ht="15.75" customHeight="1" x14ac:dyDescent="0.35">
      <c r="A39" s="338" t="s">
        <v>5128</v>
      </c>
      <c r="B39" s="339" t="s">
        <v>5177</v>
      </c>
      <c r="C39" s="339"/>
      <c r="D39" s="340" t="s">
        <v>6097</v>
      </c>
    </row>
    <row r="40" spans="1:4" ht="15.75" customHeight="1" x14ac:dyDescent="0.35">
      <c r="A40" s="350" t="s">
        <v>5144</v>
      </c>
      <c r="B40" s="359" t="s">
        <v>6115</v>
      </c>
      <c r="C40" s="344"/>
      <c r="D40" s="344"/>
    </row>
    <row r="41" spans="1:4" ht="15.75" customHeight="1" x14ac:dyDescent="0.35">
      <c r="A41" s="350" t="s">
        <v>5128</v>
      </c>
      <c r="B41" s="344" t="s">
        <v>5146</v>
      </c>
      <c r="C41" s="344" t="s">
        <v>6094</v>
      </c>
      <c r="D41" s="344" t="s">
        <v>6096</v>
      </c>
    </row>
    <row r="42" spans="1:4" ht="15.75" customHeight="1" x14ac:dyDescent="0.35">
      <c r="A42" s="350" t="s">
        <v>5128</v>
      </c>
      <c r="B42" s="344" t="s">
        <v>5149</v>
      </c>
      <c r="C42" s="344" t="s">
        <v>6095</v>
      </c>
      <c r="D42" s="349">
        <v>20240415</v>
      </c>
    </row>
    <row r="43" spans="1:4" ht="15.75" customHeight="1" x14ac:dyDescent="0.35">
      <c r="A43" s="341" t="s">
        <v>5128</v>
      </c>
      <c r="B43" s="342" t="s">
        <v>5178</v>
      </c>
      <c r="C43" s="85"/>
      <c r="D43" s="343" t="s">
        <v>5179</v>
      </c>
    </row>
    <row r="44" spans="1:4" ht="15.75" customHeight="1" x14ac:dyDescent="0.35">
      <c r="A44" s="108" t="s">
        <v>5128</v>
      </c>
      <c r="B44" s="109" t="s">
        <v>5180</v>
      </c>
      <c r="C44" s="110"/>
      <c r="D44" s="111"/>
    </row>
    <row r="45" spans="1:4" ht="15.75" customHeight="1" x14ac:dyDescent="0.35">
      <c r="A45" s="108" t="s">
        <v>5128</v>
      </c>
      <c r="B45" s="109" t="s">
        <v>5181</v>
      </c>
      <c r="C45" s="110"/>
      <c r="D45" s="111"/>
    </row>
    <row r="46" spans="1:4" ht="15.75" customHeight="1" x14ac:dyDescent="0.35">
      <c r="A46" s="108" t="s">
        <v>5128</v>
      </c>
      <c r="B46" s="109" t="s">
        <v>5182</v>
      </c>
      <c r="C46" s="110"/>
      <c r="D46" s="111"/>
    </row>
    <row r="47" spans="1:4" ht="15.75" customHeight="1" x14ac:dyDescent="0.35">
      <c r="A47" s="108" t="s">
        <v>5128</v>
      </c>
      <c r="B47" s="109" t="s">
        <v>5183</v>
      </c>
      <c r="C47" s="110"/>
      <c r="D47" s="111"/>
    </row>
    <row r="48" spans="1:4" ht="15.75" customHeight="1" x14ac:dyDescent="0.35">
      <c r="A48" s="108" t="s">
        <v>5128</v>
      </c>
      <c r="B48" s="109" t="s">
        <v>5184</v>
      </c>
      <c r="C48" s="110"/>
      <c r="D48" s="111"/>
    </row>
    <row r="49" spans="1:4" ht="15.75" customHeight="1" x14ac:dyDescent="0.35">
      <c r="A49" s="108" t="s">
        <v>5128</v>
      </c>
      <c r="B49" s="109" t="s">
        <v>5185</v>
      </c>
      <c r="C49" s="110"/>
      <c r="D49" s="111"/>
    </row>
    <row r="50" spans="1:4" ht="15.75" customHeight="1" x14ac:dyDescent="0.35">
      <c r="A50" s="108" t="s">
        <v>5128</v>
      </c>
      <c r="B50" s="109" t="s">
        <v>5186</v>
      </c>
      <c r="C50" s="110"/>
      <c r="D50" s="111"/>
    </row>
    <row r="51" spans="1:4" ht="15.75" customHeight="1" x14ac:dyDescent="0.35">
      <c r="A51" s="108" t="s">
        <v>5128</v>
      </c>
      <c r="B51" s="109" t="s">
        <v>5187</v>
      </c>
      <c r="C51" s="110"/>
      <c r="D51" s="111"/>
    </row>
    <row r="52" spans="1:4" ht="15.75" customHeight="1" x14ac:dyDescent="0.35">
      <c r="A52" s="108" t="s">
        <v>5128</v>
      </c>
      <c r="B52" s="109" t="s">
        <v>5188</v>
      </c>
      <c r="C52" s="110"/>
      <c r="D52" s="111"/>
    </row>
  </sheetData>
  <mergeCells count="1">
    <mergeCell ref="B2:C2"/>
  </mergeCells>
  <dataValidations count="3">
    <dataValidation type="list" allowBlank="1" showInputMessage="1" showErrorMessage="1" sqref="D21 D28 D38 D33" xr:uid="{00000000-0002-0000-0200-000000000000}">
      <formula1>yaTidak</formula1>
    </dataValidation>
    <dataValidation type="list" allowBlank="1" showInputMessage="1" showErrorMessage="1" sqref="D35" xr:uid="{00000000-0002-0000-0200-000001000000}">
      <formula1>MandiriPjti</formula1>
    </dataValidation>
    <dataValidation allowBlank="1" showInputMessage="1" showErrorMessage="1" error="Jumlah Agen Laku Pandai harus dikosongkan!" sqref="D39" xr:uid="{608DF048-7490-470A-A5F3-2AAE92B6FF86}"/>
  </dataValidations>
  <hyperlinks>
    <hyperlink ref="D1" location="Header!A1" display="Back to Header" xr:uid="{00000000-0004-0000-02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3">
        <x14:dataValidation type="list" allowBlank="1" showErrorMessage="1" xr:uid="{00000000-0002-0000-0200-000002000000}">
          <x14:formula1>
            <xm:f>DATA!$C$490:$C$524</xm:f>
          </x14:formula1>
          <xm:sqref>D6</xm:sqref>
        </x14:dataValidation>
        <x14:dataValidation type="list" allowBlank="1" showErrorMessage="1" xr:uid="{00000000-0002-0000-0200-000003000000}">
          <x14:formula1>
            <xm:f>DATA!$A$10:$A$11</xm:f>
          </x14:formula1>
          <xm:sqref>D30</xm:sqref>
        </x14:dataValidation>
        <x14:dataValidation type="list" allowBlank="1" showErrorMessage="1" xr:uid="{00000000-0002-0000-0200-000004000000}">
          <x14:formula1>
            <xm:f>DATA!$G$4:$G$566</xm:f>
          </x14:formula1>
          <xm:sqref>D5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rm_0001">
    <tabColor rgb="FFFFFF00"/>
  </sheetPr>
  <dimension ref="A1:T18"/>
  <sheetViews>
    <sheetView showGridLines="0" workbookViewId="0">
      <selection activeCell="A8" sqref="A8"/>
    </sheetView>
  </sheetViews>
  <sheetFormatPr defaultColWidth="14.453125" defaultRowHeight="15" customHeight="1" x14ac:dyDescent="0.35"/>
  <cols>
    <col min="1" max="1" width="21.90625" customWidth="1"/>
    <col min="2" max="2" width="14.90625" customWidth="1"/>
    <col min="3" max="3" width="13.54296875" customWidth="1"/>
    <col min="4" max="4" width="24.1796875" customWidth="1"/>
    <col min="5" max="5" width="12.453125" customWidth="1"/>
    <col min="6" max="6" width="15.453125" customWidth="1"/>
    <col min="7" max="7" width="28.54296875" customWidth="1"/>
    <col min="8" max="8" width="12.08984375" style="193" customWidth="1"/>
    <col min="9" max="9" width="27" customWidth="1"/>
    <col min="10" max="26" width="9.08984375" customWidth="1"/>
  </cols>
  <sheetData>
    <row r="1" spans="1:20" ht="14.5" x14ac:dyDescent="0.35">
      <c r="A1" s="103" t="str">
        <f>CONCATENATE("FORM ",Header!A12," - ",Header!B12)</f>
        <v>FORM 0001 - DATA KEPEMILIKAN BPR</v>
      </c>
      <c r="B1" s="127"/>
      <c r="C1" s="105" t="s">
        <v>5124</v>
      </c>
      <c r="D1" s="127"/>
      <c r="E1" s="127"/>
      <c r="F1" s="127"/>
      <c r="G1" s="127"/>
    </row>
    <row r="2" spans="1:20" ht="29" x14ac:dyDescent="0.35">
      <c r="A2" s="128" t="s">
        <v>5662</v>
      </c>
      <c r="B2" s="128" t="s">
        <v>5147</v>
      </c>
      <c r="C2" s="128" t="s">
        <v>5189</v>
      </c>
      <c r="D2" s="129" t="s">
        <v>3180</v>
      </c>
      <c r="E2" s="130" t="s">
        <v>5190</v>
      </c>
      <c r="F2" s="128" t="s">
        <v>5191</v>
      </c>
      <c r="G2" s="130" t="s">
        <v>5192</v>
      </c>
      <c r="H2" s="194" t="s">
        <v>5193</v>
      </c>
      <c r="I2" s="131" t="s">
        <v>3348</v>
      </c>
    </row>
    <row r="3" spans="1:20" ht="14.5" x14ac:dyDescent="0.35">
      <c r="A3" s="122" t="s">
        <v>5663</v>
      </c>
      <c r="B3" s="122" t="s">
        <v>6107</v>
      </c>
      <c r="C3" s="122"/>
      <c r="D3" s="122" t="s">
        <v>53</v>
      </c>
      <c r="E3" s="122"/>
      <c r="F3" s="122" t="s">
        <v>5667</v>
      </c>
      <c r="G3" s="132">
        <v>1000000</v>
      </c>
      <c r="H3" s="281">
        <v>50</v>
      </c>
      <c r="I3" s="122" t="s">
        <v>5741</v>
      </c>
      <c r="J3" s="133"/>
    </row>
    <row r="4" spans="1:20" ht="14.5" x14ac:dyDescent="0.35">
      <c r="A4" s="122" t="s">
        <v>5663</v>
      </c>
      <c r="B4" s="122" t="s">
        <v>6106</v>
      </c>
      <c r="C4" s="122"/>
      <c r="D4" s="122" t="s">
        <v>53</v>
      </c>
      <c r="E4" s="122"/>
      <c r="F4" s="122" t="s">
        <v>5667</v>
      </c>
      <c r="G4" s="132">
        <v>1000000</v>
      </c>
      <c r="H4" s="281">
        <v>50</v>
      </c>
      <c r="I4" s="122" t="s">
        <v>5741</v>
      </c>
      <c r="J4" s="133"/>
    </row>
    <row r="5" spans="1:20" ht="14.5" x14ac:dyDescent="0.35">
      <c r="A5" s="122"/>
      <c r="B5" s="122"/>
      <c r="C5" s="122"/>
      <c r="D5" s="122"/>
      <c r="E5" s="122"/>
      <c r="F5" s="122"/>
      <c r="G5" s="132"/>
      <c r="H5" s="192"/>
      <c r="I5" s="122"/>
      <c r="J5" s="133"/>
    </row>
    <row r="6" spans="1:20" ht="14.5" x14ac:dyDescent="0.35">
      <c r="A6" s="122"/>
      <c r="B6" s="122"/>
      <c r="C6" s="122"/>
      <c r="D6" s="122"/>
      <c r="E6" s="122"/>
      <c r="F6" s="122"/>
      <c r="G6" s="132"/>
      <c r="H6" s="192"/>
      <c r="I6" s="122"/>
      <c r="J6" s="133"/>
    </row>
    <row r="7" spans="1:20" ht="14.5" x14ac:dyDescent="0.35">
      <c r="A7" s="122"/>
      <c r="B7" s="122"/>
      <c r="C7" s="122"/>
      <c r="D7" s="122"/>
      <c r="E7" s="122"/>
      <c r="F7" s="122"/>
      <c r="G7" s="132"/>
      <c r="H7" s="192"/>
      <c r="I7" s="122"/>
      <c r="J7" s="133"/>
    </row>
    <row r="8" spans="1:20" ht="14.5" x14ac:dyDescent="0.35">
      <c r="A8" s="122"/>
      <c r="B8" s="122"/>
      <c r="C8" s="122"/>
      <c r="D8" s="122"/>
      <c r="E8" s="122"/>
      <c r="F8" s="122"/>
      <c r="G8" s="132"/>
      <c r="H8" s="192"/>
      <c r="I8" s="122"/>
      <c r="J8" s="133"/>
    </row>
    <row r="9" spans="1:20" ht="14.5" x14ac:dyDescent="0.35">
      <c r="A9" s="134"/>
      <c r="B9" s="134"/>
      <c r="C9" s="134"/>
      <c r="D9" s="134"/>
      <c r="E9" s="134"/>
      <c r="F9" s="134"/>
      <c r="G9" s="134"/>
    </row>
    <row r="10" spans="1:20" ht="14.5" x14ac:dyDescent="0.35">
      <c r="A10" s="134"/>
      <c r="B10" s="134"/>
      <c r="C10" s="134"/>
      <c r="D10" s="134"/>
      <c r="E10" s="134"/>
      <c r="F10" s="134"/>
      <c r="G10" s="134"/>
    </row>
    <row r="11" spans="1:20" ht="14.5" x14ac:dyDescent="0.35">
      <c r="A11" s="134"/>
      <c r="B11" s="134"/>
      <c r="C11" s="134"/>
      <c r="D11" s="134"/>
      <c r="E11" s="134"/>
      <c r="F11" s="134"/>
      <c r="G11" s="134"/>
    </row>
    <row r="12" spans="1:20" ht="14.5" x14ac:dyDescent="0.35">
      <c r="A12" s="134"/>
      <c r="B12" s="134"/>
      <c r="C12" s="134"/>
      <c r="D12" s="134"/>
      <c r="E12" s="134"/>
      <c r="F12" s="134"/>
      <c r="G12" s="134"/>
    </row>
    <row r="13" spans="1:20" ht="14.5" x14ac:dyDescent="0.35">
      <c r="A13" s="134"/>
      <c r="B13" s="134"/>
      <c r="C13" s="134"/>
      <c r="D13" s="134"/>
      <c r="E13" s="134"/>
      <c r="F13" s="134"/>
      <c r="G13" s="134"/>
    </row>
    <row r="14" spans="1:20" ht="14.5" hidden="1" x14ac:dyDescent="0.35">
      <c r="A14" s="134"/>
      <c r="B14" s="134"/>
      <c r="C14" s="134"/>
      <c r="D14" s="134"/>
      <c r="E14" s="134" t="s">
        <v>5194</v>
      </c>
      <c r="F14" s="134" t="s">
        <v>5195</v>
      </c>
      <c r="G14" s="134"/>
      <c r="I14" s="88" t="s">
        <v>5196</v>
      </c>
    </row>
    <row r="15" spans="1:20" ht="14.5" hidden="1" x14ac:dyDescent="0.35">
      <c r="A15" s="134"/>
      <c r="B15" s="134" t="s">
        <v>125</v>
      </c>
      <c r="C15" s="134"/>
      <c r="D15" s="134"/>
      <c r="E15" s="134" t="s">
        <v>5197</v>
      </c>
      <c r="F15" s="134" t="s">
        <v>5198</v>
      </c>
      <c r="G15" s="134" t="s">
        <v>5199</v>
      </c>
      <c r="H15" s="195" t="s">
        <v>2681</v>
      </c>
      <c r="I15" s="88">
        <v>20</v>
      </c>
      <c r="J15" s="134" t="s">
        <v>1874</v>
      </c>
      <c r="K15" s="134" t="s">
        <v>5200</v>
      </c>
      <c r="O15" s="88">
        <v>50</v>
      </c>
      <c r="P15" s="88" t="s">
        <v>5201</v>
      </c>
      <c r="S15" s="88">
        <v>15</v>
      </c>
      <c r="T15" s="134" t="s">
        <v>5200</v>
      </c>
    </row>
    <row r="16" spans="1:20" ht="14.5" hidden="1" x14ac:dyDescent="0.35">
      <c r="A16" s="134"/>
      <c r="B16" s="134" t="s">
        <v>248</v>
      </c>
      <c r="C16" s="134"/>
      <c r="D16" s="134"/>
      <c r="E16" s="134" t="s">
        <v>311</v>
      </c>
      <c r="F16" s="134" t="s">
        <v>311</v>
      </c>
      <c r="G16" s="134" t="s">
        <v>5201</v>
      </c>
      <c r="H16" s="196" t="s">
        <v>1874</v>
      </c>
      <c r="I16" s="88">
        <v>60</v>
      </c>
      <c r="J16" s="134" t="s">
        <v>2681</v>
      </c>
      <c r="K16" s="134" t="s">
        <v>5200</v>
      </c>
      <c r="O16" s="88">
        <v>15</v>
      </c>
      <c r="P16" s="88" t="s">
        <v>5202</v>
      </c>
      <c r="S16" s="88">
        <v>15</v>
      </c>
      <c r="T16" s="134" t="s">
        <v>5200</v>
      </c>
    </row>
    <row r="17" spans="2:20" ht="14.5" hidden="1" x14ac:dyDescent="0.35">
      <c r="B17" s="134" t="s">
        <v>325</v>
      </c>
      <c r="C17" s="134"/>
      <c r="D17" s="134"/>
      <c r="E17" s="134" t="s">
        <v>311</v>
      </c>
      <c r="F17" s="134" t="s">
        <v>311</v>
      </c>
      <c r="G17" s="134" t="s">
        <v>5201</v>
      </c>
      <c r="H17" s="196" t="s">
        <v>1874</v>
      </c>
      <c r="I17" s="88">
        <v>20</v>
      </c>
      <c r="J17" s="134" t="s">
        <v>1874</v>
      </c>
      <c r="K17" s="134" t="s">
        <v>5201</v>
      </c>
      <c r="O17" s="88">
        <v>35</v>
      </c>
      <c r="P17" s="88" t="s">
        <v>5202</v>
      </c>
      <c r="S17" s="88">
        <v>25</v>
      </c>
      <c r="T17" s="134" t="s">
        <v>5200</v>
      </c>
    </row>
    <row r="18" spans="2:20" ht="14.5" hidden="1" x14ac:dyDescent="0.35">
      <c r="B18" s="134" t="s">
        <v>337</v>
      </c>
      <c r="C18" s="134"/>
      <c r="D18" s="134"/>
      <c r="E18" s="134"/>
      <c r="F18" s="134" t="s">
        <v>311</v>
      </c>
      <c r="G18" s="134" t="s">
        <v>5195</v>
      </c>
      <c r="H18" s="196" t="s">
        <v>1874</v>
      </c>
      <c r="S18" s="88">
        <v>45</v>
      </c>
      <c r="T18" s="134" t="s">
        <v>5200</v>
      </c>
    </row>
  </sheetData>
  <hyperlinks>
    <hyperlink ref="C1" location="Header!A1" display="Back to Header" xr:uid="{00000000-0004-0000-03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4">
        <x14:dataValidation type="list" allowBlank="1" showErrorMessage="1" xr:uid="{00000000-0002-0000-0300-000000000000}">
          <x14:formula1>
            <xm:f>DATA!$C$485:$C$486</xm:f>
          </x14:formula1>
          <xm:sqref>F3:F8</xm:sqref>
        </x14:dataValidation>
        <x14:dataValidation type="list" allowBlank="1" showErrorMessage="1" xr:uid="{00000000-0002-0000-0300-000002000000}">
          <x14:formula1>
            <xm:f>DATA!$C$711:$C$715</xm:f>
          </x14:formula1>
          <xm:sqref>I3:I8</xm:sqref>
        </x14:dataValidation>
        <x14:dataValidation type="list" allowBlank="1" showErrorMessage="1" xr:uid="{17527E4A-D075-427D-A586-F5D1CCBED41B}">
          <x14:formula1>
            <xm:f>DATA!$C$3:$C$6</xm:f>
          </x14:formula1>
          <xm:sqref>D3:D4</xm:sqref>
        </x14:dataValidation>
        <x14:dataValidation type="list" allowBlank="1" showErrorMessage="1" xr:uid="{6941C3AE-D035-4B64-9E32-23E7A2EF95ED}">
          <x14:formula1>
            <xm:f>DATA!$C$3:$C$5</xm:f>
          </x14:formula1>
          <xm:sqref>D5:D8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rm_0002">
    <tabColor rgb="FF99FF33"/>
  </sheetPr>
  <dimension ref="A1:Z4"/>
  <sheetViews>
    <sheetView showGridLines="0" workbookViewId="0">
      <selection activeCell="A7" sqref="A7"/>
    </sheetView>
  </sheetViews>
  <sheetFormatPr defaultColWidth="14.453125" defaultRowHeight="15" customHeight="1" x14ac:dyDescent="0.35"/>
  <cols>
    <col min="2" max="2" width="18" customWidth="1"/>
    <col min="3" max="3" width="20.08984375" customWidth="1"/>
    <col min="4" max="4" width="12" customWidth="1"/>
    <col min="5" max="5" width="20.90625" customWidth="1"/>
    <col min="6" max="6" width="10.453125" customWidth="1"/>
    <col min="7" max="7" width="18" customWidth="1"/>
    <col min="8" max="8" width="12.453125" customWidth="1"/>
    <col min="9" max="9" width="11" customWidth="1"/>
    <col min="10" max="10" width="19.08984375" customWidth="1"/>
    <col min="11" max="11" width="16.54296875" customWidth="1"/>
    <col min="12" max="12" width="11.54296875" customWidth="1"/>
    <col min="13" max="13" width="10.90625" customWidth="1"/>
    <col min="14" max="14" width="15.453125" customWidth="1"/>
    <col min="15" max="15" width="21.453125" customWidth="1"/>
    <col min="16" max="16" width="11" customWidth="1"/>
    <col min="17" max="17" width="15" customWidth="1"/>
    <col min="18" max="19" width="19.08984375" customWidth="1"/>
    <col min="20" max="21" width="22.90625" customWidth="1"/>
    <col min="23" max="23" width="12.08984375" customWidth="1"/>
    <col min="24" max="24" width="31.54296875" customWidth="1"/>
    <col min="25" max="25" width="29.90625" customWidth="1"/>
    <col min="26" max="26" width="31.453125" customWidth="1"/>
    <col min="27" max="27" width="8.54296875" customWidth="1"/>
  </cols>
  <sheetData>
    <row r="1" spans="1:26" thickBot="1" x14ac:dyDescent="0.4">
      <c r="A1" s="103" t="str">
        <f>CONCATENATE("FORM ",Header!A13," - ",Header!B13)</f>
        <v>FORM 0002 - DATA ANGGOTA DIREKSI DAN DEWAN KOMISARIS BPR</v>
      </c>
      <c r="B1" s="134"/>
      <c r="C1" s="134"/>
      <c r="D1" s="134"/>
      <c r="E1" s="105" t="s">
        <v>5124</v>
      </c>
      <c r="H1" s="134"/>
      <c r="I1" s="134"/>
      <c r="J1" s="134"/>
      <c r="K1" s="134"/>
      <c r="L1" s="134"/>
      <c r="M1" s="134"/>
      <c r="N1" s="134"/>
      <c r="O1" s="134"/>
      <c r="P1" s="134"/>
      <c r="Q1" s="134"/>
      <c r="R1" s="134"/>
      <c r="S1" s="134"/>
      <c r="T1" s="134"/>
      <c r="U1" s="134"/>
      <c r="V1" s="134"/>
      <c r="W1" s="134"/>
      <c r="Y1" s="135"/>
      <c r="Z1" s="135"/>
    </row>
    <row r="2" spans="1:26" ht="29.25" customHeight="1" thickBot="1" x14ac:dyDescent="0.4">
      <c r="A2" s="417" t="s">
        <v>5662</v>
      </c>
      <c r="B2" s="417" t="s">
        <v>5147</v>
      </c>
      <c r="C2" s="417" t="s">
        <v>5189</v>
      </c>
      <c r="D2" s="417" t="s">
        <v>5203</v>
      </c>
      <c r="E2" s="417" t="s">
        <v>5204</v>
      </c>
      <c r="F2" s="417" t="s">
        <v>5205</v>
      </c>
      <c r="G2" s="417" t="s">
        <v>5206</v>
      </c>
      <c r="H2" s="419" t="s">
        <v>6105</v>
      </c>
      <c r="I2" s="420"/>
      <c r="J2" s="417" t="s">
        <v>5207</v>
      </c>
      <c r="K2" s="417" t="s">
        <v>5208</v>
      </c>
      <c r="L2" s="419" t="s">
        <v>255</v>
      </c>
      <c r="M2" s="421"/>
      <c r="N2" s="420"/>
      <c r="O2" s="419" t="s">
        <v>5209</v>
      </c>
      <c r="P2" s="421"/>
      <c r="Q2" s="420"/>
      <c r="R2" s="419" t="s">
        <v>365</v>
      </c>
      <c r="S2" s="421"/>
      <c r="T2" s="421"/>
      <c r="U2" s="420"/>
      <c r="V2" s="417" t="s">
        <v>5210</v>
      </c>
      <c r="W2" s="417" t="s">
        <v>5211</v>
      </c>
      <c r="X2" s="417" t="s">
        <v>5212</v>
      </c>
      <c r="Y2" s="417" t="s">
        <v>5213</v>
      </c>
      <c r="Z2" s="417" t="s">
        <v>5214</v>
      </c>
    </row>
    <row r="3" spans="1:26" ht="29.5" thickBot="1" x14ac:dyDescent="0.4">
      <c r="A3" s="418"/>
      <c r="B3" s="418"/>
      <c r="C3" s="418"/>
      <c r="D3" s="418"/>
      <c r="E3" s="418"/>
      <c r="F3" s="418"/>
      <c r="G3" s="418"/>
      <c r="H3" s="218" t="s">
        <v>5215</v>
      </c>
      <c r="I3" s="218" t="s">
        <v>5216</v>
      </c>
      <c r="J3" s="418"/>
      <c r="K3" s="418"/>
      <c r="L3" s="218" t="s">
        <v>5217</v>
      </c>
      <c r="M3" s="218" t="s">
        <v>5218</v>
      </c>
      <c r="N3" s="218" t="s">
        <v>5219</v>
      </c>
      <c r="O3" s="218" t="s">
        <v>5220</v>
      </c>
      <c r="P3" s="218" t="s">
        <v>5221</v>
      </c>
      <c r="Q3" s="218" t="s">
        <v>5222</v>
      </c>
      <c r="R3" s="218" t="s">
        <v>5223</v>
      </c>
      <c r="S3" s="218" t="s">
        <v>5224</v>
      </c>
      <c r="T3" s="218" t="s">
        <v>5225</v>
      </c>
      <c r="U3" s="237" t="s">
        <v>5226</v>
      </c>
      <c r="V3" s="418"/>
      <c r="W3" s="418"/>
      <c r="X3" s="418"/>
      <c r="Y3" s="418"/>
      <c r="Z3" s="418"/>
    </row>
    <row r="4" spans="1:26" ht="14.5" x14ac:dyDescent="0.35">
      <c r="A4" s="122" t="s">
        <v>5663</v>
      </c>
      <c r="B4" s="122" t="s">
        <v>5664</v>
      </c>
      <c r="C4" s="122" t="s">
        <v>5665</v>
      </c>
      <c r="D4" s="122" t="s">
        <v>868</v>
      </c>
      <c r="E4" s="122" t="s">
        <v>5668</v>
      </c>
      <c r="F4" s="122" t="s">
        <v>5734</v>
      </c>
      <c r="G4" s="122" t="s">
        <v>5734</v>
      </c>
      <c r="H4" s="122" t="s">
        <v>5669</v>
      </c>
      <c r="I4" s="122" t="s">
        <v>5734</v>
      </c>
      <c r="J4" s="122" t="s">
        <v>118</v>
      </c>
      <c r="K4" s="122"/>
      <c r="L4" s="122" t="s">
        <v>5670</v>
      </c>
      <c r="M4" s="122" t="s">
        <v>5734</v>
      </c>
      <c r="N4" s="122" t="s">
        <v>5671</v>
      </c>
      <c r="O4" s="122" t="s">
        <v>5672</v>
      </c>
      <c r="P4" s="122" t="s">
        <v>5742</v>
      </c>
      <c r="Q4" s="122" t="s">
        <v>5671</v>
      </c>
      <c r="R4" s="122"/>
      <c r="S4" s="122"/>
      <c r="T4" s="122"/>
      <c r="U4" s="122" t="s">
        <v>5673</v>
      </c>
      <c r="V4" s="122" t="s">
        <v>104</v>
      </c>
      <c r="W4" s="122" t="s">
        <v>118</v>
      </c>
      <c r="X4" s="132" t="s">
        <v>5674</v>
      </c>
      <c r="Y4" s="136"/>
      <c r="Z4" s="136">
        <v>110</v>
      </c>
    </row>
  </sheetData>
  <mergeCells count="18">
    <mergeCell ref="Z2:Z3"/>
    <mergeCell ref="J2:J3"/>
    <mergeCell ref="K2:K3"/>
    <mergeCell ref="L2:N2"/>
    <mergeCell ref="O2:Q2"/>
    <mergeCell ref="R2:U2"/>
    <mergeCell ref="V2:V3"/>
    <mergeCell ref="W2:W3"/>
    <mergeCell ref="F2:F3"/>
    <mergeCell ref="G2:G3"/>
    <mergeCell ref="H2:I2"/>
    <mergeCell ref="X2:X3"/>
    <mergeCell ref="Y2:Y3"/>
    <mergeCell ref="A2:A3"/>
    <mergeCell ref="B2:B3"/>
    <mergeCell ref="C2:C3"/>
    <mergeCell ref="D2:D3"/>
    <mergeCell ref="E2:E3"/>
  </mergeCells>
  <hyperlinks>
    <hyperlink ref="E1" location="Header!A1" display="Back to Header" xr:uid="{00000000-0004-0000-04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5">
        <x14:dataValidation type="list" allowBlank="1" showErrorMessage="1" xr:uid="{00000000-0002-0000-0400-000000000000}">
          <x14:formula1>
            <xm:f>DATA!$C$22:$C$27</xm:f>
          </x14:formula1>
          <xm:sqref>L4:L20</xm:sqref>
        </x14:dataValidation>
        <x14:dataValidation type="list" allowBlank="1" showErrorMessage="1" xr:uid="{00000000-0002-0000-0400-000001000000}">
          <x14:formula1>
            <xm:f>DATA!$A$10:$A$11</xm:f>
          </x14:formula1>
          <xm:sqref>V4:W20 J4:J20</xm:sqref>
        </x14:dataValidation>
        <x14:dataValidation type="list" allowBlank="1" showErrorMessage="1" xr:uid="{00000000-0002-0000-0400-000002000000}">
          <x14:formula1>
            <xm:f>DATA!$C$528:$C$531</xm:f>
          </x14:formula1>
          <xm:sqref>X4:X20</xm:sqref>
        </x14:dataValidation>
        <x14:dataValidation type="list" allowBlank="1" showErrorMessage="1" xr:uid="{00000000-0002-0000-0400-000003000000}">
          <x14:formula1>
            <xm:f>DATA!$C$15:$C$18</xm:f>
          </x14:formula1>
          <xm:sqref>E4:E20</xm:sqref>
        </x14:dataValidation>
        <x14:dataValidation type="list" allowBlank="1" showErrorMessage="1" xr:uid="{00000000-0002-0000-0400-000004000000}">
          <x14:formula1>
            <xm:f>DATA!$C$31:$C$33</xm:f>
          </x14:formula1>
          <xm:sqref>R4:U20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rm_0003">
    <tabColor rgb="FF99FF33"/>
  </sheetPr>
  <dimension ref="A1:Q4"/>
  <sheetViews>
    <sheetView showGridLines="0" topLeftCell="K1" workbookViewId="0">
      <selection activeCell="Q7" sqref="Q7"/>
    </sheetView>
  </sheetViews>
  <sheetFormatPr defaultColWidth="14.453125" defaultRowHeight="15" customHeight="1" x14ac:dyDescent="0.35"/>
  <cols>
    <col min="1" max="1" width="17.90625" customWidth="1"/>
    <col min="2" max="2" width="13.453125" customWidth="1"/>
    <col min="3" max="3" width="14.453125" customWidth="1"/>
    <col min="4" max="8" width="22.54296875" customWidth="1"/>
    <col min="9" max="9" width="10.90625" customWidth="1"/>
    <col min="10" max="10" width="15" customWidth="1"/>
    <col min="11" max="11" width="10.08984375" customWidth="1"/>
    <col min="12" max="15" width="19.08984375" customWidth="1"/>
    <col min="16" max="16" width="32.90625" customWidth="1"/>
    <col min="17" max="17" width="36.6328125" customWidth="1"/>
    <col min="18" max="26" width="8.54296875" customWidth="1"/>
  </cols>
  <sheetData>
    <row r="1" spans="1:17" thickBot="1" x14ac:dyDescent="0.4">
      <c r="A1" s="103" t="str">
        <f>CONCATENATE("FORM ",Header!A14," - ",Header!B14)</f>
        <v>FORM 0003 - DATA PEJABAT EKSEKUTIF BPR</v>
      </c>
      <c r="B1" s="134"/>
      <c r="C1" s="134"/>
      <c r="D1" s="105" t="s">
        <v>5124</v>
      </c>
      <c r="E1" s="134"/>
      <c r="F1" s="134"/>
      <c r="G1" s="134"/>
      <c r="H1" s="134"/>
      <c r="I1" s="134"/>
      <c r="J1" s="134"/>
      <c r="K1" s="134"/>
      <c r="L1" s="134"/>
      <c r="M1" s="134"/>
      <c r="N1" s="134"/>
      <c r="O1" s="134"/>
    </row>
    <row r="2" spans="1:17" thickBot="1" x14ac:dyDescent="0.4">
      <c r="A2" s="417" t="s">
        <v>5662</v>
      </c>
      <c r="B2" s="417" t="s">
        <v>6079</v>
      </c>
      <c r="C2" s="417" t="s">
        <v>5189</v>
      </c>
      <c r="D2" s="417" t="s">
        <v>5203</v>
      </c>
      <c r="E2" s="419" t="s">
        <v>5204</v>
      </c>
      <c r="F2" s="421"/>
      <c r="G2" s="421"/>
      <c r="H2" s="421"/>
      <c r="I2" s="420"/>
      <c r="J2" s="417" t="s">
        <v>5205</v>
      </c>
      <c r="K2" s="419" t="s">
        <v>5227</v>
      </c>
      <c r="L2" s="420"/>
      <c r="M2" s="419" t="s">
        <v>365</v>
      </c>
      <c r="N2" s="421"/>
      <c r="O2" s="421"/>
      <c r="P2" s="420"/>
      <c r="Q2" s="417" t="s">
        <v>6080</v>
      </c>
    </row>
    <row r="3" spans="1:17" ht="29.5" thickBot="1" x14ac:dyDescent="0.4">
      <c r="A3" s="418"/>
      <c r="B3" s="418"/>
      <c r="C3" s="418"/>
      <c r="D3" s="418"/>
      <c r="E3" s="218" t="s">
        <v>5228</v>
      </c>
      <c r="F3" s="218" t="s">
        <v>5229</v>
      </c>
      <c r="G3" s="218" t="s">
        <v>5337</v>
      </c>
      <c r="H3" s="218" t="s">
        <v>5230</v>
      </c>
      <c r="I3" s="218" t="s">
        <v>331</v>
      </c>
      <c r="J3" s="418"/>
      <c r="K3" s="218" t="s">
        <v>20</v>
      </c>
      <c r="L3" s="218" t="s">
        <v>5231</v>
      </c>
      <c r="M3" s="218" t="s">
        <v>5223</v>
      </c>
      <c r="N3" s="218" t="s">
        <v>5224</v>
      </c>
      <c r="O3" s="218" t="s">
        <v>5225</v>
      </c>
      <c r="P3" s="237" t="s">
        <v>5226</v>
      </c>
      <c r="Q3" s="418"/>
    </row>
    <row r="4" spans="1:17" ht="14.5" x14ac:dyDescent="0.35">
      <c r="A4" s="122" t="s">
        <v>5663</v>
      </c>
      <c r="B4" s="122" t="s">
        <v>5680</v>
      </c>
      <c r="C4" s="122" t="s">
        <v>5676</v>
      </c>
      <c r="D4" s="122" t="s">
        <v>5681</v>
      </c>
      <c r="E4" s="122" t="s">
        <v>5331</v>
      </c>
      <c r="F4" s="122" t="s">
        <v>5331</v>
      </c>
      <c r="G4" s="122" t="s">
        <v>5331</v>
      </c>
      <c r="H4" s="122" t="s">
        <v>5331</v>
      </c>
      <c r="I4" s="122" t="s">
        <v>5331</v>
      </c>
      <c r="J4" s="122" t="s">
        <v>5734</v>
      </c>
      <c r="K4" s="122" t="s">
        <v>5682</v>
      </c>
      <c r="L4" s="122" t="s">
        <v>5687</v>
      </c>
      <c r="M4" s="122" t="s">
        <v>5331</v>
      </c>
      <c r="N4" s="122" t="s">
        <v>5331</v>
      </c>
      <c r="O4" s="122" t="s">
        <v>5331</v>
      </c>
      <c r="P4" s="122" t="s">
        <v>5331</v>
      </c>
      <c r="Q4" s="122" t="s">
        <v>5740</v>
      </c>
    </row>
  </sheetData>
  <mergeCells count="9">
    <mergeCell ref="Q2:Q3"/>
    <mergeCell ref="A2:A3"/>
    <mergeCell ref="B2:B3"/>
    <mergeCell ref="C2:C3"/>
    <mergeCell ref="D2:D3"/>
    <mergeCell ref="E2:I2"/>
    <mergeCell ref="J2:J3"/>
    <mergeCell ref="K2:L2"/>
    <mergeCell ref="M2:P2"/>
  </mergeCells>
  <hyperlinks>
    <hyperlink ref="D1" location="Header!A1" display="Back to Header" xr:uid="{00000000-0004-0000-05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0500-000000000000}">
          <x14:formula1>
            <xm:f>DATA!$C$31:$C$33</xm:f>
          </x14:formula1>
          <xm:sqref>E4:I11 M4:P11</xm:sqref>
        </x14:dataValidation>
        <x14:dataValidation type="list" allowBlank="1" showErrorMessage="1" xr:uid="{00000000-0002-0000-0500-000001000000}">
          <x14:formula1>
            <xm:f>DATA!$C$535:$C$537</xm:f>
          </x14:formula1>
          <xm:sqref>Q4:Q11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rm_0004">
    <tabColor rgb="FF99FF33"/>
  </sheetPr>
  <dimension ref="A1:AX11"/>
  <sheetViews>
    <sheetView showGridLines="0" topLeftCell="AP1" zoomScaleNormal="100" workbookViewId="0">
      <selection activeCell="B8" sqref="B8:AX8"/>
    </sheetView>
  </sheetViews>
  <sheetFormatPr defaultColWidth="14.453125" defaultRowHeight="15" customHeight="1" x14ac:dyDescent="0.35"/>
  <cols>
    <col min="1" max="1" width="6.90625" customWidth="1"/>
    <col min="2" max="2" width="15.453125" customWidth="1"/>
    <col min="3" max="3" width="23.54296875" customWidth="1"/>
    <col min="4" max="4" width="20.26953125" bestFit="1" customWidth="1"/>
    <col min="5" max="5" width="16" customWidth="1"/>
    <col min="6" max="6" width="23" customWidth="1"/>
    <col min="7" max="7" width="17.54296875" bestFit="1" customWidth="1"/>
    <col min="8" max="8" width="16.54296875" customWidth="1"/>
    <col min="9" max="9" width="15" customWidth="1"/>
    <col min="10" max="10" width="7.54296875" customWidth="1"/>
    <col min="11" max="13" width="13" style="365" bestFit="1" customWidth="1"/>
    <col min="14" max="14" width="13.26953125" style="365" bestFit="1" customWidth="1"/>
    <col min="15" max="15" width="14.08984375" style="365" bestFit="1" customWidth="1"/>
    <col min="16" max="16" width="14.1796875" style="365" bestFit="1" customWidth="1"/>
    <col min="17" max="22" width="12.7265625" style="371" bestFit="1" customWidth="1"/>
    <col min="23" max="23" width="16.453125" style="375" customWidth="1"/>
    <col min="24" max="24" width="24" style="375" bestFit="1" customWidth="1"/>
    <col min="25" max="25" width="16.54296875" style="375" bestFit="1" customWidth="1"/>
    <col min="26" max="26" width="8.7265625" style="375" bestFit="1" customWidth="1"/>
    <col min="27" max="27" width="9.7265625" style="375" bestFit="1" customWidth="1"/>
    <col min="28" max="28" width="13.54296875" style="375" bestFit="1" customWidth="1"/>
    <col min="29" max="29" width="14" style="375" bestFit="1" customWidth="1"/>
    <col min="30" max="30" width="23.26953125" style="375" bestFit="1" customWidth="1"/>
    <col min="31" max="31" width="23.08984375" style="375" customWidth="1"/>
    <col min="32" max="33" width="22.6328125" style="375" customWidth="1"/>
    <col min="34" max="34" width="11.453125" style="375" customWidth="1"/>
    <col min="35" max="35" width="22.6328125" style="375" customWidth="1"/>
    <col min="36" max="36" width="12.6328125" style="375" customWidth="1"/>
    <col min="37" max="37" width="20.81640625" style="383" bestFit="1" customWidth="1"/>
    <col min="38" max="38" width="20.08984375" style="383" bestFit="1" customWidth="1"/>
    <col min="39" max="39" width="14.36328125" style="383" bestFit="1" customWidth="1"/>
    <col min="40" max="40" width="20.453125" style="383" bestFit="1" customWidth="1"/>
    <col min="41" max="41" width="19.7265625" style="383" bestFit="1" customWidth="1"/>
    <col min="42" max="42" width="15" style="383" bestFit="1" customWidth="1"/>
    <col min="43" max="43" width="10.7265625" style="386" bestFit="1" customWidth="1"/>
    <col min="44" max="44" width="17.81640625" style="386" bestFit="1" customWidth="1"/>
    <col min="45" max="48" width="14.36328125" style="386" bestFit="1" customWidth="1"/>
    <col min="49" max="49" width="18.08984375" style="386" bestFit="1" customWidth="1"/>
    <col min="50" max="50" width="10.26953125" style="386" bestFit="1" customWidth="1"/>
  </cols>
  <sheetData>
    <row r="1" spans="1:50" thickBot="1" x14ac:dyDescent="0.4">
      <c r="A1" s="103" t="str">
        <f>CONCATENATE("FORM ",Header!A15," - ",Header!B15)</f>
        <v>FORM 0004 - DATA KANTOR BPR</v>
      </c>
      <c r="B1" s="134"/>
      <c r="C1" s="134"/>
      <c r="D1" s="134"/>
      <c r="E1" s="105" t="s">
        <v>5124</v>
      </c>
      <c r="F1" s="104"/>
      <c r="G1" s="134"/>
      <c r="H1" s="134"/>
      <c r="I1" s="134"/>
      <c r="J1" s="134"/>
      <c r="K1" s="362"/>
      <c r="L1" s="362"/>
      <c r="M1" s="362"/>
      <c r="N1" s="362"/>
      <c r="O1" s="362"/>
      <c r="P1" s="362"/>
      <c r="Q1" s="368"/>
      <c r="R1" s="368"/>
      <c r="S1" s="368"/>
      <c r="T1" s="368"/>
      <c r="U1" s="368"/>
      <c r="V1" s="368"/>
      <c r="W1" s="374"/>
      <c r="X1" s="374"/>
      <c r="Y1" s="374"/>
      <c r="Z1" s="374"/>
      <c r="AA1" s="374"/>
      <c r="AB1" s="374"/>
      <c r="AC1" s="374"/>
    </row>
    <row r="2" spans="1:50" thickBot="1" x14ac:dyDescent="0.4">
      <c r="A2" s="417" t="s">
        <v>5662</v>
      </c>
      <c r="B2" s="417" t="s">
        <v>5232</v>
      </c>
      <c r="C2" s="236" t="s">
        <v>5233</v>
      </c>
      <c r="D2" s="236" t="s">
        <v>5234</v>
      </c>
      <c r="E2" s="426" t="s">
        <v>5235</v>
      </c>
      <c r="F2" s="427"/>
      <c r="G2" s="427"/>
      <c r="H2" s="428"/>
      <c r="I2" s="417" t="s">
        <v>5236</v>
      </c>
      <c r="J2" s="417" t="s">
        <v>5237</v>
      </c>
      <c r="K2" s="419" t="s">
        <v>6074</v>
      </c>
      <c r="L2" s="421"/>
      <c r="M2" s="421"/>
      <c r="N2" s="421"/>
      <c r="O2" s="421"/>
      <c r="P2" s="421"/>
      <c r="Q2" s="421"/>
      <c r="R2" s="421"/>
      <c r="S2" s="421"/>
      <c r="T2" s="421"/>
      <c r="U2" s="421"/>
      <c r="V2" s="420"/>
      <c r="W2" s="432" t="s">
        <v>5238</v>
      </c>
      <c r="X2" s="432" t="s">
        <v>492</v>
      </c>
      <c r="Y2" s="432" t="s">
        <v>6075</v>
      </c>
      <c r="Z2" s="435" t="s">
        <v>5239</v>
      </c>
      <c r="AA2" s="436"/>
      <c r="AB2" s="437"/>
      <c r="AC2" s="435" t="s">
        <v>2890</v>
      </c>
      <c r="AD2" s="436"/>
      <c r="AE2" s="437"/>
      <c r="AF2" s="457" t="s">
        <v>5240</v>
      </c>
      <c r="AG2" s="458"/>
      <c r="AH2" s="458"/>
      <c r="AI2" s="458"/>
      <c r="AJ2" s="459"/>
      <c r="AK2" s="454" t="s">
        <v>6074</v>
      </c>
      <c r="AL2" s="455"/>
      <c r="AM2" s="455"/>
      <c r="AN2" s="455"/>
      <c r="AO2" s="455"/>
      <c r="AP2" s="455"/>
      <c r="AQ2" s="455"/>
      <c r="AR2" s="455"/>
      <c r="AS2" s="456"/>
      <c r="AT2" s="456"/>
      <c r="AU2" s="456"/>
      <c r="AV2" s="456"/>
      <c r="AW2" s="456"/>
      <c r="AX2" s="422" t="s">
        <v>6102</v>
      </c>
    </row>
    <row r="3" spans="1:50" thickBot="1" x14ac:dyDescent="0.4">
      <c r="A3" s="425"/>
      <c r="B3" s="425"/>
      <c r="C3" s="238"/>
      <c r="D3" s="238"/>
      <c r="E3" s="429"/>
      <c r="F3" s="430"/>
      <c r="G3" s="430"/>
      <c r="H3" s="431"/>
      <c r="I3" s="425"/>
      <c r="J3" s="425"/>
      <c r="K3" s="441" t="s">
        <v>5241</v>
      </c>
      <c r="L3" s="442"/>
      <c r="M3" s="442"/>
      <c r="N3" s="442"/>
      <c r="O3" s="442"/>
      <c r="P3" s="443"/>
      <c r="Q3" s="444" t="s">
        <v>5242</v>
      </c>
      <c r="R3" s="445"/>
      <c r="S3" s="445"/>
      <c r="T3" s="445"/>
      <c r="U3" s="445"/>
      <c r="V3" s="446"/>
      <c r="W3" s="433"/>
      <c r="X3" s="433"/>
      <c r="Y3" s="433"/>
      <c r="Z3" s="438"/>
      <c r="AA3" s="439"/>
      <c r="AB3" s="440"/>
      <c r="AC3" s="438"/>
      <c r="AD3" s="439"/>
      <c r="AE3" s="440"/>
      <c r="AF3" s="432" t="s">
        <v>2841</v>
      </c>
      <c r="AG3" s="457" t="s">
        <v>6076</v>
      </c>
      <c r="AH3" s="459"/>
      <c r="AI3" s="432" t="s">
        <v>5243</v>
      </c>
      <c r="AJ3" s="432" t="s">
        <v>5244</v>
      </c>
      <c r="AK3" s="447" t="s">
        <v>5241</v>
      </c>
      <c r="AL3" s="448"/>
      <c r="AM3" s="449"/>
      <c r="AN3" s="447" t="s">
        <v>5242</v>
      </c>
      <c r="AO3" s="448"/>
      <c r="AP3" s="449"/>
      <c r="AQ3" s="450" t="s">
        <v>5245</v>
      </c>
      <c r="AR3" s="451"/>
      <c r="AS3" s="452" t="s">
        <v>5246</v>
      </c>
      <c r="AT3" s="453"/>
      <c r="AU3" s="453"/>
      <c r="AV3" s="453"/>
      <c r="AW3" s="453"/>
      <c r="AX3" s="423"/>
    </row>
    <row r="4" spans="1:50" ht="29.5" thickBot="1" x14ac:dyDescent="0.4">
      <c r="A4" s="418"/>
      <c r="B4" s="418"/>
      <c r="C4" s="229"/>
      <c r="D4" s="229"/>
      <c r="E4" s="218" t="s">
        <v>5247</v>
      </c>
      <c r="F4" s="218" t="s">
        <v>5248</v>
      </c>
      <c r="G4" s="218" t="s">
        <v>5249</v>
      </c>
      <c r="H4" s="218" t="s">
        <v>5250</v>
      </c>
      <c r="I4" s="418"/>
      <c r="J4" s="418"/>
      <c r="K4" s="363" t="s">
        <v>269</v>
      </c>
      <c r="L4" s="363" t="s">
        <v>280</v>
      </c>
      <c r="M4" s="363" t="s">
        <v>294</v>
      </c>
      <c r="N4" s="363" t="s">
        <v>306</v>
      </c>
      <c r="O4" s="363" t="s">
        <v>319</v>
      </c>
      <c r="P4" s="363" t="s">
        <v>331</v>
      </c>
      <c r="Q4" s="369" t="s">
        <v>269</v>
      </c>
      <c r="R4" s="369" t="s">
        <v>280</v>
      </c>
      <c r="S4" s="369" t="s">
        <v>294</v>
      </c>
      <c r="T4" s="369" t="s">
        <v>306</v>
      </c>
      <c r="U4" s="369" t="s">
        <v>319</v>
      </c>
      <c r="V4" s="369" t="s">
        <v>331</v>
      </c>
      <c r="W4" s="434"/>
      <c r="X4" s="434"/>
      <c r="Y4" s="434"/>
      <c r="Z4" s="376" t="s">
        <v>5251</v>
      </c>
      <c r="AA4" s="376" t="s">
        <v>5252</v>
      </c>
      <c r="AB4" s="376" t="s">
        <v>5253</v>
      </c>
      <c r="AC4" s="376" t="s">
        <v>5254</v>
      </c>
      <c r="AD4" s="376" t="s">
        <v>5255</v>
      </c>
      <c r="AE4" s="376" t="s">
        <v>5256</v>
      </c>
      <c r="AF4" s="434"/>
      <c r="AG4" s="376" t="s">
        <v>20</v>
      </c>
      <c r="AH4" s="376" t="s">
        <v>5231</v>
      </c>
      <c r="AI4" s="434"/>
      <c r="AJ4" s="434"/>
      <c r="AK4" s="384" t="s">
        <v>6077</v>
      </c>
      <c r="AL4" s="384" t="s">
        <v>6078</v>
      </c>
      <c r="AM4" s="384" t="s">
        <v>331</v>
      </c>
      <c r="AN4" s="384" t="s">
        <v>6077</v>
      </c>
      <c r="AO4" s="384" t="s">
        <v>6078</v>
      </c>
      <c r="AP4" s="384" t="s">
        <v>331</v>
      </c>
      <c r="AQ4" s="387" t="s">
        <v>3398</v>
      </c>
      <c r="AR4" s="387" t="s">
        <v>3401</v>
      </c>
      <c r="AS4" s="387" t="s">
        <v>6071</v>
      </c>
      <c r="AT4" s="387" t="s">
        <v>5257</v>
      </c>
      <c r="AU4" s="387" t="s">
        <v>5258</v>
      </c>
      <c r="AV4" s="387" t="s">
        <v>5259</v>
      </c>
      <c r="AW4" s="388" t="s">
        <v>5260</v>
      </c>
      <c r="AX4" s="424"/>
    </row>
    <row r="5" spans="1:50" ht="15" customHeight="1" x14ac:dyDescent="0.35">
      <c r="A5" s="122" t="s">
        <v>5663</v>
      </c>
      <c r="B5" s="122" t="s">
        <v>783</v>
      </c>
      <c r="C5" s="122" t="s">
        <v>5349</v>
      </c>
      <c r="D5" s="122" t="s">
        <v>5897</v>
      </c>
      <c r="E5" s="111" t="s">
        <v>5132</v>
      </c>
      <c r="F5" s="122" t="s">
        <v>5898</v>
      </c>
      <c r="G5" s="111" t="s">
        <v>5719</v>
      </c>
      <c r="H5" s="122" t="s">
        <v>5899</v>
      </c>
      <c r="I5" s="122" t="s">
        <v>5236</v>
      </c>
      <c r="J5" s="111" t="s">
        <v>5137</v>
      </c>
      <c r="K5" s="364">
        <v>0</v>
      </c>
      <c r="L5" s="364">
        <v>10</v>
      </c>
      <c r="M5" s="364">
        <v>20</v>
      </c>
      <c r="N5" s="364">
        <v>10</v>
      </c>
      <c r="O5" s="364">
        <v>0</v>
      </c>
      <c r="P5" s="364">
        <v>5</v>
      </c>
      <c r="Q5" s="370">
        <v>0</v>
      </c>
      <c r="R5" s="370">
        <v>0</v>
      </c>
      <c r="S5" s="370">
        <v>10</v>
      </c>
      <c r="T5" s="370">
        <v>5</v>
      </c>
      <c r="U5" s="370">
        <v>0</v>
      </c>
      <c r="V5" s="370">
        <v>0</v>
      </c>
      <c r="W5" s="377" t="s">
        <v>5171</v>
      </c>
      <c r="X5" s="377" t="s">
        <v>5900</v>
      </c>
      <c r="Y5" s="377" t="s">
        <v>5171</v>
      </c>
      <c r="Z5" s="377" t="s">
        <v>5171</v>
      </c>
      <c r="AA5" s="377" t="s">
        <v>5171</v>
      </c>
      <c r="AB5" s="377" t="s">
        <v>5171</v>
      </c>
      <c r="AC5" s="377" t="s">
        <v>5171</v>
      </c>
      <c r="AD5" s="377" t="s">
        <v>5666</v>
      </c>
      <c r="AE5" s="378" t="s">
        <v>5901</v>
      </c>
      <c r="AF5" s="379" t="s">
        <v>5902</v>
      </c>
      <c r="AG5" s="378" t="s">
        <v>5903</v>
      </c>
      <c r="AH5" s="378">
        <v>20210101</v>
      </c>
      <c r="AI5" s="378"/>
      <c r="AJ5" s="378">
        <v>20210101</v>
      </c>
      <c r="AK5" s="385">
        <v>10</v>
      </c>
      <c r="AL5" s="385">
        <v>10</v>
      </c>
      <c r="AM5" s="385">
        <v>10</v>
      </c>
      <c r="AN5" s="385">
        <v>10</v>
      </c>
      <c r="AO5" s="385">
        <v>10</v>
      </c>
      <c r="AP5" s="385">
        <v>10</v>
      </c>
      <c r="AQ5" s="389">
        <v>30</v>
      </c>
      <c r="AR5" s="389">
        <v>30</v>
      </c>
      <c r="AS5" s="389">
        <v>20</v>
      </c>
      <c r="AT5" s="389">
        <v>30</v>
      </c>
      <c r="AU5" s="389">
        <v>10</v>
      </c>
      <c r="AV5" s="389">
        <v>0</v>
      </c>
      <c r="AW5" s="389">
        <v>0</v>
      </c>
      <c r="AX5" s="390">
        <v>0</v>
      </c>
    </row>
    <row r="6" spans="1:50" ht="15" customHeight="1" x14ac:dyDescent="0.35">
      <c r="A6" s="122" t="s">
        <v>5663</v>
      </c>
      <c r="B6" s="122" t="s">
        <v>30</v>
      </c>
      <c r="C6" s="122" t="s">
        <v>2878</v>
      </c>
      <c r="D6" s="122" t="s">
        <v>5904</v>
      </c>
      <c r="E6" s="111" t="s">
        <v>5132</v>
      </c>
      <c r="F6" s="122" t="s">
        <v>5905</v>
      </c>
      <c r="G6" s="111" t="s">
        <v>5287</v>
      </c>
      <c r="H6" s="122" t="s">
        <v>5906</v>
      </c>
      <c r="I6" s="122" t="s">
        <v>5236</v>
      </c>
      <c r="J6" s="111" t="s">
        <v>5137</v>
      </c>
      <c r="K6" s="364">
        <v>0</v>
      </c>
      <c r="L6" s="364">
        <v>10</v>
      </c>
      <c r="M6" s="364">
        <v>20</v>
      </c>
      <c r="N6" s="364">
        <v>10</v>
      </c>
      <c r="O6" s="364">
        <v>0</v>
      </c>
      <c r="P6" s="364">
        <v>5</v>
      </c>
      <c r="Q6" s="370">
        <v>0</v>
      </c>
      <c r="R6" s="370">
        <v>0</v>
      </c>
      <c r="S6" s="370">
        <v>10</v>
      </c>
      <c r="T6" s="370">
        <v>5</v>
      </c>
      <c r="U6" s="370">
        <v>0</v>
      </c>
      <c r="V6" s="370">
        <v>0</v>
      </c>
      <c r="W6" s="377" t="s">
        <v>5666</v>
      </c>
      <c r="X6" s="377" t="s">
        <v>5907</v>
      </c>
      <c r="Y6" s="377" t="s">
        <v>5666</v>
      </c>
      <c r="Z6" s="377" t="s">
        <v>5684</v>
      </c>
      <c r="AA6" s="377" t="s">
        <v>5684</v>
      </c>
      <c r="AB6" s="377" t="s">
        <v>5684</v>
      </c>
      <c r="AC6" s="377" t="s">
        <v>5684</v>
      </c>
      <c r="AD6" s="377"/>
      <c r="AE6" s="378"/>
      <c r="AF6" s="380" t="s">
        <v>5908</v>
      </c>
      <c r="AG6" s="378" t="s">
        <v>5903</v>
      </c>
      <c r="AH6" s="378">
        <v>20210101</v>
      </c>
      <c r="AI6" s="378" t="s">
        <v>5243</v>
      </c>
      <c r="AJ6" s="378">
        <v>20210101</v>
      </c>
      <c r="AK6" s="385">
        <v>10</v>
      </c>
      <c r="AL6" s="385">
        <v>10</v>
      </c>
      <c r="AM6" s="385">
        <v>10</v>
      </c>
      <c r="AN6" s="385">
        <v>10</v>
      </c>
      <c r="AO6" s="385">
        <v>10</v>
      </c>
      <c r="AP6" s="385">
        <v>10</v>
      </c>
      <c r="AQ6" s="389">
        <v>40</v>
      </c>
      <c r="AR6" s="389">
        <v>20</v>
      </c>
      <c r="AS6" s="389">
        <v>20</v>
      </c>
      <c r="AT6" s="389">
        <v>30</v>
      </c>
      <c r="AU6" s="389">
        <v>10</v>
      </c>
      <c r="AV6" s="389">
        <v>0</v>
      </c>
      <c r="AW6" s="389">
        <v>0</v>
      </c>
      <c r="AX6" s="389">
        <v>0</v>
      </c>
    </row>
    <row r="7" spans="1:50" ht="15" customHeight="1" x14ac:dyDescent="0.35">
      <c r="P7" s="366"/>
      <c r="V7" s="372"/>
    </row>
    <row r="8" spans="1:50" ht="15" customHeight="1" x14ac:dyDescent="0.35">
      <c r="B8" t="s">
        <v>6142</v>
      </c>
      <c r="C8" t="s">
        <v>6141</v>
      </c>
      <c r="D8" t="s">
        <v>6140</v>
      </c>
      <c r="E8" t="s">
        <v>6139</v>
      </c>
      <c r="F8" t="s">
        <v>6138</v>
      </c>
      <c r="G8" s="360" t="s">
        <v>6137</v>
      </c>
      <c r="H8" t="s">
        <v>6136</v>
      </c>
      <c r="I8" t="s">
        <v>6134</v>
      </c>
      <c r="K8" s="367" t="s">
        <v>6128</v>
      </c>
      <c r="L8" s="367" t="s">
        <v>6129</v>
      </c>
      <c r="M8" s="367" t="s">
        <v>6130</v>
      </c>
      <c r="N8" s="367" t="s">
        <v>6131</v>
      </c>
      <c r="O8" s="367" t="s">
        <v>6132</v>
      </c>
      <c r="P8" s="367" t="s">
        <v>6133</v>
      </c>
      <c r="Q8" s="373" t="s">
        <v>6143</v>
      </c>
      <c r="R8" s="373" t="s">
        <v>6143</v>
      </c>
      <c r="S8" s="373" t="s">
        <v>6143</v>
      </c>
      <c r="T8" s="373" t="s">
        <v>6143</v>
      </c>
      <c r="U8" s="373" t="s">
        <v>6143</v>
      </c>
      <c r="V8" s="373" t="s">
        <v>6143</v>
      </c>
      <c r="W8" s="381" t="s">
        <v>6144</v>
      </c>
      <c r="X8" s="381" t="s">
        <v>6147</v>
      </c>
      <c r="Y8" s="375" t="s">
        <v>6146</v>
      </c>
      <c r="Z8" s="375" t="s">
        <v>6148</v>
      </c>
      <c r="AA8" s="375" t="s">
        <v>6149</v>
      </c>
      <c r="AB8" s="375" t="s">
        <v>6150</v>
      </c>
      <c r="AC8" s="375" t="s">
        <v>6151</v>
      </c>
      <c r="AD8" s="375" t="s">
        <v>6152</v>
      </c>
      <c r="AE8" s="375" t="s">
        <v>6153</v>
      </c>
      <c r="AF8" s="375" t="s">
        <v>6145</v>
      </c>
      <c r="AG8" s="375" t="s">
        <v>6154</v>
      </c>
      <c r="AH8" s="375" t="s">
        <v>6155</v>
      </c>
      <c r="AI8" s="375" t="s">
        <v>6156</v>
      </c>
      <c r="AJ8" s="375" t="s">
        <v>6157</v>
      </c>
      <c r="AK8" s="383" t="s">
        <v>6160</v>
      </c>
      <c r="AL8" s="383" t="s">
        <v>6161</v>
      </c>
      <c r="AM8" s="383" t="s">
        <v>6162</v>
      </c>
      <c r="AN8" s="383" t="s">
        <v>6163</v>
      </c>
      <c r="AO8" s="383" t="s">
        <v>6164</v>
      </c>
      <c r="AP8" s="383" t="s">
        <v>6165</v>
      </c>
      <c r="AQ8" s="391" t="s">
        <v>6166</v>
      </c>
      <c r="AR8" s="391" t="s">
        <v>6167</v>
      </c>
      <c r="AS8" s="391" t="s">
        <v>6168</v>
      </c>
      <c r="AT8" s="391" t="s">
        <v>6169</v>
      </c>
      <c r="AU8" s="391" t="s">
        <v>6170</v>
      </c>
      <c r="AV8" s="391" t="s">
        <v>6171</v>
      </c>
      <c r="AW8" s="391" t="s">
        <v>6172</v>
      </c>
      <c r="AX8" s="391" t="s">
        <v>6173</v>
      </c>
    </row>
    <row r="9" spans="1:50" ht="15" customHeight="1" x14ac:dyDescent="0.35">
      <c r="I9" t="s">
        <v>6135</v>
      </c>
      <c r="X9" s="382" t="s">
        <v>6158</v>
      </c>
    </row>
    <row r="10" spans="1:50" ht="15" customHeight="1" x14ac:dyDescent="0.35">
      <c r="X10" s="382" t="s">
        <v>6159</v>
      </c>
    </row>
    <row r="11" spans="1:50" ht="15" customHeight="1" x14ac:dyDescent="0.35">
      <c r="X11" s="381"/>
    </row>
  </sheetData>
  <mergeCells count="24">
    <mergeCell ref="AS3:AW3"/>
    <mergeCell ref="AK2:AW2"/>
    <mergeCell ref="AC2:AE3"/>
    <mergeCell ref="AF2:AJ2"/>
    <mergeCell ref="AF3:AF4"/>
    <mergeCell ref="AG3:AH3"/>
    <mergeCell ref="AI3:AI4"/>
    <mergeCell ref="AJ3:AJ4"/>
    <mergeCell ref="AX2:AX4"/>
    <mergeCell ref="A2:A4"/>
    <mergeCell ref="B2:B4"/>
    <mergeCell ref="E2:H3"/>
    <mergeCell ref="I2:I4"/>
    <mergeCell ref="J2:J4"/>
    <mergeCell ref="K2:V2"/>
    <mergeCell ref="W2:W4"/>
    <mergeCell ref="X2:X4"/>
    <mergeCell ref="Y2:Y4"/>
    <mergeCell ref="Z2:AB3"/>
    <mergeCell ref="K3:P3"/>
    <mergeCell ref="Q3:V3"/>
    <mergeCell ref="AK3:AM3"/>
    <mergeCell ref="AN3:AP3"/>
    <mergeCell ref="AQ3:AR3"/>
  </mergeCells>
  <hyperlinks>
    <hyperlink ref="E1" location="Header!A1" display="Back to Header" xr:uid="{00000000-0004-0000-0600-000000000000}"/>
  </hyperlinks>
  <pageMargins left="0.7" right="0.7" top="0.75" bottom="0.75" header="0" footer="0"/>
  <pageSetup paperSize="9" orientation="portrait" r:id="rId1"/>
  <extLst>
    <ext xmlns:x14="http://schemas.microsoft.com/office/spreadsheetml/2009/9/main" uri="{CCE6A557-97BC-4b89-ADB6-D9C93CAAB3DF}">
      <x14:dataValidations xmlns:xm="http://schemas.microsoft.com/office/excel/2006/main" count="3">
        <x14:dataValidation type="list" allowBlank="1" showErrorMessage="1" xr:uid="{00000000-0002-0000-0600-000000000000}">
          <x14:formula1>
            <xm:f>DATA!$C$43:$C$45</xm:f>
          </x14:formula1>
          <xm:sqref>X5:X7 X12:X20</xm:sqref>
        </x14:dataValidation>
        <x14:dataValidation type="list" allowBlank="1" showErrorMessage="1" xr:uid="{00000000-0002-0000-0600-000001000000}">
          <x14:formula1>
            <xm:f>DATA!$G$4:$G$566</xm:f>
          </x14:formula1>
          <xm:sqref>G5:G7 G9:G20</xm:sqref>
        </x14:dataValidation>
        <x14:dataValidation type="list" allowBlank="1" showErrorMessage="1" xr:uid="{00000000-0002-0000-0600-000002000000}">
          <x14:formula1>
            <xm:f>DATA!$C$541:$C$544</xm:f>
          </x14:formula1>
          <xm:sqref>AF5:AF20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rm_0005">
    <tabColor rgb="FFFFFF00"/>
  </sheetPr>
  <dimension ref="A1:F3"/>
  <sheetViews>
    <sheetView showGridLines="0" workbookViewId="0">
      <selection activeCell="F3" sqref="F3"/>
    </sheetView>
  </sheetViews>
  <sheetFormatPr defaultColWidth="14.453125" defaultRowHeight="15" customHeight="1" x14ac:dyDescent="0.35"/>
  <cols>
    <col min="1" max="1" width="20.08984375" customWidth="1"/>
    <col min="2" max="2" width="14.54296875" customWidth="1"/>
    <col min="3" max="3" width="20.90625" customWidth="1"/>
    <col min="4" max="4" width="16.453125" customWidth="1"/>
    <col min="5" max="5" width="21.08984375" customWidth="1"/>
    <col min="6" max="6" width="22.453125" customWidth="1"/>
    <col min="7" max="26" width="8.54296875" customWidth="1"/>
  </cols>
  <sheetData>
    <row r="1" spans="1:6" ht="14.5" x14ac:dyDescent="0.35">
      <c r="A1" s="103" t="str">
        <f>CONCATENATE("FORM ",Header!A16," - ",Header!B16)</f>
        <v>FORM 0005 - DATA PIHAK TERKAIT LAINNYA</v>
      </c>
      <c r="B1" s="134"/>
      <c r="C1" s="134"/>
      <c r="D1" s="134"/>
      <c r="E1" s="134"/>
      <c r="F1" s="105" t="s">
        <v>5124</v>
      </c>
    </row>
    <row r="2" spans="1:6" ht="24.75" customHeight="1" x14ac:dyDescent="0.35">
      <c r="A2" s="130" t="s">
        <v>5662</v>
      </c>
      <c r="B2" s="130" t="s">
        <v>5261</v>
      </c>
      <c r="C2" s="130" t="s">
        <v>5190</v>
      </c>
      <c r="D2" s="130" t="s">
        <v>5262</v>
      </c>
      <c r="E2" s="130" t="s">
        <v>543</v>
      </c>
      <c r="F2" s="312" t="s">
        <v>5263</v>
      </c>
    </row>
    <row r="3" spans="1:6" ht="14.5" x14ac:dyDescent="0.35">
      <c r="A3" s="122" t="s">
        <v>5663</v>
      </c>
      <c r="B3" s="122" t="s">
        <v>5671</v>
      </c>
      <c r="C3" s="122" t="s">
        <v>5677</v>
      </c>
      <c r="D3" s="122" t="s">
        <v>5675</v>
      </c>
      <c r="E3" s="111" t="s">
        <v>5743</v>
      </c>
      <c r="F3" s="111" t="s">
        <v>5712</v>
      </c>
    </row>
  </sheetData>
  <hyperlinks>
    <hyperlink ref="F1" location="Header!A1" display="Back to Header" xr:uid="{00000000-0004-0000-07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0700-000000000000}">
          <x14:formula1>
            <xm:f>DATA!$C$49:$C$51</xm:f>
          </x14:formula1>
          <xm:sqref>E3:E20</xm:sqref>
        </x14:dataValidation>
        <x14:dataValidation type="list" allowBlank="1" showErrorMessage="1" xr:uid="{00000000-0002-0000-0700-000001000000}">
          <x14:formula1>
            <xm:f>DATA!$C$55:$C$60</xm:f>
          </x14:formula1>
          <xm:sqref>F3:F20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rm_0006"/>
  <dimension ref="A1:E8"/>
  <sheetViews>
    <sheetView showGridLines="0" workbookViewId="0">
      <selection activeCell="B9" sqref="B9"/>
    </sheetView>
  </sheetViews>
  <sheetFormatPr defaultColWidth="14.453125" defaultRowHeight="15" customHeight="1" x14ac:dyDescent="0.35"/>
  <cols>
    <col min="1" max="1" width="33.54296875" customWidth="1"/>
    <col min="2" max="2" width="19.453125" customWidth="1"/>
    <col min="3" max="3" width="31.08984375" customWidth="1"/>
    <col min="4" max="4" width="29.54296875" bestFit="1" customWidth="1"/>
    <col min="5" max="26" width="8.54296875" customWidth="1"/>
  </cols>
  <sheetData>
    <row r="1" spans="1:5" ht="14.5" x14ac:dyDescent="0.35">
      <c r="A1" s="103" t="str">
        <f>CONCATENATE("FORM ",Header!A17," - ",Header!B17)</f>
        <v>FORM 0006 - DATA MODAL DISETOR, MODAL SUMBANGAN, DAN DANA SETORAN MODAL - EKUITAS</v>
      </c>
      <c r="B1" s="134"/>
      <c r="C1" s="134"/>
      <c r="E1" s="105" t="s">
        <v>5124</v>
      </c>
    </row>
    <row r="2" spans="1:5" ht="32.25" customHeight="1" x14ac:dyDescent="0.35">
      <c r="A2" s="128" t="s">
        <v>5662</v>
      </c>
      <c r="B2" s="128" t="s">
        <v>3180</v>
      </c>
      <c r="C2" s="177" t="s">
        <v>5264</v>
      </c>
      <c r="D2" s="128" t="s">
        <v>720</v>
      </c>
      <c r="E2" s="139" t="s">
        <v>5265</v>
      </c>
    </row>
    <row r="3" spans="1:5" ht="14.5" x14ac:dyDescent="0.35">
      <c r="A3" s="122" t="s">
        <v>5663</v>
      </c>
      <c r="B3" s="122" t="s">
        <v>5678</v>
      </c>
      <c r="C3" s="122" t="s">
        <v>5749</v>
      </c>
      <c r="D3" s="122" t="s">
        <v>5909</v>
      </c>
      <c r="E3" s="122" t="s">
        <v>5292</v>
      </c>
    </row>
    <row r="4" spans="1:5" ht="14.5" x14ac:dyDescent="0.35">
      <c r="A4" s="122" t="s">
        <v>5663</v>
      </c>
      <c r="B4" s="122" t="s">
        <v>5678</v>
      </c>
      <c r="C4" s="122" t="s">
        <v>5749</v>
      </c>
      <c r="D4" s="122" t="s">
        <v>5679</v>
      </c>
      <c r="E4" s="122" t="s">
        <v>6024</v>
      </c>
    </row>
    <row r="5" spans="1:5" ht="14.5" x14ac:dyDescent="0.35">
      <c r="A5" s="122" t="s">
        <v>5663</v>
      </c>
      <c r="B5" s="122" t="s">
        <v>5678</v>
      </c>
      <c r="C5" s="122" t="s">
        <v>5749</v>
      </c>
      <c r="D5" s="122" t="s">
        <v>5910</v>
      </c>
      <c r="E5" s="122" t="s">
        <v>5292</v>
      </c>
    </row>
    <row r="8" spans="1:5" ht="15" customHeight="1" x14ac:dyDescent="0.35">
      <c r="B8" s="392" t="s">
        <v>6174</v>
      </c>
      <c r="C8" s="392" t="s">
        <v>6175</v>
      </c>
      <c r="D8" s="392" t="s">
        <v>6176</v>
      </c>
      <c r="E8" s="392" t="s">
        <v>6177</v>
      </c>
    </row>
  </sheetData>
  <hyperlinks>
    <hyperlink ref="E1" location="Header!A1" display="Back to Header" xr:uid="{00000000-0004-0000-08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0800-000000000000}">
          <x14:formula1>
            <xm:f>DATA!$C$64:$C$66</xm:f>
          </x14:formula1>
          <xm:sqref>B3:B7</xm:sqref>
        </x14:dataValidation>
        <x14:dataValidation type="list" allowBlank="1" showErrorMessage="1" xr:uid="{00000000-0002-0000-0800-000001000000}">
          <x14:formula1>
            <xm:f>DATA!$C$70:$C$72</xm:f>
          </x14:formula1>
          <xm:sqref>D3:D7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rm_0007"/>
  <dimension ref="A1:R14"/>
  <sheetViews>
    <sheetView showGridLines="0" topLeftCell="B1" zoomScaleNormal="100" workbookViewId="0">
      <selection activeCell="F4" sqref="F4"/>
    </sheetView>
  </sheetViews>
  <sheetFormatPr defaultColWidth="14.453125" defaultRowHeight="15" customHeight="1" x14ac:dyDescent="0.35"/>
  <cols>
    <col min="1" max="1" width="17" customWidth="1"/>
    <col min="2" max="2" width="26.453125" customWidth="1"/>
    <col min="3" max="3" width="26" customWidth="1"/>
    <col min="4" max="4" width="26.54296875" customWidth="1"/>
    <col min="5" max="5" width="28.90625" customWidth="1"/>
    <col min="6" max="6" width="16.453125" customWidth="1"/>
    <col min="7" max="7" width="11.54296875" customWidth="1"/>
    <col min="8" max="9" width="14.453125" customWidth="1"/>
    <col min="10" max="10" width="17.90625" customWidth="1"/>
    <col min="11" max="11" width="9.08984375" customWidth="1"/>
    <col min="12" max="12" width="49.54296875" customWidth="1"/>
    <col min="13" max="13" width="16.54296875" customWidth="1"/>
    <col min="14" max="14" width="14.08984375" customWidth="1"/>
    <col min="15" max="15" width="14.453125" customWidth="1"/>
    <col min="16" max="16" width="13.54296875" customWidth="1"/>
    <col min="17" max="17" width="14" customWidth="1"/>
    <col min="18" max="26" width="8.54296875" customWidth="1"/>
  </cols>
  <sheetData>
    <row r="1" spans="1:18" ht="14.5" x14ac:dyDescent="0.35">
      <c r="A1" s="103" t="str">
        <f>CONCATENATE("FORM ",Header!A18," - ",Header!B18)</f>
        <v>FORM 0007 - DAFTAR PINJAMAN YANG DITERIMA</v>
      </c>
      <c r="B1" s="134"/>
      <c r="C1" s="134"/>
      <c r="D1" s="105" t="s">
        <v>5124</v>
      </c>
      <c r="E1" s="104"/>
      <c r="F1" s="134"/>
      <c r="G1" s="134"/>
      <c r="H1" s="134"/>
      <c r="I1" s="134"/>
      <c r="J1" s="140"/>
      <c r="K1" s="134"/>
      <c r="L1" s="140"/>
      <c r="M1" s="134"/>
      <c r="N1" s="134"/>
      <c r="O1" s="134"/>
      <c r="P1" s="134"/>
      <c r="Q1" s="134"/>
    </row>
    <row r="2" spans="1:18" ht="15" customHeight="1" x14ac:dyDescent="0.35">
      <c r="A2" s="460" t="s">
        <v>5662</v>
      </c>
      <c r="B2" s="461" t="s">
        <v>5266</v>
      </c>
      <c r="C2" s="463" t="s">
        <v>5267</v>
      </c>
      <c r="D2" s="463" t="s">
        <v>5268</v>
      </c>
      <c r="E2" s="463" t="s">
        <v>5269</v>
      </c>
      <c r="F2" s="463" t="s">
        <v>3180</v>
      </c>
      <c r="G2" s="463" t="s">
        <v>5270</v>
      </c>
      <c r="H2" s="464" t="s">
        <v>5271</v>
      </c>
      <c r="I2" s="465"/>
      <c r="J2" s="464" t="s">
        <v>5272</v>
      </c>
      <c r="K2" s="465"/>
      <c r="L2" s="466" t="s">
        <v>5273</v>
      </c>
      <c r="M2" s="463" t="s">
        <v>5274</v>
      </c>
      <c r="N2" s="463" t="s">
        <v>5275</v>
      </c>
      <c r="O2" s="463" t="s">
        <v>5276</v>
      </c>
      <c r="P2" s="463" t="s">
        <v>5277</v>
      </c>
      <c r="Q2" s="463" t="s">
        <v>5278</v>
      </c>
      <c r="R2" s="463" t="s">
        <v>5279</v>
      </c>
    </row>
    <row r="3" spans="1:18" ht="43.5" x14ac:dyDescent="0.35">
      <c r="A3" s="399"/>
      <c r="B3" s="462"/>
      <c r="C3" s="462"/>
      <c r="D3" s="462"/>
      <c r="E3" s="462"/>
      <c r="F3" s="462"/>
      <c r="G3" s="462"/>
      <c r="H3" s="128" t="s">
        <v>5280</v>
      </c>
      <c r="I3" s="128" t="s">
        <v>5281</v>
      </c>
      <c r="J3" s="128" t="s">
        <v>5282</v>
      </c>
      <c r="K3" s="128" t="s">
        <v>5283</v>
      </c>
      <c r="L3" s="462"/>
      <c r="M3" s="462"/>
      <c r="N3" s="462"/>
      <c r="O3" s="462"/>
      <c r="P3" s="462"/>
      <c r="Q3" s="462"/>
      <c r="R3" s="462"/>
    </row>
    <row r="4" spans="1:18" ht="116" x14ac:dyDescent="0.35">
      <c r="A4" s="122" t="s">
        <v>5663</v>
      </c>
      <c r="B4" s="122" t="s">
        <v>5284</v>
      </c>
      <c r="C4" s="138" t="s">
        <v>5285</v>
      </c>
      <c r="D4" s="122" t="s">
        <v>5286</v>
      </c>
      <c r="E4" s="111" t="s">
        <v>5287</v>
      </c>
      <c r="F4" s="138" t="s">
        <v>5288</v>
      </c>
      <c r="G4" s="122" t="s">
        <v>5289</v>
      </c>
      <c r="H4" s="122">
        <v>20180101</v>
      </c>
      <c r="I4" s="122" t="s">
        <v>5290</v>
      </c>
      <c r="J4" s="122">
        <v>5.5</v>
      </c>
      <c r="K4" s="138" t="s">
        <v>5291</v>
      </c>
      <c r="L4" s="122" t="s">
        <v>5292</v>
      </c>
      <c r="M4" s="138" t="s">
        <v>5293</v>
      </c>
      <c r="N4" s="122" t="s">
        <v>5292</v>
      </c>
      <c r="O4" s="141">
        <v>1000000</v>
      </c>
      <c r="P4" s="141">
        <v>500000</v>
      </c>
      <c r="Q4" s="141">
        <v>500000</v>
      </c>
      <c r="R4" s="141">
        <v>0</v>
      </c>
    </row>
    <row r="5" spans="1:18" ht="58" x14ac:dyDescent="0.35">
      <c r="A5" s="122" t="s">
        <v>5663</v>
      </c>
      <c r="B5" s="122" t="s">
        <v>5284</v>
      </c>
      <c r="C5" s="138" t="s">
        <v>5294</v>
      </c>
      <c r="D5" s="122" t="s">
        <v>5295</v>
      </c>
      <c r="E5" s="111" t="s">
        <v>5296</v>
      </c>
      <c r="F5" s="138" t="s">
        <v>5297</v>
      </c>
      <c r="G5" s="122" t="s">
        <v>5289</v>
      </c>
      <c r="H5" s="122">
        <v>20180101</v>
      </c>
      <c r="I5" s="122" t="s">
        <v>5290</v>
      </c>
      <c r="J5" s="122">
        <v>5.5</v>
      </c>
      <c r="K5" s="138" t="s">
        <v>5299</v>
      </c>
      <c r="L5" s="122" t="s">
        <v>5292</v>
      </c>
      <c r="M5" s="138" t="s">
        <v>5300</v>
      </c>
      <c r="N5" s="122" t="s">
        <v>5292</v>
      </c>
      <c r="O5" s="141">
        <v>1000000</v>
      </c>
      <c r="P5" s="141">
        <v>500000</v>
      </c>
      <c r="Q5" s="141">
        <v>500000</v>
      </c>
      <c r="R5" s="141">
        <v>0</v>
      </c>
    </row>
    <row r="6" spans="1:18" ht="58" x14ac:dyDescent="0.35">
      <c r="A6" s="122" t="s">
        <v>5663</v>
      </c>
      <c r="B6" s="122" t="s">
        <v>5284</v>
      </c>
      <c r="C6" s="138" t="s">
        <v>5609</v>
      </c>
      <c r="D6" s="122" t="s">
        <v>5911</v>
      </c>
      <c r="E6" s="111" t="s">
        <v>5301</v>
      </c>
      <c r="F6" s="138" t="s">
        <v>5302</v>
      </c>
      <c r="G6" s="122" t="s">
        <v>5303</v>
      </c>
      <c r="H6" s="122">
        <v>20180101</v>
      </c>
      <c r="I6" s="122" t="s">
        <v>5290</v>
      </c>
      <c r="J6" s="122">
        <v>5.5</v>
      </c>
      <c r="K6" s="138" t="s">
        <v>5305</v>
      </c>
      <c r="L6" s="122" t="s">
        <v>5292</v>
      </c>
      <c r="M6" s="138" t="s">
        <v>5306</v>
      </c>
      <c r="N6" s="122" t="s">
        <v>5292</v>
      </c>
      <c r="O6" s="141">
        <v>1000000</v>
      </c>
      <c r="P6" s="141">
        <v>500000</v>
      </c>
      <c r="Q6" s="141">
        <v>500000</v>
      </c>
      <c r="R6" s="141">
        <v>0</v>
      </c>
    </row>
    <row r="7" spans="1:18" ht="58" x14ac:dyDescent="0.35">
      <c r="A7" s="122" t="s">
        <v>5663</v>
      </c>
      <c r="B7" s="122" t="s">
        <v>5284</v>
      </c>
      <c r="C7" s="138" t="s">
        <v>5609</v>
      </c>
      <c r="D7" s="122" t="s">
        <v>5911</v>
      </c>
      <c r="E7" s="111" t="s">
        <v>5301</v>
      </c>
      <c r="F7" s="138" t="s">
        <v>5302</v>
      </c>
      <c r="G7" s="122" t="s">
        <v>5303</v>
      </c>
      <c r="H7" s="122">
        <v>20180101</v>
      </c>
      <c r="I7" s="122" t="s">
        <v>5290</v>
      </c>
      <c r="J7" s="122">
        <v>5.5</v>
      </c>
      <c r="K7" s="138" t="s">
        <v>5305</v>
      </c>
      <c r="L7" s="122" t="s">
        <v>5307</v>
      </c>
      <c r="M7" s="138" t="s">
        <v>5306</v>
      </c>
      <c r="N7" s="122" t="s">
        <v>5292</v>
      </c>
      <c r="O7" s="141">
        <v>1000000</v>
      </c>
      <c r="P7" s="141">
        <v>500000</v>
      </c>
      <c r="Q7" s="141">
        <v>500000</v>
      </c>
      <c r="R7" s="141">
        <v>0</v>
      </c>
    </row>
    <row r="10" spans="1:18" ht="15" customHeight="1" x14ac:dyDescent="0.35">
      <c r="J10" s="393" t="s">
        <v>6178</v>
      </c>
      <c r="K10" s="394" t="s">
        <v>6179</v>
      </c>
    </row>
    <row r="11" spans="1:18" ht="15" customHeight="1" x14ac:dyDescent="0.35">
      <c r="J11" s="386">
        <v>10</v>
      </c>
      <c r="K11" s="371">
        <v>11</v>
      </c>
      <c r="L11" t="s">
        <v>5953</v>
      </c>
    </row>
    <row r="12" spans="1:18" ht="15" customHeight="1" x14ac:dyDescent="0.35">
      <c r="J12" s="386">
        <v>20</v>
      </c>
      <c r="K12" s="371">
        <v>12</v>
      </c>
      <c r="L12" t="s">
        <v>5291</v>
      </c>
    </row>
    <row r="13" spans="1:18" ht="15" customHeight="1" x14ac:dyDescent="0.35">
      <c r="J13" s="386">
        <v>30</v>
      </c>
      <c r="K13" s="371">
        <v>21</v>
      </c>
      <c r="L13" t="s">
        <v>5299</v>
      </c>
    </row>
    <row r="14" spans="1:18" ht="15" customHeight="1" x14ac:dyDescent="0.35">
      <c r="J14" s="386">
        <v>40</v>
      </c>
      <c r="K14" s="371">
        <v>22</v>
      </c>
      <c r="L14" t="s">
        <v>5305</v>
      </c>
    </row>
  </sheetData>
  <mergeCells count="16">
    <mergeCell ref="R2:R3"/>
    <mergeCell ref="M2:M3"/>
    <mergeCell ref="N2:N3"/>
    <mergeCell ref="O2:O3"/>
    <mergeCell ref="P2:P3"/>
    <mergeCell ref="Q2:Q3"/>
    <mergeCell ref="F2:F3"/>
    <mergeCell ref="G2:G3"/>
    <mergeCell ref="H2:I2"/>
    <mergeCell ref="J2:K2"/>
    <mergeCell ref="L2:L3"/>
    <mergeCell ref="A2:A3"/>
    <mergeCell ref="B2:B3"/>
    <mergeCell ref="C2:C3"/>
    <mergeCell ref="D2:D3"/>
    <mergeCell ref="E2:E3"/>
  </mergeCells>
  <hyperlinks>
    <hyperlink ref="D1" location="Header!A1" display="Back to Header" xr:uid="{00000000-0004-0000-09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7">
        <x14:dataValidation type="list" allowBlank="1" showErrorMessage="1" xr:uid="{00000000-0002-0000-0900-000000000000}">
          <x14:formula1>
            <xm:f>DATA!$C$123:$C$126</xm:f>
          </x14:formula1>
          <xm:sqref>K4:K9 K11:K26</xm:sqref>
        </x14:dataValidation>
        <x14:dataValidation type="list" allowBlank="1" showErrorMessage="1" xr:uid="{00000000-0002-0000-0900-000001000000}">
          <x14:formula1>
            <xm:f>DATA!$C$108:$C$114</xm:f>
          </x14:formula1>
          <xm:sqref>F4:F26</xm:sqref>
        </x14:dataValidation>
        <x14:dataValidation type="list" allowBlank="1" showErrorMessage="1" xr:uid="{00000000-0002-0000-0900-000003000000}">
          <x14:formula1>
            <xm:f>DATA!$C$130:$C$147</xm:f>
          </x14:formula1>
          <xm:sqref>M4:M26</xm:sqref>
        </x14:dataValidation>
        <x14:dataValidation type="list" allowBlank="1" showErrorMessage="1" xr:uid="{00000000-0002-0000-0900-000004000000}">
          <x14:formula1>
            <xm:f>DATA!$G$4:$G$566</xm:f>
          </x14:formula1>
          <xm:sqref>E4:E26</xm:sqref>
        </x14:dataValidation>
        <x14:dataValidation type="list" allowBlank="1" showErrorMessage="1" xr:uid="{00000000-0002-0000-0900-000005000000}">
          <x14:formula1>
            <xm:f>DATA!$C$118:$C$119</xm:f>
          </x14:formula1>
          <xm:sqref>G4:G26</xm:sqref>
        </x14:dataValidation>
        <x14:dataValidation type="list" allowBlank="1" showErrorMessage="1" xr:uid="{00000000-0002-0000-0900-000006000000}">
          <x14:formula1>
            <xm:f>DATA!$C$76:$C$102</xm:f>
          </x14:formula1>
          <xm:sqref>C4:C26</xm:sqref>
        </x14:dataValidation>
        <x14:dataValidation type="list" allowBlank="1" showErrorMessage="1" xr:uid="{00000000-0002-0000-0900-000002000000}">
          <x14:formula1>
            <xm:f>DATA!$K$4:$K$2004</xm:f>
          </x14:formula1>
          <xm:sqref>D4:D26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rm_0008">
    <tabColor rgb="FF99FF33"/>
  </sheetPr>
  <dimension ref="A1:C11"/>
  <sheetViews>
    <sheetView showGridLines="0" workbookViewId="0">
      <selection activeCell="E18" sqref="E18"/>
    </sheetView>
  </sheetViews>
  <sheetFormatPr defaultColWidth="14.453125" defaultRowHeight="15" customHeight="1" x14ac:dyDescent="0.35"/>
  <cols>
    <col min="1" max="1" width="50.54296875" customWidth="1"/>
    <col min="2" max="2" width="5.90625" customWidth="1"/>
    <col min="3" max="3" width="13.90625" customWidth="1"/>
    <col min="4" max="26" width="8.54296875" customWidth="1"/>
  </cols>
  <sheetData>
    <row r="1" spans="1:3" ht="14.5" x14ac:dyDescent="0.35">
      <c r="A1" s="103" t="str">
        <f>CONCATENATE("FORM ",Header!A19," - ",Header!B19)</f>
        <v>FORM 0008 - RASIO KEUANGAN TRIWULANAN</v>
      </c>
      <c r="B1" s="105" t="s">
        <v>5124</v>
      </c>
      <c r="C1" s="137"/>
    </row>
    <row r="2" spans="1:3" ht="30" customHeight="1" x14ac:dyDescent="0.35">
      <c r="A2" s="107" t="s">
        <v>5390</v>
      </c>
      <c r="B2" s="107" t="s">
        <v>2</v>
      </c>
      <c r="C2" s="130" t="s">
        <v>5308</v>
      </c>
    </row>
    <row r="3" spans="1:3" ht="14.5" x14ac:dyDescent="0.35">
      <c r="A3" s="109" t="s">
        <v>5309</v>
      </c>
      <c r="B3" s="142" t="s">
        <v>5080</v>
      </c>
      <c r="C3" s="122" t="s">
        <v>5310</v>
      </c>
    </row>
    <row r="4" spans="1:3" ht="14.5" x14ac:dyDescent="0.35">
      <c r="A4" s="191" t="s">
        <v>5739</v>
      </c>
      <c r="B4" s="143" t="s">
        <v>419</v>
      </c>
      <c r="C4" s="125" t="s">
        <v>5298</v>
      </c>
    </row>
    <row r="5" spans="1:3" ht="14.5" x14ac:dyDescent="0.35">
      <c r="A5" s="109" t="s">
        <v>5311</v>
      </c>
      <c r="B5" s="142" t="s">
        <v>429</v>
      </c>
      <c r="C5" s="122" t="s">
        <v>5304</v>
      </c>
    </row>
    <row r="6" spans="1:3" ht="14.5" x14ac:dyDescent="0.35">
      <c r="A6" s="109" t="s">
        <v>5312</v>
      </c>
      <c r="B6" s="142" t="s">
        <v>441</v>
      </c>
      <c r="C6" s="122" t="s">
        <v>5313</v>
      </c>
    </row>
    <row r="7" spans="1:3" ht="14.5" x14ac:dyDescent="0.35">
      <c r="A7" s="144" t="s">
        <v>5912</v>
      </c>
      <c r="B7" s="142" t="s">
        <v>5314</v>
      </c>
      <c r="C7" s="122" t="s">
        <v>5315</v>
      </c>
    </row>
    <row r="8" spans="1:3" ht="29" x14ac:dyDescent="0.35">
      <c r="A8" s="145" t="s">
        <v>5316</v>
      </c>
      <c r="B8" s="142" t="s">
        <v>5317</v>
      </c>
      <c r="C8" s="122" t="s">
        <v>5318</v>
      </c>
    </row>
    <row r="9" spans="1:3" ht="14.5" x14ac:dyDescent="0.35">
      <c r="A9" s="145" t="s">
        <v>5319</v>
      </c>
      <c r="B9" s="142" t="s">
        <v>5320</v>
      </c>
      <c r="C9" s="122" t="s">
        <v>5321</v>
      </c>
    </row>
    <row r="10" spans="1:3" ht="14.5" x14ac:dyDescent="0.35">
      <c r="A10" s="109" t="s">
        <v>5913</v>
      </c>
      <c r="B10" s="142" t="s">
        <v>559</v>
      </c>
      <c r="C10" s="122" t="s">
        <v>5322</v>
      </c>
    </row>
    <row r="11" spans="1:3" ht="14.5" x14ac:dyDescent="0.35">
      <c r="A11" s="144" t="s">
        <v>5323</v>
      </c>
      <c r="B11" s="142" t="s">
        <v>567</v>
      </c>
      <c r="C11" s="122" t="s">
        <v>5324</v>
      </c>
    </row>
  </sheetData>
  <hyperlinks>
    <hyperlink ref="B1" location="Header!A1" display="Back to Header" xr:uid="{00000000-0004-0000-0A00-000000000000}"/>
  </hyperlinks>
  <pageMargins left="0.7" right="0.7" top="0.75" bottom="0.75" header="0" footer="0"/>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rm_0009"/>
  <dimension ref="A1:N4"/>
  <sheetViews>
    <sheetView showGridLines="0" workbookViewId="0">
      <selection activeCell="F2" sqref="F2:I2"/>
    </sheetView>
  </sheetViews>
  <sheetFormatPr defaultColWidth="14.453125" defaultRowHeight="15" customHeight="1" x14ac:dyDescent="0.35"/>
  <cols>
    <col min="1" max="13" width="25.54296875" customWidth="1"/>
    <col min="14" max="27" width="8.54296875" customWidth="1"/>
  </cols>
  <sheetData>
    <row r="1" spans="1:14" thickBot="1" x14ac:dyDescent="0.4">
      <c r="A1" s="103" t="str">
        <f>CONCATENATE("FORM ",Header!A20," - ",Header!B20)</f>
        <v>FORM 0009 - DATA ANGGOTA DIREKSI DAN ANGGOTA DEWAN KOMISARIS YANG BERHENTI MENJABAT</v>
      </c>
      <c r="B1" s="134"/>
      <c r="C1" s="134"/>
      <c r="D1" s="134"/>
      <c r="E1" s="105" t="s">
        <v>5124</v>
      </c>
      <c r="F1" s="134"/>
      <c r="G1" s="134"/>
      <c r="H1" s="134"/>
      <c r="I1" s="134"/>
      <c r="J1" s="134"/>
      <c r="K1" s="134"/>
      <c r="L1" s="134"/>
      <c r="M1" s="134"/>
    </row>
    <row r="2" spans="1:14" ht="59.25" customHeight="1" thickBot="1" x14ac:dyDescent="0.4">
      <c r="A2" s="417" t="s">
        <v>5662</v>
      </c>
      <c r="B2" s="417" t="s">
        <v>5147</v>
      </c>
      <c r="C2" s="417" t="s">
        <v>5203</v>
      </c>
      <c r="D2" s="417" t="s">
        <v>5204</v>
      </c>
      <c r="E2" s="426" t="s">
        <v>5205</v>
      </c>
      <c r="F2" s="467" t="s">
        <v>365</v>
      </c>
      <c r="G2" s="468"/>
      <c r="H2" s="468"/>
      <c r="I2" s="469"/>
      <c r="J2" s="428" t="s">
        <v>5210</v>
      </c>
      <c r="K2" s="417" t="s">
        <v>5211</v>
      </c>
      <c r="L2" s="417" t="s">
        <v>5325</v>
      </c>
      <c r="M2" s="417" t="s">
        <v>5867</v>
      </c>
      <c r="N2" s="417" t="s">
        <v>5326</v>
      </c>
    </row>
    <row r="3" spans="1:14" ht="29.5" thickBot="1" x14ac:dyDescent="0.4">
      <c r="A3" s="418"/>
      <c r="B3" s="418"/>
      <c r="C3" s="418"/>
      <c r="D3" s="418"/>
      <c r="E3" s="418"/>
      <c r="F3" s="218" t="s">
        <v>5223</v>
      </c>
      <c r="G3" s="218" t="s">
        <v>5224</v>
      </c>
      <c r="H3" s="218" t="s">
        <v>5225</v>
      </c>
      <c r="I3" s="218" t="s">
        <v>5226</v>
      </c>
      <c r="J3" s="418"/>
      <c r="K3" s="418"/>
      <c r="L3" s="418"/>
      <c r="M3" s="418"/>
      <c r="N3" s="418"/>
    </row>
    <row r="4" spans="1:14" ht="14.5" x14ac:dyDescent="0.35">
      <c r="A4" s="122" t="s">
        <v>5663</v>
      </c>
      <c r="B4" s="122" t="s">
        <v>5327</v>
      </c>
      <c r="C4" s="122" t="s">
        <v>5328</v>
      </c>
      <c r="D4" s="122" t="s">
        <v>5329</v>
      </c>
      <c r="E4" s="122" t="s">
        <v>5330</v>
      </c>
      <c r="F4" s="122" t="s">
        <v>5331</v>
      </c>
      <c r="G4" s="122" t="s">
        <v>5331</v>
      </c>
      <c r="H4" s="122" t="s">
        <v>5331</v>
      </c>
      <c r="I4" s="122" t="s">
        <v>5673</v>
      </c>
      <c r="J4" s="122"/>
      <c r="K4" s="122" t="s">
        <v>104</v>
      </c>
      <c r="L4" s="136" t="s">
        <v>5332</v>
      </c>
      <c r="M4" s="122" t="s">
        <v>5333</v>
      </c>
      <c r="N4" s="122" t="s">
        <v>5334</v>
      </c>
    </row>
  </sheetData>
  <mergeCells count="11">
    <mergeCell ref="F2:I2"/>
    <mergeCell ref="N2:N3"/>
    <mergeCell ref="J2:J3"/>
    <mergeCell ref="K2:K3"/>
    <mergeCell ref="L2:L3"/>
    <mergeCell ref="M2:M3"/>
    <mergeCell ref="A2:A3"/>
    <mergeCell ref="B2:B3"/>
    <mergeCell ref="C2:C3"/>
    <mergeCell ref="D2:D3"/>
    <mergeCell ref="E2:E3"/>
  </mergeCells>
  <hyperlinks>
    <hyperlink ref="E1" location="Header!A1" display="Back to Header" xr:uid="{00000000-0004-0000-0B00-000000000000}"/>
  </hyperlinks>
  <pageMargins left="0.7" right="0.7" top="0.75" bottom="0.75" header="0" footer="0"/>
  <pageSetup paperSize="9" orientation="portrait"/>
  <legacyDrawing r:id="rId1"/>
  <extLst>
    <ext xmlns:x14="http://schemas.microsoft.com/office/spreadsheetml/2009/9/main" uri="{CCE6A557-97BC-4b89-ADB6-D9C93CAAB3DF}">
      <x14:dataValidations xmlns:xm="http://schemas.microsoft.com/office/excel/2006/main" count="4">
        <x14:dataValidation type="list" allowBlank="1" showErrorMessage="1" xr:uid="{00000000-0002-0000-0B00-000000000000}">
          <x14:formula1>
            <xm:f>DATA!$A$10:$A$11</xm:f>
          </x14:formula1>
          <xm:sqref>J4:K29</xm:sqref>
        </x14:dataValidation>
        <x14:dataValidation type="list" allowBlank="1" showErrorMessage="1" xr:uid="{00000000-0002-0000-0B00-000001000000}">
          <x14:formula1>
            <xm:f>DATA!$C$548:$C$550</xm:f>
          </x14:formula1>
          <xm:sqref>L4:L29</xm:sqref>
        </x14:dataValidation>
        <x14:dataValidation type="list" allowBlank="1" showErrorMessage="1" xr:uid="{00000000-0002-0000-0B00-000002000000}">
          <x14:formula1>
            <xm:f>DATA!$C$15:$C$18</xm:f>
          </x14:formula1>
          <xm:sqref>D4:D29</xm:sqref>
        </x14:dataValidation>
        <x14:dataValidation type="list" allowBlank="1" showErrorMessage="1" xr:uid="{00000000-0002-0000-0B00-000003000000}">
          <x14:formula1>
            <xm:f>DATA!$C$31:$C$33</xm:f>
          </x14:formula1>
          <xm:sqref>F4:I29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orm_0010"/>
  <dimension ref="A1:S4"/>
  <sheetViews>
    <sheetView showGridLines="0" workbookViewId="0">
      <selection activeCell="A8" sqref="A8"/>
    </sheetView>
  </sheetViews>
  <sheetFormatPr defaultColWidth="14.453125" defaultRowHeight="15" customHeight="1" x14ac:dyDescent="0.35"/>
  <cols>
    <col min="1" max="18" width="25.54296875" customWidth="1"/>
    <col min="19" max="27" width="8.54296875" customWidth="1"/>
  </cols>
  <sheetData>
    <row r="1" spans="1:19" thickBot="1" x14ac:dyDescent="0.4">
      <c r="A1" s="103" t="str">
        <f>CONCATENATE("FORM ",Header!A21," - ",Header!B21)</f>
        <v>FORM 0010 - DATA PEJABAT EKSEKUTIF BPR YANG BERHENTI MENJABAT</v>
      </c>
      <c r="B1" s="134"/>
      <c r="C1" s="134"/>
      <c r="D1" s="105" t="s">
        <v>5124</v>
      </c>
      <c r="E1" s="134"/>
      <c r="F1" s="134"/>
      <c r="G1" s="134"/>
      <c r="H1" s="134"/>
      <c r="I1" s="140"/>
      <c r="J1" s="134"/>
      <c r="K1" s="140"/>
    </row>
    <row r="2" spans="1:19" ht="15" customHeight="1" thickBot="1" x14ac:dyDescent="0.4">
      <c r="A2" s="417" t="s">
        <v>5662</v>
      </c>
      <c r="B2" s="417" t="s">
        <v>5147</v>
      </c>
      <c r="C2" s="417" t="s">
        <v>5203</v>
      </c>
      <c r="D2" s="419" t="s">
        <v>5204</v>
      </c>
      <c r="E2" s="421"/>
      <c r="F2" s="421"/>
      <c r="G2" s="421"/>
      <c r="H2" s="420"/>
      <c r="I2" s="417" t="s">
        <v>5205</v>
      </c>
      <c r="J2" s="419" t="s">
        <v>5227</v>
      </c>
      <c r="K2" s="421"/>
      <c r="L2" s="467" t="s">
        <v>365</v>
      </c>
      <c r="M2" s="468"/>
      <c r="N2" s="468"/>
      <c r="O2" s="469"/>
      <c r="P2" s="428" t="s">
        <v>5325</v>
      </c>
      <c r="Q2" s="417" t="s">
        <v>5335</v>
      </c>
      <c r="R2" s="419" t="s">
        <v>5336</v>
      </c>
      <c r="S2" s="421"/>
    </row>
    <row r="3" spans="1:19" ht="29.5" thickBot="1" x14ac:dyDescent="0.4">
      <c r="A3" s="418"/>
      <c r="B3" s="418"/>
      <c r="C3" s="418"/>
      <c r="D3" s="218" t="s">
        <v>5228</v>
      </c>
      <c r="E3" s="218" t="s">
        <v>5229</v>
      </c>
      <c r="F3" s="218" t="s">
        <v>5337</v>
      </c>
      <c r="G3" s="218" t="s">
        <v>5230</v>
      </c>
      <c r="H3" s="218" t="s">
        <v>331</v>
      </c>
      <c r="I3" s="418"/>
      <c r="J3" s="218" t="s">
        <v>20</v>
      </c>
      <c r="K3" s="218" t="s">
        <v>5231</v>
      </c>
      <c r="L3" s="218" t="s">
        <v>5223</v>
      </c>
      <c r="M3" s="218" t="s">
        <v>5224</v>
      </c>
      <c r="N3" s="218" t="s">
        <v>5225</v>
      </c>
      <c r="O3" s="218" t="s">
        <v>5226</v>
      </c>
      <c r="P3" s="418"/>
      <c r="Q3" s="418"/>
      <c r="R3" s="218" t="s">
        <v>20</v>
      </c>
      <c r="S3" s="218" t="s">
        <v>5231</v>
      </c>
    </row>
    <row r="4" spans="1:19" ht="14.5" x14ac:dyDescent="0.35">
      <c r="A4" s="122" t="s">
        <v>5663</v>
      </c>
      <c r="B4" s="122" t="s">
        <v>5327</v>
      </c>
      <c r="C4" s="122" t="s">
        <v>5338</v>
      </c>
      <c r="D4" s="122" t="s">
        <v>5339</v>
      </c>
      <c r="E4" s="122" t="s">
        <v>5339</v>
      </c>
      <c r="F4" s="122" t="s">
        <v>5339</v>
      </c>
      <c r="G4" s="122" t="s">
        <v>5339</v>
      </c>
      <c r="H4" s="122" t="s">
        <v>5339</v>
      </c>
      <c r="I4" s="122" t="s">
        <v>5290</v>
      </c>
      <c r="J4" s="122" t="s">
        <v>5340</v>
      </c>
      <c r="K4" s="122" t="s">
        <v>5341</v>
      </c>
      <c r="L4" s="122" t="s">
        <v>5331</v>
      </c>
      <c r="M4" s="122" t="s">
        <v>5331</v>
      </c>
      <c r="N4" s="122" t="s">
        <v>5331</v>
      </c>
      <c r="O4" s="122" t="s">
        <v>5331</v>
      </c>
      <c r="P4" s="136" t="s">
        <v>5332</v>
      </c>
      <c r="Q4" s="122" t="s">
        <v>5342</v>
      </c>
      <c r="R4" s="122" t="s">
        <v>5343</v>
      </c>
      <c r="S4" s="122" t="s">
        <v>5344</v>
      </c>
    </row>
  </sheetData>
  <mergeCells count="10">
    <mergeCell ref="J2:K2"/>
    <mergeCell ref="P2:P3"/>
    <mergeCell ref="Q2:Q3"/>
    <mergeCell ref="R2:S2"/>
    <mergeCell ref="L2:O2"/>
    <mergeCell ref="A2:A3"/>
    <mergeCell ref="B2:B3"/>
    <mergeCell ref="C2:C3"/>
    <mergeCell ref="D2:H2"/>
    <mergeCell ref="I2:I3"/>
  </mergeCells>
  <hyperlinks>
    <hyperlink ref="D1" location="Header!A1" display="Back to Header" xr:uid="{00000000-0004-0000-0C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3">
        <x14:dataValidation type="list" allowBlank="1" showErrorMessage="1" xr:uid="{00000000-0002-0000-0C00-000000000000}">
          <x14:formula1>
            <xm:f>DATA!$C$548:$C$550</xm:f>
          </x14:formula1>
          <xm:sqref>P4:P29</xm:sqref>
        </x14:dataValidation>
        <x14:dataValidation type="list" allowBlank="1" showErrorMessage="1" xr:uid="{00000000-0002-0000-0C00-000001000000}">
          <x14:formula1>
            <xm:f>DATA!$C$37:$C$39</xm:f>
          </x14:formula1>
          <xm:sqref>D4:H29</xm:sqref>
        </x14:dataValidation>
        <x14:dataValidation type="list" allowBlank="1" showErrorMessage="1" xr:uid="{00000000-0002-0000-0C00-000002000000}">
          <x14:formula1>
            <xm:f>DATA!$C$31:$C$33</xm:f>
          </x14:formula1>
          <xm:sqref>L4:O29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orm_0011">
    <tabColor rgb="FF99FF33"/>
  </sheetPr>
  <dimension ref="A1:Q12"/>
  <sheetViews>
    <sheetView showGridLines="0" zoomScaleNormal="100" workbookViewId="0">
      <selection activeCell="F10" sqref="F10"/>
    </sheetView>
  </sheetViews>
  <sheetFormatPr defaultColWidth="14.453125" defaultRowHeight="15" customHeight="1" x14ac:dyDescent="0.35"/>
  <cols>
    <col min="1" max="1" width="9.90625" customWidth="1"/>
    <col min="2" max="2" width="9.453125" bestFit="1" customWidth="1"/>
    <col min="3" max="3" width="15.1796875" bestFit="1" customWidth="1"/>
    <col min="4" max="4" width="17.54296875" bestFit="1" customWidth="1"/>
    <col min="5" max="5" width="23.08984375" bestFit="1" customWidth="1"/>
    <col min="6" max="6" width="15.81640625" bestFit="1" customWidth="1"/>
    <col min="7" max="7" width="10" bestFit="1" customWidth="1"/>
    <col min="8" max="8" width="6.81640625" bestFit="1" customWidth="1"/>
    <col min="9" max="9" width="14.54296875" bestFit="1" customWidth="1"/>
    <col min="10" max="10" width="10.90625" bestFit="1" customWidth="1"/>
    <col min="11" max="11" width="41.81640625" bestFit="1" customWidth="1"/>
    <col min="12" max="12" width="14.36328125" bestFit="1" customWidth="1"/>
    <col min="13" max="13" width="18.90625" bestFit="1" customWidth="1"/>
    <col min="14" max="14" width="18" bestFit="1" customWidth="1"/>
    <col min="15" max="15" width="16" bestFit="1" customWidth="1"/>
    <col min="16" max="20" width="8.54296875" customWidth="1"/>
  </cols>
  <sheetData>
    <row r="1" spans="1:17" thickBot="1" x14ac:dyDescent="0.4">
      <c r="A1" s="103" t="str">
        <f>CONCATENATE("FORM ",Header!A22," - ",Header!B22)</f>
        <v>FORM 0011 - DATA KANTOR SELAIN KANTOR PUSAT DAN KANTOR CABANG DAN TERMINAL PERBANKAN ELEKTRONIK</v>
      </c>
      <c r="B1" s="134"/>
      <c r="C1" s="134"/>
      <c r="E1" s="134"/>
      <c r="H1" s="134"/>
      <c r="I1" s="105" t="s">
        <v>5124</v>
      </c>
      <c r="J1" s="134"/>
      <c r="K1" s="140"/>
      <c r="O1" s="134"/>
    </row>
    <row r="2" spans="1:17" ht="29.25" customHeight="1" x14ac:dyDescent="0.35">
      <c r="A2" s="472" t="s">
        <v>5662</v>
      </c>
      <c r="B2" s="472" t="s">
        <v>3180</v>
      </c>
      <c r="C2" s="474" t="s">
        <v>6065</v>
      </c>
      <c r="D2" s="417" t="s">
        <v>5345</v>
      </c>
      <c r="E2" s="474" t="s">
        <v>6063</v>
      </c>
      <c r="F2" s="474" t="s">
        <v>5233</v>
      </c>
      <c r="G2" s="417" t="s">
        <v>5346</v>
      </c>
      <c r="H2" s="417" t="s">
        <v>5189</v>
      </c>
      <c r="I2" s="417" t="s">
        <v>5236</v>
      </c>
      <c r="J2" s="417" t="s">
        <v>5136</v>
      </c>
      <c r="K2" s="476" t="s">
        <v>6064</v>
      </c>
      <c r="L2" s="417" t="s">
        <v>5244</v>
      </c>
      <c r="M2" s="470" t="s">
        <v>5347</v>
      </c>
      <c r="N2" s="470" t="s">
        <v>5348</v>
      </c>
      <c r="O2" s="470" t="s">
        <v>6085</v>
      </c>
      <c r="P2" s="126"/>
      <c r="Q2" s="126"/>
    </row>
    <row r="3" spans="1:17" ht="15" customHeight="1" thickBot="1" x14ac:dyDescent="0.4">
      <c r="A3" s="473"/>
      <c r="B3" s="473"/>
      <c r="C3" s="475"/>
      <c r="D3" s="418"/>
      <c r="E3" s="475"/>
      <c r="F3" s="475"/>
      <c r="G3" s="418"/>
      <c r="H3" s="418"/>
      <c r="I3" s="418"/>
      <c r="J3" s="418"/>
      <c r="K3" s="477"/>
      <c r="L3" s="418"/>
      <c r="M3" s="471"/>
      <c r="N3" s="471"/>
      <c r="O3" s="471"/>
      <c r="P3" s="126"/>
      <c r="Q3" s="126"/>
    </row>
    <row r="4" spans="1:17" ht="72.5" x14ac:dyDescent="0.35">
      <c r="A4" s="122" t="s">
        <v>5663</v>
      </c>
      <c r="B4" s="136" t="s">
        <v>6038</v>
      </c>
      <c r="C4" s="122" t="s">
        <v>192</v>
      </c>
      <c r="D4" s="122" t="s">
        <v>783</v>
      </c>
      <c r="E4" s="122"/>
      <c r="F4" s="122" t="s">
        <v>5748</v>
      </c>
      <c r="G4" s="122" t="s">
        <v>5683</v>
      </c>
      <c r="H4" s="122" t="s">
        <v>5675</v>
      </c>
      <c r="I4" s="122" t="s">
        <v>5737</v>
      </c>
      <c r="J4" s="122" t="s">
        <v>5738</v>
      </c>
      <c r="K4" s="136" t="s">
        <v>6039</v>
      </c>
      <c r="L4" s="122" t="s">
        <v>5736</v>
      </c>
      <c r="M4" s="132">
        <v>111</v>
      </c>
      <c r="N4" s="122" t="s">
        <v>5736</v>
      </c>
      <c r="O4" s="132" t="s">
        <v>5719</v>
      </c>
    </row>
    <row r="5" spans="1:17" ht="14.5" x14ac:dyDescent="0.35">
      <c r="A5" s="122"/>
      <c r="B5" s="122"/>
      <c r="C5" s="122"/>
      <c r="D5" s="122"/>
      <c r="E5" s="138"/>
      <c r="F5" s="122"/>
      <c r="G5" s="122"/>
      <c r="H5" s="122"/>
      <c r="I5" s="122"/>
      <c r="J5" s="138"/>
      <c r="K5" s="122"/>
      <c r="L5" s="138"/>
      <c r="M5" s="132"/>
      <c r="N5" s="132"/>
      <c r="O5" s="132"/>
    </row>
    <row r="6" spans="1:17" ht="14.5" x14ac:dyDescent="0.35">
      <c r="A6" s="122"/>
      <c r="B6" s="122"/>
      <c r="C6" s="122"/>
      <c r="D6" s="122"/>
      <c r="E6" s="138"/>
      <c r="F6" s="122"/>
      <c r="G6" s="122"/>
      <c r="H6" s="122"/>
      <c r="I6" s="122"/>
      <c r="J6" s="138"/>
      <c r="K6" s="122"/>
      <c r="L6" s="138"/>
      <c r="M6" s="132"/>
      <c r="N6" s="132"/>
      <c r="O6" s="132"/>
    </row>
    <row r="7" spans="1:17" ht="14.5" x14ac:dyDescent="0.35">
      <c r="A7" s="134"/>
      <c r="B7" s="134"/>
      <c r="C7" s="134"/>
      <c r="D7" s="140"/>
      <c r="E7" s="134"/>
      <c r="F7" s="134"/>
      <c r="G7" s="134"/>
      <c r="H7" s="134"/>
      <c r="I7" s="140"/>
      <c r="J7" s="134"/>
      <c r="K7" s="140"/>
    </row>
    <row r="8" spans="1:17" ht="14.5" x14ac:dyDescent="0.35">
      <c r="A8" s="134"/>
      <c r="B8" s="134"/>
      <c r="C8" s="134"/>
      <c r="D8" s="140"/>
      <c r="E8" s="134"/>
      <c r="F8" s="134"/>
      <c r="G8" s="134"/>
      <c r="H8" s="134"/>
      <c r="I8" s="140"/>
      <c r="J8" s="134"/>
      <c r="K8" s="140"/>
    </row>
    <row r="9" spans="1:17" ht="14.5" x14ac:dyDescent="0.35">
      <c r="A9" s="134"/>
      <c r="B9" s="134"/>
      <c r="C9" s="134"/>
      <c r="D9" s="140"/>
      <c r="E9" s="134"/>
      <c r="F9" s="134"/>
      <c r="G9" s="134"/>
      <c r="H9" s="134"/>
      <c r="I9" s="140"/>
      <c r="J9" s="134"/>
      <c r="K9" s="140"/>
    </row>
    <row r="10" spans="1:17" ht="15" customHeight="1" x14ac:dyDescent="0.35">
      <c r="B10" t="s">
        <v>6180</v>
      </c>
      <c r="C10" t="s">
        <v>6181</v>
      </c>
      <c r="D10" t="s">
        <v>6182</v>
      </c>
      <c r="E10" t="s">
        <v>6183</v>
      </c>
      <c r="F10" t="s">
        <v>6184</v>
      </c>
      <c r="G10" t="s">
        <v>6185</v>
      </c>
      <c r="H10" t="s">
        <v>6139</v>
      </c>
      <c r="I10" t="s">
        <v>6186</v>
      </c>
      <c r="J10" t="s">
        <v>6187</v>
      </c>
      <c r="K10" t="s">
        <v>6188</v>
      </c>
      <c r="L10" t="s">
        <v>6157</v>
      </c>
      <c r="M10" t="s">
        <v>6189</v>
      </c>
      <c r="N10" t="s">
        <v>6190</v>
      </c>
      <c r="O10" t="s">
        <v>6191</v>
      </c>
    </row>
    <row r="12" spans="1:17" ht="15" customHeight="1" x14ac:dyDescent="0.35">
      <c r="B12" t="s">
        <v>6192</v>
      </c>
    </row>
  </sheetData>
  <mergeCells count="15">
    <mergeCell ref="O2:O3"/>
    <mergeCell ref="A2:A3"/>
    <mergeCell ref="B2:B3"/>
    <mergeCell ref="C2:C3"/>
    <mergeCell ref="D2:D3"/>
    <mergeCell ref="E2:E3"/>
    <mergeCell ref="K2:K3"/>
    <mergeCell ref="L2:L3"/>
    <mergeCell ref="M2:M3"/>
    <mergeCell ref="N2:N3"/>
    <mergeCell ref="F2:F3"/>
    <mergeCell ref="G2:G3"/>
    <mergeCell ref="H2:H3"/>
    <mergeCell ref="I2:I3"/>
    <mergeCell ref="J2:J3"/>
  </mergeCells>
  <hyperlinks>
    <hyperlink ref="I1" location="Header!A1" display="Back to Header" xr:uid="{00000000-0004-0000-0D00-000000000000}"/>
  </hyperlinks>
  <pageMargins left="0.7" right="0.7" top="0.75" bottom="0.75" header="0" footer="0"/>
  <pageSetup paperSize="9" orientation="portrait" r:id="rId1"/>
  <extLst>
    <ext xmlns:x14="http://schemas.microsoft.com/office/spreadsheetml/2009/9/main" uri="{CCE6A557-97BC-4b89-ADB6-D9C93CAAB3DF}">
      <x14:dataValidations xmlns:xm="http://schemas.microsoft.com/office/excel/2006/main" count="3">
        <x14:dataValidation type="list" allowBlank="1" showErrorMessage="1" xr:uid="{00000000-0002-0000-0D00-000000000000}">
          <x14:formula1>
            <xm:f>DATA!$C$555:$C$562</xm:f>
          </x14:formula1>
          <xm:sqref>B4</xm:sqref>
        </x14:dataValidation>
        <x14:dataValidation type="list" allowBlank="1" showErrorMessage="1" xr:uid="{00000000-0002-0000-0D00-000001000000}">
          <x14:formula1>
            <xm:f>DATA!$C$566:$C$569</xm:f>
          </x14:formula1>
          <xm:sqref>K4</xm:sqref>
        </x14:dataValidation>
        <x14:dataValidation type="list" allowBlank="1" showErrorMessage="1" xr:uid="{984AD1E9-59FD-419E-B692-4D0AC8DDD299}">
          <x14:formula1>
            <xm:f>DATA!$G$5:$G$566</xm:f>
          </x14:formula1>
          <xm:sqref>O4:O6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orm_0012">
    <tabColor rgb="FFFFFF00"/>
  </sheetPr>
  <dimension ref="A1:I4"/>
  <sheetViews>
    <sheetView showGridLines="0" workbookViewId="0">
      <selection activeCell="G13" sqref="G13"/>
    </sheetView>
  </sheetViews>
  <sheetFormatPr defaultColWidth="14.453125" defaultRowHeight="15" customHeight="1" x14ac:dyDescent="0.35"/>
  <cols>
    <col min="1" max="1" width="14.54296875" customWidth="1"/>
    <col min="2" max="2" width="25.54296875" customWidth="1"/>
    <col min="3" max="3" width="17.54296875" customWidth="1"/>
    <col min="4" max="4" width="14.08984375" customWidth="1"/>
    <col min="5" max="5" width="9.54296875" customWidth="1"/>
    <col min="6" max="6" width="15" customWidth="1"/>
    <col min="7" max="7" width="19.08984375" customWidth="1"/>
    <col min="8" max="8" width="13.54296875" customWidth="1"/>
    <col min="9" max="9" width="17.90625" customWidth="1"/>
    <col min="10" max="26" width="8.54296875" customWidth="1"/>
  </cols>
  <sheetData>
    <row r="1" spans="1:9" thickBot="1" x14ac:dyDescent="0.4">
      <c r="A1" s="103" t="str">
        <f>CONCATENATE("FORM ",Header!A23," - ",Header!B23)</f>
        <v>FORM 0012 - DATA PENUTUPAN KANTOR DAN TERMINAL PERBANKAN ELEKTRONIK</v>
      </c>
      <c r="B1" s="134"/>
      <c r="C1" s="134"/>
      <c r="E1" s="134"/>
      <c r="F1" s="134"/>
      <c r="G1" s="105" t="s">
        <v>5124</v>
      </c>
    </row>
    <row r="2" spans="1:9" ht="15" customHeight="1" x14ac:dyDescent="0.35">
      <c r="A2" s="478" t="s">
        <v>5662</v>
      </c>
      <c r="B2" s="478" t="s">
        <v>3180</v>
      </c>
      <c r="C2" s="463" t="s">
        <v>5350</v>
      </c>
      <c r="D2" s="463" t="s">
        <v>5345</v>
      </c>
      <c r="E2" s="463" t="s">
        <v>5233</v>
      </c>
      <c r="F2" s="463" t="s">
        <v>5346</v>
      </c>
      <c r="G2" s="463" t="s">
        <v>5189</v>
      </c>
      <c r="H2" s="463" t="s">
        <v>5244</v>
      </c>
      <c r="I2" s="470" t="s">
        <v>6085</v>
      </c>
    </row>
    <row r="3" spans="1:9" ht="15" customHeight="1" thickBot="1" x14ac:dyDescent="0.4">
      <c r="A3" s="399"/>
      <c r="B3" s="399"/>
      <c r="C3" s="462"/>
      <c r="D3" s="462"/>
      <c r="E3" s="462"/>
      <c r="F3" s="462"/>
      <c r="G3" s="462"/>
      <c r="H3" s="462"/>
      <c r="I3" s="471"/>
    </row>
    <row r="4" spans="1:9" ht="14.5" x14ac:dyDescent="0.35">
      <c r="A4" s="122" t="s">
        <v>5663</v>
      </c>
      <c r="B4" s="136" t="s">
        <v>5914</v>
      </c>
      <c r="C4" s="122" t="s">
        <v>30</v>
      </c>
      <c r="D4" s="122"/>
      <c r="E4" s="122" t="s">
        <v>5233</v>
      </c>
      <c r="F4" s="122" t="s">
        <v>5904</v>
      </c>
      <c r="G4" s="122" t="s">
        <v>5189</v>
      </c>
      <c r="H4" s="122" t="s">
        <v>5341</v>
      </c>
      <c r="I4" s="132" t="s">
        <v>5933</v>
      </c>
    </row>
  </sheetData>
  <mergeCells count="9">
    <mergeCell ref="I2:I3"/>
    <mergeCell ref="H2:H3"/>
    <mergeCell ref="A2:A3"/>
    <mergeCell ref="B2:B3"/>
    <mergeCell ref="C2:C3"/>
    <mergeCell ref="D2:D3"/>
    <mergeCell ref="E2:E3"/>
    <mergeCell ref="F2:F3"/>
    <mergeCell ref="G2:G3"/>
  </mergeCells>
  <hyperlinks>
    <hyperlink ref="G1" location="Header!A1" display="Back to Header" xr:uid="{00000000-0004-0000-0E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0E00-000000000000}">
          <x14:formula1>
            <xm:f>DATA!$C$554:$C$562</xm:f>
          </x14:formula1>
          <xm:sqref>B4:B29 A5:A29</xm:sqref>
        </x14:dataValidation>
        <x14:dataValidation type="list" allowBlank="1" showErrorMessage="1" xr:uid="{A8F5036D-037B-4B22-894A-1D31D0A6A8FD}">
          <x14:formula1>
            <xm:f>DATA!$G$5:$G$566</xm:f>
          </x14:formula1>
          <xm:sqref>I4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orm_0017"/>
  <dimension ref="A1:B3"/>
  <sheetViews>
    <sheetView workbookViewId="0"/>
  </sheetViews>
  <sheetFormatPr defaultColWidth="14.453125" defaultRowHeight="15" customHeight="1" x14ac:dyDescent="0.35"/>
  <cols>
    <col min="1" max="1" width="13.08984375" customWidth="1"/>
    <col min="2" max="2" width="70.08984375" customWidth="1"/>
    <col min="3" max="3" width="14.453125" customWidth="1"/>
    <col min="4" max="4" width="13.90625" customWidth="1"/>
    <col min="5" max="5" width="24.90625" customWidth="1"/>
    <col min="6" max="26" width="8.54296875" customWidth="1"/>
  </cols>
  <sheetData>
    <row r="1" spans="1:2" ht="15" customHeight="1" x14ac:dyDescent="0.35">
      <c r="A1" s="103" t="str">
        <f>CONCATENATE("FORM ",Header!A24," - ",Header!B24)</f>
        <v>FORM 0013 - DOKUMEN PENDUKUNG TERKAIT LAPORAN KEPENGURUSAN, PEJABAT EKSEKUTIF, DAN JARINGAN KANTOR BPR</v>
      </c>
    </row>
    <row r="3" spans="1:2" ht="15" customHeight="1" x14ac:dyDescent="0.35">
      <c r="B3" s="88" t="s">
        <v>5351</v>
      </c>
    </row>
  </sheetData>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orm_0014">
    <tabColor rgb="FF7F7F7F"/>
  </sheetPr>
  <dimension ref="A1:E15"/>
  <sheetViews>
    <sheetView workbookViewId="0">
      <selection activeCell="A6" sqref="A6:E6"/>
    </sheetView>
  </sheetViews>
  <sheetFormatPr defaultColWidth="14.453125" defaultRowHeight="15" customHeight="1" x14ac:dyDescent="0.35"/>
  <cols>
    <col min="1" max="1" width="13.08984375" customWidth="1"/>
    <col min="2" max="2" width="70.08984375" customWidth="1"/>
    <col min="3" max="3" width="14.453125" customWidth="1"/>
    <col min="4" max="4" width="13.90625" customWidth="1"/>
    <col min="5" max="5" width="24.90625" customWidth="1"/>
    <col min="6" max="26" width="8.54296875" customWidth="1"/>
  </cols>
  <sheetData>
    <row r="1" spans="1:5" ht="15" customHeight="1" x14ac:dyDescent="0.35">
      <c r="A1" s="78" t="s">
        <v>5352</v>
      </c>
      <c r="C1" s="105" t="s">
        <v>5124</v>
      </c>
      <c r="D1" s="137"/>
      <c r="E1" s="137"/>
    </row>
    <row r="2" spans="1:5" ht="15" customHeight="1" x14ac:dyDescent="0.35">
      <c r="A2" s="106" t="s">
        <v>5125</v>
      </c>
      <c r="B2" s="107" t="s">
        <v>5353</v>
      </c>
      <c r="C2" s="107" t="s">
        <v>2</v>
      </c>
      <c r="D2" s="130" t="s">
        <v>5155</v>
      </c>
      <c r="E2" s="130" t="s">
        <v>5354</v>
      </c>
    </row>
    <row r="3" spans="1:5" ht="15" customHeight="1" x14ac:dyDescent="0.35">
      <c r="A3" s="94" t="s">
        <v>5128</v>
      </c>
      <c r="B3" s="132" t="s">
        <v>5355</v>
      </c>
      <c r="C3" s="146">
        <v>1000</v>
      </c>
      <c r="D3" s="147">
        <v>1000</v>
      </c>
      <c r="E3" s="147">
        <v>10000</v>
      </c>
    </row>
    <row r="4" spans="1:5" ht="15" customHeight="1" x14ac:dyDescent="0.35">
      <c r="A4" s="148" t="s">
        <v>5144</v>
      </c>
      <c r="B4" s="149" t="s">
        <v>5356</v>
      </c>
      <c r="C4" s="150"/>
      <c r="D4" s="149"/>
      <c r="E4" s="149"/>
    </row>
    <row r="5" spans="1:5" ht="15" customHeight="1" x14ac:dyDescent="0.35">
      <c r="A5" s="94" t="s">
        <v>5128</v>
      </c>
      <c r="B5" s="151" t="s">
        <v>5357</v>
      </c>
      <c r="C5" s="146">
        <v>2100</v>
      </c>
      <c r="D5" s="147">
        <v>2000</v>
      </c>
      <c r="E5" s="147">
        <v>20000</v>
      </c>
    </row>
    <row r="6" spans="1:5" ht="15" customHeight="1" x14ac:dyDescent="0.35">
      <c r="A6" s="94" t="s">
        <v>5128</v>
      </c>
      <c r="B6" s="151" t="s">
        <v>5358</v>
      </c>
      <c r="C6" s="146">
        <v>2200</v>
      </c>
      <c r="D6" s="147">
        <v>3000</v>
      </c>
      <c r="E6" s="147">
        <v>30000</v>
      </c>
    </row>
    <row r="7" spans="1:5" ht="15" customHeight="1" x14ac:dyDescent="0.35">
      <c r="A7" s="94" t="s">
        <v>5128</v>
      </c>
      <c r="B7" s="132" t="s">
        <v>5359</v>
      </c>
      <c r="C7" s="146">
        <v>2000</v>
      </c>
      <c r="D7" s="132">
        <f t="shared" ref="D7:E7" si="0">D5+D6</f>
        <v>5000</v>
      </c>
      <c r="E7" s="132">
        <f t="shared" si="0"/>
        <v>50000</v>
      </c>
    </row>
    <row r="8" spans="1:5" ht="15" customHeight="1" x14ac:dyDescent="0.35">
      <c r="A8" s="148" t="s">
        <v>5144</v>
      </c>
      <c r="B8" s="149" t="s">
        <v>5360</v>
      </c>
      <c r="C8" s="150"/>
      <c r="D8" s="152"/>
      <c r="E8" s="152"/>
    </row>
    <row r="9" spans="1:5" ht="15" customHeight="1" x14ac:dyDescent="0.35">
      <c r="A9" s="94" t="s">
        <v>5128</v>
      </c>
      <c r="B9" s="151" t="s">
        <v>5361</v>
      </c>
      <c r="C9" s="146">
        <v>3100</v>
      </c>
      <c r="D9" s="152"/>
      <c r="E9" s="147">
        <v>4000</v>
      </c>
    </row>
    <row r="10" spans="1:5" ht="15" customHeight="1" x14ac:dyDescent="0.35">
      <c r="A10" s="94" t="s">
        <v>5128</v>
      </c>
      <c r="B10" s="151" t="s">
        <v>5362</v>
      </c>
      <c r="C10" s="146">
        <v>3200</v>
      </c>
      <c r="D10" s="152"/>
      <c r="E10" s="147">
        <v>5000</v>
      </c>
    </row>
    <row r="11" spans="1:5" ht="15" customHeight="1" x14ac:dyDescent="0.35">
      <c r="A11" s="94" t="s">
        <v>5128</v>
      </c>
      <c r="B11" s="151" t="s">
        <v>5363</v>
      </c>
      <c r="C11" s="146">
        <v>3300</v>
      </c>
      <c r="D11" s="152"/>
      <c r="E11" s="147">
        <v>6000</v>
      </c>
    </row>
    <row r="12" spans="1:5" ht="15" customHeight="1" x14ac:dyDescent="0.35">
      <c r="A12" s="94" t="s">
        <v>5128</v>
      </c>
      <c r="B12" s="132" t="s">
        <v>5364</v>
      </c>
      <c r="C12" s="146">
        <v>3000</v>
      </c>
      <c r="D12" s="149"/>
      <c r="E12" s="132">
        <f>E9+E10+E11</f>
        <v>15000</v>
      </c>
    </row>
    <row r="13" spans="1:5" ht="15" customHeight="1" x14ac:dyDescent="0.35">
      <c r="A13" s="148" t="s">
        <v>5144</v>
      </c>
      <c r="B13" s="149" t="s">
        <v>5365</v>
      </c>
      <c r="C13" s="150"/>
      <c r="D13" s="149"/>
      <c r="E13" s="149"/>
    </row>
    <row r="14" spans="1:5" ht="15" customHeight="1" x14ac:dyDescent="0.35">
      <c r="A14" s="94" t="s">
        <v>5128</v>
      </c>
      <c r="B14" s="151" t="s">
        <v>5366</v>
      </c>
      <c r="C14" s="146">
        <v>4100</v>
      </c>
      <c r="D14" s="147">
        <v>2000</v>
      </c>
      <c r="E14" s="147">
        <v>70000</v>
      </c>
    </row>
    <row r="15" spans="1:5" ht="15" customHeight="1" x14ac:dyDescent="0.35">
      <c r="A15" s="94" t="s">
        <v>5128</v>
      </c>
      <c r="B15" s="151" t="s">
        <v>5367</v>
      </c>
      <c r="C15" s="146">
        <v>4200</v>
      </c>
      <c r="D15" s="147">
        <v>3000</v>
      </c>
      <c r="E15" s="147">
        <v>80000</v>
      </c>
    </row>
  </sheetData>
  <hyperlinks>
    <hyperlink ref="C1" location="Header!A1" display="Back to Header" xr:uid="{00000000-0004-0000-1000-000000000000}"/>
  </hyperlinks>
  <pageMargins left="0.7" right="0.7" top="0.75" bottom="0.75" header="0" footer="0"/>
  <pageSetup orientation="landscape"/>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orm_0015"/>
  <dimension ref="A1:E13"/>
  <sheetViews>
    <sheetView workbookViewId="0">
      <selection activeCell="C22" sqref="C22"/>
    </sheetView>
  </sheetViews>
  <sheetFormatPr defaultColWidth="14.453125" defaultRowHeight="15" customHeight="1" x14ac:dyDescent="0.35"/>
  <cols>
    <col min="1" max="1" width="12.453125" customWidth="1"/>
    <col min="2" max="2" width="71.54296875" customWidth="1"/>
    <col min="3" max="3" width="14.453125" customWidth="1"/>
    <col min="4" max="4" width="8.54296875" customWidth="1"/>
    <col min="5" max="5" width="24.90625" customWidth="1"/>
    <col min="6" max="26" width="8.54296875" customWidth="1"/>
  </cols>
  <sheetData>
    <row r="1" spans="1:5" ht="14.5" x14ac:dyDescent="0.35">
      <c r="A1" s="103" t="str">
        <f>CONCATENATE("FORM ",Header!A26," - ",Header!B26)</f>
        <v>FORM 0015 - RINCIAN TRANSAKSI TERKAIT PENILAIAN RISIKO TPPU, TPPT, DAN PPSPM</v>
      </c>
      <c r="C1" s="105" t="s">
        <v>5124</v>
      </c>
      <c r="D1" s="137"/>
      <c r="E1" s="137"/>
    </row>
    <row r="2" spans="1:5" ht="14.5" x14ac:dyDescent="0.35">
      <c r="A2" s="106" t="s">
        <v>5125</v>
      </c>
      <c r="B2" s="107" t="s">
        <v>5353</v>
      </c>
      <c r="C2" s="107" t="s">
        <v>2</v>
      </c>
      <c r="D2" s="130" t="s">
        <v>5155</v>
      </c>
      <c r="E2" s="130" t="s">
        <v>5368</v>
      </c>
    </row>
    <row r="3" spans="1:5" ht="14.5" x14ac:dyDescent="0.35">
      <c r="A3" s="94" t="s">
        <v>5128</v>
      </c>
      <c r="B3" s="132" t="s">
        <v>5369</v>
      </c>
      <c r="C3" s="146">
        <v>5100</v>
      </c>
      <c r="D3" s="132">
        <f>D4+D7</f>
        <v>6000</v>
      </c>
      <c r="E3" s="132">
        <f t="shared" ref="E3" si="0">E4+E7</f>
        <v>6000</v>
      </c>
    </row>
    <row r="4" spans="1:5" ht="14.5" x14ac:dyDescent="0.35">
      <c r="A4" s="94" t="s">
        <v>5128</v>
      </c>
      <c r="B4" s="132" t="s">
        <v>5370</v>
      </c>
      <c r="C4" s="146">
        <v>5110</v>
      </c>
      <c r="D4" s="132">
        <f t="shared" ref="D4:E4" si="1">D5+D6</f>
        <v>3000</v>
      </c>
      <c r="E4" s="132">
        <f t="shared" si="1"/>
        <v>3000</v>
      </c>
    </row>
    <row r="5" spans="1:5" ht="14.5" x14ac:dyDescent="0.35">
      <c r="A5" s="94" t="s">
        <v>5128</v>
      </c>
      <c r="B5" s="151" t="s">
        <v>5371</v>
      </c>
      <c r="C5" s="146">
        <v>5111</v>
      </c>
      <c r="D5" s="147">
        <v>1000</v>
      </c>
      <c r="E5" s="147">
        <v>1000</v>
      </c>
    </row>
    <row r="6" spans="1:5" ht="14.5" x14ac:dyDescent="0.35">
      <c r="A6" s="94" t="s">
        <v>5128</v>
      </c>
      <c r="B6" s="151" t="s">
        <v>5372</v>
      </c>
      <c r="C6" s="146">
        <v>5112</v>
      </c>
      <c r="D6" s="147">
        <v>2000</v>
      </c>
      <c r="E6" s="147">
        <v>2000</v>
      </c>
    </row>
    <row r="7" spans="1:5" ht="14.5" x14ac:dyDescent="0.35">
      <c r="A7" s="94" t="s">
        <v>5128</v>
      </c>
      <c r="B7" s="132" t="s">
        <v>5373</v>
      </c>
      <c r="C7" s="146">
        <v>5120</v>
      </c>
      <c r="D7" s="147">
        <v>3000</v>
      </c>
      <c r="E7" s="147">
        <v>3000</v>
      </c>
    </row>
    <row r="8" spans="1:5" ht="14.5" x14ac:dyDescent="0.35">
      <c r="A8" s="94" t="s">
        <v>5128</v>
      </c>
      <c r="B8" s="132" t="s">
        <v>5374</v>
      </c>
      <c r="C8" s="146">
        <v>5200</v>
      </c>
      <c r="D8" s="132">
        <f t="shared" ref="D8:E8" si="2">D9+D12</f>
        <v>15000</v>
      </c>
      <c r="E8" s="132">
        <f t="shared" si="2"/>
        <v>15000</v>
      </c>
    </row>
    <row r="9" spans="1:5" ht="14.5" x14ac:dyDescent="0.35">
      <c r="A9" s="94" t="s">
        <v>5128</v>
      </c>
      <c r="B9" s="132" t="s">
        <v>5375</v>
      </c>
      <c r="C9" s="146">
        <v>5210</v>
      </c>
      <c r="D9" s="132">
        <f t="shared" ref="D9:E9" si="3">D10+D11</f>
        <v>9000</v>
      </c>
      <c r="E9" s="132">
        <f t="shared" si="3"/>
        <v>9000</v>
      </c>
    </row>
    <row r="10" spans="1:5" ht="15.5" x14ac:dyDescent="0.35">
      <c r="A10" s="94" t="s">
        <v>5128</v>
      </c>
      <c r="B10" s="151" t="s">
        <v>5371</v>
      </c>
      <c r="C10" s="146">
        <v>5211</v>
      </c>
      <c r="D10" s="153">
        <v>4000</v>
      </c>
      <c r="E10" s="153">
        <v>4000</v>
      </c>
    </row>
    <row r="11" spans="1:5" ht="15.5" x14ac:dyDescent="0.35">
      <c r="A11" s="94" t="s">
        <v>5128</v>
      </c>
      <c r="B11" s="151" t="s">
        <v>5372</v>
      </c>
      <c r="C11" s="146">
        <v>5212</v>
      </c>
      <c r="D11" s="153">
        <v>5000</v>
      </c>
      <c r="E11" s="153">
        <v>5000</v>
      </c>
    </row>
    <row r="12" spans="1:5" ht="15.5" x14ac:dyDescent="0.35">
      <c r="A12" s="94" t="s">
        <v>5128</v>
      </c>
      <c r="B12" s="132" t="s">
        <v>5376</v>
      </c>
      <c r="C12" s="146">
        <v>5220</v>
      </c>
      <c r="D12" s="153">
        <v>6000</v>
      </c>
      <c r="E12" s="153">
        <v>6000</v>
      </c>
    </row>
    <row r="13" spans="1:5" ht="15.5" x14ac:dyDescent="0.35">
      <c r="A13" s="94" t="s">
        <v>5128</v>
      </c>
      <c r="B13" s="132" t="s">
        <v>5377</v>
      </c>
      <c r="C13" s="146">
        <v>5000</v>
      </c>
      <c r="D13" s="154">
        <f t="shared" ref="D13:E13" si="4">D3+D8</f>
        <v>21000</v>
      </c>
      <c r="E13" s="154">
        <f t="shared" si="4"/>
        <v>21000</v>
      </c>
    </row>
  </sheetData>
  <hyperlinks>
    <hyperlink ref="C1" location="Header!A1" display="Back to Header" xr:uid="{00000000-0004-0000-1100-000000000000}"/>
  </hyperlinks>
  <pageMargins left="0.7" right="0.7" top="0.75" bottom="0.75" header="0" footer="0"/>
  <pageSetup orientation="landscape"/>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tabColor theme="5"/>
  </sheetPr>
  <dimension ref="A1:T3"/>
  <sheetViews>
    <sheetView topLeftCell="I1" workbookViewId="0">
      <selection activeCell="N4" sqref="N4"/>
    </sheetView>
  </sheetViews>
  <sheetFormatPr defaultColWidth="14.453125" defaultRowHeight="15" customHeight="1" x14ac:dyDescent="0.35"/>
  <cols>
    <col min="1" max="1" width="16.90625" customWidth="1"/>
    <col min="2" max="2" width="14.90625" customWidth="1"/>
    <col min="3" max="3" width="15.08984375" customWidth="1"/>
    <col min="4" max="4" width="10.453125" customWidth="1"/>
    <col min="5" max="5" width="20.90625" customWidth="1"/>
    <col min="6" max="6" width="14.453125" customWidth="1"/>
    <col min="7" max="7" width="17.453125" customWidth="1"/>
    <col min="8" max="8" width="8.54296875" customWidth="1"/>
    <col min="9" max="9" width="19.453125" customWidth="1"/>
    <col min="10" max="10" width="17.90625" customWidth="1"/>
    <col min="11" max="11" width="14.90625" customWidth="1"/>
    <col min="12" max="12" width="20.453125" customWidth="1"/>
    <col min="13" max="13" width="18.453125" customWidth="1"/>
    <col min="14" max="14" width="13.90625" customWidth="1"/>
    <col min="15" max="15" width="8.54296875" customWidth="1"/>
    <col min="16" max="16" width="14.54296875" customWidth="1"/>
    <col min="17" max="17" width="8.54296875" customWidth="1"/>
    <col min="18" max="18" width="13.453125" customWidth="1"/>
    <col min="19" max="19" width="14.90625" customWidth="1"/>
    <col min="20" max="20" width="12.08984375" customWidth="1"/>
    <col min="21" max="26" width="8.54296875" customWidth="1"/>
  </cols>
  <sheetData>
    <row r="1" spans="1:20" ht="14.5" x14ac:dyDescent="0.35">
      <c r="A1" s="103" t="str">
        <f>CONCATENATE("FORM ",Header!A27," - ",Header!B27)</f>
        <v>FORM 0016 - DATA PIHAK LAWAN</v>
      </c>
      <c r="E1" s="105" t="s">
        <v>5124</v>
      </c>
    </row>
    <row r="2" spans="1:20" ht="29" x14ac:dyDescent="0.35">
      <c r="A2" s="128" t="s">
        <v>5378</v>
      </c>
      <c r="B2" s="128" t="s">
        <v>3374</v>
      </c>
      <c r="C2" s="128" t="s">
        <v>5379</v>
      </c>
      <c r="D2" s="128" t="s">
        <v>3395</v>
      </c>
      <c r="E2" s="128" t="s">
        <v>5380</v>
      </c>
      <c r="F2" s="128" t="s">
        <v>5142</v>
      </c>
      <c r="G2" s="128" t="s">
        <v>5381</v>
      </c>
      <c r="H2" s="128" t="s">
        <v>5382</v>
      </c>
      <c r="I2" s="128" t="s">
        <v>5383</v>
      </c>
      <c r="J2" s="128" t="s">
        <v>5270</v>
      </c>
      <c r="K2" s="128" t="s">
        <v>5384</v>
      </c>
      <c r="L2" s="128" t="s">
        <v>3197</v>
      </c>
      <c r="M2" s="128" t="s">
        <v>6084</v>
      </c>
      <c r="N2" s="128" t="s">
        <v>5385</v>
      </c>
      <c r="O2" s="128" t="s">
        <v>5386</v>
      </c>
      <c r="P2" s="128" t="s">
        <v>6085</v>
      </c>
      <c r="Q2" s="155" t="s">
        <v>5387</v>
      </c>
      <c r="R2" s="155" t="s">
        <v>5388</v>
      </c>
      <c r="S2" s="128" t="s">
        <v>5389</v>
      </c>
      <c r="T2" s="128" t="s">
        <v>5189</v>
      </c>
    </row>
    <row r="3" spans="1:20" ht="14.5" x14ac:dyDescent="0.35">
      <c r="A3" s="132" t="s">
        <v>5915</v>
      </c>
      <c r="B3" s="132" t="s">
        <v>6009</v>
      </c>
      <c r="C3" s="132">
        <v>1234543333</v>
      </c>
      <c r="D3" s="132" t="s">
        <v>5735</v>
      </c>
      <c r="E3" s="132" t="s">
        <v>5916</v>
      </c>
      <c r="F3" s="132">
        <v>3423432423</v>
      </c>
      <c r="G3" s="132" t="s">
        <v>5917</v>
      </c>
      <c r="H3" s="132" t="s">
        <v>5917</v>
      </c>
      <c r="I3" s="132"/>
      <c r="J3" s="132" t="s">
        <v>5303</v>
      </c>
      <c r="K3" s="132" t="s">
        <v>6040</v>
      </c>
      <c r="L3" s="132" t="s">
        <v>6099</v>
      </c>
      <c r="M3" s="132">
        <v>99</v>
      </c>
      <c r="N3" s="132">
        <v>20240512</v>
      </c>
      <c r="O3" s="132">
        <v>19800505</v>
      </c>
      <c r="P3" s="132" t="s">
        <v>5918</v>
      </c>
      <c r="Q3" s="132" t="s">
        <v>5919</v>
      </c>
      <c r="R3" s="132" t="s">
        <v>5920</v>
      </c>
      <c r="S3" s="132">
        <v>8123123123</v>
      </c>
      <c r="T3" s="132" t="s">
        <v>5921</v>
      </c>
    </row>
  </sheetData>
  <dataValidations count="1">
    <dataValidation type="list" allowBlank="1" showErrorMessage="1" sqref="B3:B18" xr:uid="{00000000-0002-0000-1200-000000000000}">
      <formula1>jenisIdentitas</formula1>
    </dataValidation>
  </dataValidations>
  <hyperlinks>
    <hyperlink ref="E1" location="Header!A1" display="Back to Header" xr:uid="{1BCE5831-6A34-440B-B49A-3ECB28D1E216}"/>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8">
        <x14:dataValidation type="list" allowBlank="1" showErrorMessage="1" xr:uid="{00000000-0002-0000-1200-000001000000}">
          <x14:formula1>
            <xm:f>DATA!$C$764:$C$765</xm:f>
          </x14:formula1>
          <xm:sqref>I3:I18</xm:sqref>
        </x14:dataValidation>
        <x14:dataValidation type="list" allowBlank="1" showErrorMessage="1" xr:uid="{00000000-0002-0000-1200-000002000000}">
          <x14:formula1>
            <xm:f>DATA!$C$76:$C$102</xm:f>
          </x14:formula1>
          <xm:sqref>K3:K18</xm:sqref>
        </x14:dataValidation>
        <x14:dataValidation type="list" allowBlank="1" showErrorMessage="1" xr:uid="{00000000-0002-0000-1200-000003000000}">
          <x14:formula1>
            <xm:f>DATA!$C$729:$C$730</xm:f>
          </x14:formula1>
          <xm:sqref>D3:D18</xm:sqref>
        </x14:dataValidation>
        <x14:dataValidation type="list" allowBlank="1" showErrorMessage="1" xr:uid="{00000000-0002-0000-1200-000004000000}">
          <x14:formula1>
            <xm:f>DATA!$AA$4:$AA$254</xm:f>
          </x14:formula1>
          <xm:sqref>G3:H18</xm:sqref>
        </x14:dataValidation>
        <x14:dataValidation type="list" allowBlank="1" showErrorMessage="1" xr:uid="{00000000-0002-0000-1200-000005000000}">
          <x14:formula1>
            <xm:f>DATA!$C$118:$C$119</xm:f>
          </x14:formula1>
          <xm:sqref>J3:J18</xm:sqref>
        </x14:dataValidation>
        <x14:dataValidation type="list" allowBlank="1" showErrorMessage="1" xr:uid="{00000000-0002-0000-1200-000006000000}">
          <x14:formula1>
            <xm:f>DATA!$C$651:$C$656</xm:f>
          </x14:formula1>
          <xm:sqref>L3:L18</xm:sqref>
        </x14:dataValidation>
        <x14:dataValidation type="list" allowBlank="1" showErrorMessage="1" xr:uid="{00000000-0002-0000-1200-000007000000}">
          <x14:formula1>
            <xm:f>DATA!$M$6:$M$38</xm:f>
          </x14:formula1>
          <xm:sqref>M3:M18</xm:sqref>
        </x14:dataValidation>
        <x14:dataValidation type="list" allowBlank="1" showErrorMessage="1" xr:uid="{00000000-0002-0000-1200-000008000000}">
          <x14:formula1>
            <xm:f>DATA!$G$5:$G$566</xm:f>
          </x14:formula1>
          <xm:sqref>P3:P18</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tabColor theme="5"/>
  </sheetPr>
  <dimension ref="A1:L20"/>
  <sheetViews>
    <sheetView topLeftCell="D1" workbookViewId="0">
      <selection activeCell="L12" sqref="L12"/>
    </sheetView>
  </sheetViews>
  <sheetFormatPr defaultColWidth="14.453125" defaultRowHeight="15" customHeight="1" x14ac:dyDescent="0.35"/>
  <cols>
    <col min="1" max="1" width="36.90625" customWidth="1"/>
    <col min="2" max="2" width="12.453125" customWidth="1"/>
    <col min="3" max="12" width="16.90625" customWidth="1"/>
    <col min="13" max="26" width="8.54296875" customWidth="1"/>
  </cols>
  <sheetData>
    <row r="1" spans="1:12" ht="14.5" x14ac:dyDescent="0.35">
      <c r="A1" s="103" t="str">
        <f>CONCATENATE("FORM ",Header!A28," - ",Header!B28)</f>
        <v>FORM 0017 - LAPORAN PERUBAHAN EKUITAS</v>
      </c>
      <c r="B1" s="156"/>
      <c r="C1" s="157"/>
      <c r="D1" s="158"/>
      <c r="E1" s="158"/>
      <c r="F1" s="105" t="s">
        <v>5124</v>
      </c>
      <c r="G1" s="158"/>
      <c r="H1" s="158"/>
      <c r="I1" s="158"/>
      <c r="J1" s="158"/>
      <c r="K1" s="158"/>
      <c r="L1" s="158"/>
    </row>
    <row r="2" spans="1:12" ht="14.5" x14ac:dyDescent="0.35">
      <c r="A2" s="126"/>
      <c r="B2" s="126"/>
      <c r="C2" s="158"/>
      <c r="D2" s="158"/>
      <c r="E2" s="158"/>
      <c r="F2" s="158"/>
      <c r="G2" s="158"/>
      <c r="H2" s="158"/>
      <c r="I2" s="158"/>
      <c r="J2" s="158"/>
      <c r="K2" s="158"/>
      <c r="L2" s="158"/>
    </row>
    <row r="3" spans="1:12" ht="43.5" x14ac:dyDescent="0.35">
      <c r="A3" s="107" t="s">
        <v>5390</v>
      </c>
      <c r="B3" s="107" t="s">
        <v>5391</v>
      </c>
      <c r="C3" s="106" t="s">
        <v>729</v>
      </c>
      <c r="D3" s="106" t="s">
        <v>5392</v>
      </c>
      <c r="E3" s="106" t="s">
        <v>738</v>
      </c>
      <c r="F3" s="106" t="s">
        <v>5393</v>
      </c>
      <c r="G3" s="106" t="s">
        <v>5394</v>
      </c>
      <c r="H3" s="106" t="s">
        <v>5395</v>
      </c>
      <c r="I3" s="106" t="s">
        <v>5396</v>
      </c>
      <c r="J3" s="106" t="s">
        <v>5397</v>
      </c>
      <c r="K3" s="106" t="s">
        <v>6029</v>
      </c>
      <c r="L3" s="106" t="s">
        <v>5265</v>
      </c>
    </row>
    <row r="4" spans="1:12" ht="14.5" x14ac:dyDescent="0.35">
      <c r="A4" s="159" t="s">
        <v>6034</v>
      </c>
      <c r="B4" s="160">
        <v>10000000</v>
      </c>
      <c r="C4" s="136">
        <v>2000</v>
      </c>
      <c r="D4" s="136">
        <v>2000</v>
      </c>
      <c r="E4" s="136">
        <v>2000</v>
      </c>
      <c r="F4" s="136">
        <v>2000</v>
      </c>
      <c r="G4" s="136">
        <v>2000</v>
      </c>
      <c r="H4" s="136">
        <v>2000</v>
      </c>
      <c r="I4" s="136">
        <v>2000</v>
      </c>
      <c r="J4" s="136">
        <v>2000</v>
      </c>
      <c r="K4" s="136">
        <v>2000</v>
      </c>
      <c r="L4" s="313">
        <f>SUM(C4:K4)</f>
        <v>18000</v>
      </c>
    </row>
    <row r="5" spans="1:12" ht="14.5" x14ac:dyDescent="0.35">
      <c r="A5" s="109" t="s">
        <v>5398</v>
      </c>
      <c r="B5" s="109">
        <v>10100000</v>
      </c>
      <c r="C5" s="136">
        <v>2000</v>
      </c>
      <c r="D5" s="136">
        <v>2000</v>
      </c>
      <c r="E5" s="136">
        <v>2000</v>
      </c>
      <c r="F5" s="136">
        <v>2000</v>
      </c>
      <c r="G5" s="136">
        <v>2000</v>
      </c>
      <c r="H5" s="136">
        <v>2000</v>
      </c>
      <c r="I5" s="136">
        <v>2000</v>
      </c>
      <c r="J5" s="136">
        <v>2000</v>
      </c>
      <c r="K5" s="136">
        <v>2000</v>
      </c>
      <c r="L5" s="313">
        <f t="shared" ref="L5:L20" si="0">SUM(C5:K5)</f>
        <v>18000</v>
      </c>
    </row>
    <row r="6" spans="1:12" ht="14.5" x14ac:dyDescent="0.35">
      <c r="A6" s="109" t="s">
        <v>5399</v>
      </c>
      <c r="B6" s="109">
        <v>10200000</v>
      </c>
      <c r="C6" s="136">
        <v>2000</v>
      </c>
      <c r="D6" s="136">
        <v>2000</v>
      </c>
      <c r="E6" s="136">
        <v>2000</v>
      </c>
      <c r="F6" s="136">
        <v>2000</v>
      </c>
      <c r="G6" s="136">
        <v>2000</v>
      </c>
      <c r="H6" s="136">
        <v>2000</v>
      </c>
      <c r="I6" s="136">
        <v>2000</v>
      </c>
      <c r="J6" s="136">
        <v>2000</v>
      </c>
      <c r="K6" s="136">
        <v>2000</v>
      </c>
      <c r="L6" s="313">
        <f t="shared" si="0"/>
        <v>18000</v>
      </c>
    </row>
    <row r="7" spans="1:12" ht="14.5" x14ac:dyDescent="0.35">
      <c r="A7" s="109" t="s">
        <v>5393</v>
      </c>
      <c r="B7" s="109">
        <v>10300000</v>
      </c>
      <c r="C7" s="136">
        <v>2000</v>
      </c>
      <c r="D7" s="136">
        <v>2000</v>
      </c>
      <c r="E7" s="136">
        <v>2000</v>
      </c>
      <c r="F7" s="136">
        <v>2000</v>
      </c>
      <c r="G7" s="136">
        <v>2000</v>
      </c>
      <c r="H7" s="136">
        <v>2000</v>
      </c>
      <c r="I7" s="136">
        <v>2000</v>
      </c>
      <c r="J7" s="136">
        <v>2000</v>
      </c>
      <c r="K7" s="136">
        <v>2000</v>
      </c>
      <c r="L7" s="313">
        <f t="shared" si="0"/>
        <v>18000</v>
      </c>
    </row>
    <row r="8" spans="1:12" ht="14.5" x14ac:dyDescent="0.35">
      <c r="A8" s="109" t="s">
        <v>5400</v>
      </c>
      <c r="B8" s="109">
        <v>10400000</v>
      </c>
      <c r="C8" s="136">
        <v>2000</v>
      </c>
      <c r="D8" s="136">
        <v>2000</v>
      </c>
      <c r="E8" s="136">
        <v>2000</v>
      </c>
      <c r="F8" s="136">
        <v>2000</v>
      </c>
      <c r="G8" s="136">
        <v>2000</v>
      </c>
      <c r="H8" s="136">
        <v>2000</v>
      </c>
      <c r="I8" s="136">
        <v>2000</v>
      </c>
      <c r="J8" s="136">
        <v>2000</v>
      </c>
      <c r="K8" s="136">
        <v>2000</v>
      </c>
      <c r="L8" s="313">
        <f t="shared" si="0"/>
        <v>18000</v>
      </c>
    </row>
    <row r="9" spans="1:12" ht="14.5" x14ac:dyDescent="0.35">
      <c r="A9" s="109" t="s">
        <v>5401</v>
      </c>
      <c r="B9" s="109">
        <v>10500000</v>
      </c>
      <c r="C9" s="136">
        <v>2000</v>
      </c>
      <c r="D9" s="136">
        <v>2000</v>
      </c>
      <c r="E9" s="136">
        <v>2000</v>
      </c>
      <c r="F9" s="136">
        <v>2000</v>
      </c>
      <c r="G9" s="136">
        <v>2000</v>
      </c>
      <c r="H9" s="136">
        <v>2000</v>
      </c>
      <c r="I9" s="136">
        <v>2000</v>
      </c>
      <c r="J9" s="136">
        <v>2000</v>
      </c>
      <c r="K9" s="136">
        <v>2000</v>
      </c>
      <c r="L9" s="313">
        <f t="shared" si="0"/>
        <v>18000</v>
      </c>
    </row>
    <row r="10" spans="1:12" ht="14.5" x14ac:dyDescent="0.35">
      <c r="A10" s="109" t="s">
        <v>5402</v>
      </c>
      <c r="B10" s="109">
        <v>10600000</v>
      </c>
      <c r="C10" s="136">
        <v>2000</v>
      </c>
      <c r="D10" s="136">
        <v>2000</v>
      </c>
      <c r="E10" s="136">
        <v>2000</v>
      </c>
      <c r="F10" s="136">
        <v>2000</v>
      </c>
      <c r="G10" s="136">
        <v>2000</v>
      </c>
      <c r="H10" s="136">
        <v>2000</v>
      </c>
      <c r="I10" s="136">
        <v>2000</v>
      </c>
      <c r="J10" s="136">
        <v>2000</v>
      </c>
      <c r="K10" s="136">
        <v>2000</v>
      </c>
      <c r="L10" s="313">
        <f t="shared" si="0"/>
        <v>18000</v>
      </c>
    </row>
    <row r="11" spans="1:12" ht="14.5" x14ac:dyDescent="0.35">
      <c r="A11" s="109" t="s">
        <v>5403</v>
      </c>
      <c r="B11" s="109">
        <v>19900000</v>
      </c>
      <c r="C11" s="136">
        <v>2000</v>
      </c>
      <c r="D11" s="136">
        <v>2000</v>
      </c>
      <c r="E11" s="136">
        <v>2000</v>
      </c>
      <c r="F11" s="136">
        <v>2000</v>
      </c>
      <c r="G11" s="136">
        <v>2000</v>
      </c>
      <c r="H11" s="136">
        <v>2000</v>
      </c>
      <c r="I11" s="136">
        <v>2000</v>
      </c>
      <c r="J11" s="136">
        <v>2000</v>
      </c>
      <c r="K11" s="136">
        <v>2000</v>
      </c>
      <c r="L11" s="313">
        <f t="shared" si="0"/>
        <v>18000</v>
      </c>
    </row>
    <row r="12" spans="1:12" ht="14.5" x14ac:dyDescent="0.35">
      <c r="A12" s="159" t="s">
        <v>6033</v>
      </c>
      <c r="B12" s="160">
        <v>20000000</v>
      </c>
      <c r="C12" s="313">
        <f>SUM(C4:C11)</f>
        <v>16000</v>
      </c>
      <c r="D12" s="313">
        <f>SUM(D4:D11)</f>
        <v>16000</v>
      </c>
      <c r="E12" s="313">
        <f t="shared" ref="E12:K12" si="1">SUM(E4:E11)</f>
        <v>16000</v>
      </c>
      <c r="F12" s="313">
        <f t="shared" si="1"/>
        <v>16000</v>
      </c>
      <c r="G12" s="313">
        <f t="shared" si="1"/>
        <v>16000</v>
      </c>
      <c r="H12" s="313">
        <f t="shared" si="1"/>
        <v>16000</v>
      </c>
      <c r="I12" s="313">
        <f t="shared" si="1"/>
        <v>16000</v>
      </c>
      <c r="J12" s="313">
        <f t="shared" si="1"/>
        <v>16000</v>
      </c>
      <c r="K12" s="313">
        <f t="shared" si="1"/>
        <v>16000</v>
      </c>
      <c r="L12" s="313">
        <f t="shared" si="0"/>
        <v>144000</v>
      </c>
    </row>
    <row r="13" spans="1:12" ht="14.5" x14ac:dyDescent="0.35">
      <c r="A13" s="109" t="s">
        <v>5398</v>
      </c>
      <c r="B13" s="109">
        <v>20100000</v>
      </c>
      <c r="C13" s="136">
        <v>2000</v>
      </c>
      <c r="D13" s="136">
        <v>2000</v>
      </c>
      <c r="E13" s="136">
        <v>2000</v>
      </c>
      <c r="F13" s="136">
        <v>2000</v>
      </c>
      <c r="G13" s="136">
        <v>2000</v>
      </c>
      <c r="H13" s="136">
        <v>2000</v>
      </c>
      <c r="I13" s="136">
        <v>2000</v>
      </c>
      <c r="J13" s="136">
        <v>2000</v>
      </c>
      <c r="K13" s="136">
        <v>2000</v>
      </c>
      <c r="L13" s="313">
        <f t="shared" si="0"/>
        <v>18000</v>
      </c>
    </row>
    <row r="14" spans="1:12" ht="14.5" x14ac:dyDescent="0.35">
      <c r="A14" s="109" t="s">
        <v>5399</v>
      </c>
      <c r="B14" s="109">
        <v>20200000</v>
      </c>
      <c r="C14" s="136">
        <v>2000</v>
      </c>
      <c r="D14" s="136">
        <v>2000</v>
      </c>
      <c r="E14" s="136">
        <v>2000</v>
      </c>
      <c r="F14" s="136">
        <v>2000</v>
      </c>
      <c r="G14" s="136">
        <v>2000</v>
      </c>
      <c r="H14" s="136">
        <v>2000</v>
      </c>
      <c r="I14" s="136">
        <v>2000</v>
      </c>
      <c r="J14" s="136">
        <v>2000</v>
      </c>
      <c r="K14" s="136">
        <v>2000</v>
      </c>
      <c r="L14" s="313">
        <f t="shared" si="0"/>
        <v>18000</v>
      </c>
    </row>
    <row r="15" spans="1:12" ht="14.5" x14ac:dyDescent="0.35">
      <c r="A15" s="109" t="s">
        <v>5393</v>
      </c>
      <c r="B15" s="109">
        <v>20300000</v>
      </c>
      <c r="C15" s="136">
        <v>2000</v>
      </c>
      <c r="D15" s="136">
        <v>2000</v>
      </c>
      <c r="E15" s="136">
        <v>2000</v>
      </c>
      <c r="F15" s="136">
        <v>2000</v>
      </c>
      <c r="G15" s="136">
        <v>2000</v>
      </c>
      <c r="H15" s="136">
        <v>2000</v>
      </c>
      <c r="I15" s="136">
        <v>2000</v>
      </c>
      <c r="J15" s="136">
        <v>2000</v>
      </c>
      <c r="K15" s="136">
        <v>2000</v>
      </c>
      <c r="L15" s="313">
        <f t="shared" si="0"/>
        <v>18000</v>
      </c>
    </row>
    <row r="16" spans="1:12" ht="14.5" x14ac:dyDescent="0.35">
      <c r="A16" s="109" t="s">
        <v>5400</v>
      </c>
      <c r="B16" s="109">
        <v>20400000</v>
      </c>
      <c r="C16" s="136">
        <v>2000</v>
      </c>
      <c r="D16" s="136">
        <v>2000</v>
      </c>
      <c r="E16" s="136">
        <v>2000</v>
      </c>
      <c r="F16" s="136">
        <v>2000</v>
      </c>
      <c r="G16" s="136">
        <v>2000</v>
      </c>
      <c r="H16" s="136">
        <v>2000</v>
      </c>
      <c r="I16" s="136">
        <v>2000</v>
      </c>
      <c r="J16" s="136">
        <v>2000</v>
      </c>
      <c r="K16" s="136">
        <v>2000</v>
      </c>
      <c r="L16" s="313">
        <f t="shared" si="0"/>
        <v>18000</v>
      </c>
    </row>
    <row r="17" spans="1:12" ht="14.5" x14ac:dyDescent="0.35">
      <c r="A17" s="109" t="s">
        <v>5401</v>
      </c>
      <c r="B17" s="109">
        <v>20500000</v>
      </c>
      <c r="C17" s="136">
        <v>2000</v>
      </c>
      <c r="D17" s="136">
        <v>2000</v>
      </c>
      <c r="E17" s="136">
        <v>2000</v>
      </c>
      <c r="F17" s="136">
        <v>2000</v>
      </c>
      <c r="G17" s="136">
        <v>2000</v>
      </c>
      <c r="H17" s="136">
        <v>2000</v>
      </c>
      <c r="I17" s="136">
        <v>2000</v>
      </c>
      <c r="J17" s="136">
        <v>2000</v>
      </c>
      <c r="K17" s="136">
        <v>2000</v>
      </c>
      <c r="L17" s="313">
        <f t="shared" si="0"/>
        <v>18000</v>
      </c>
    </row>
    <row r="18" spans="1:12" ht="14.5" x14ac:dyDescent="0.35">
      <c r="A18" s="109" t="s">
        <v>5402</v>
      </c>
      <c r="B18" s="109">
        <v>20600000</v>
      </c>
      <c r="C18" s="136">
        <v>2000</v>
      </c>
      <c r="D18" s="136">
        <v>2000</v>
      </c>
      <c r="E18" s="136">
        <v>2000</v>
      </c>
      <c r="F18" s="136">
        <v>2000</v>
      </c>
      <c r="G18" s="136">
        <v>2000</v>
      </c>
      <c r="H18" s="136">
        <v>2000</v>
      </c>
      <c r="I18" s="136">
        <v>2000</v>
      </c>
      <c r="J18" s="136">
        <v>2000</v>
      </c>
      <c r="K18" s="136">
        <v>2000</v>
      </c>
      <c r="L18" s="313">
        <f t="shared" si="0"/>
        <v>18000</v>
      </c>
    </row>
    <row r="19" spans="1:12" ht="14.5" x14ac:dyDescent="0.35">
      <c r="A19" s="109" t="s">
        <v>5403</v>
      </c>
      <c r="B19" s="109">
        <v>29900000</v>
      </c>
      <c r="C19" s="136">
        <v>2000</v>
      </c>
      <c r="D19" s="136">
        <v>2000</v>
      </c>
      <c r="E19" s="136">
        <v>2000</v>
      </c>
      <c r="F19" s="136">
        <v>2000</v>
      </c>
      <c r="G19" s="136">
        <v>2000</v>
      </c>
      <c r="H19" s="136">
        <v>2000</v>
      </c>
      <c r="I19" s="136">
        <v>2000</v>
      </c>
      <c r="J19" s="136">
        <v>2000</v>
      </c>
      <c r="K19" s="136">
        <v>2000</v>
      </c>
      <c r="L19" s="313">
        <f t="shared" si="0"/>
        <v>18000</v>
      </c>
    </row>
    <row r="20" spans="1:12" ht="14.5" x14ac:dyDescent="0.35">
      <c r="A20" s="159" t="s">
        <v>6032</v>
      </c>
      <c r="B20" s="160">
        <v>30000000</v>
      </c>
      <c r="C20" s="313">
        <f>SUM(C12:C19)</f>
        <v>30000</v>
      </c>
      <c r="D20" s="313">
        <f>SUM(D12:D19)</f>
        <v>30000</v>
      </c>
      <c r="E20" s="313">
        <f>SUM(E12:E19)</f>
        <v>30000</v>
      </c>
      <c r="F20" s="313">
        <f>SUM(F12:F19)</f>
        <v>30000</v>
      </c>
      <c r="G20" s="313">
        <f t="shared" ref="G20:K20" si="2">SUM(G12:G19)</f>
        <v>30000</v>
      </c>
      <c r="H20" s="313">
        <f t="shared" si="2"/>
        <v>30000</v>
      </c>
      <c r="I20" s="313">
        <f t="shared" si="2"/>
        <v>30000</v>
      </c>
      <c r="J20" s="313">
        <f t="shared" si="2"/>
        <v>30000</v>
      </c>
      <c r="K20" s="313">
        <f t="shared" si="2"/>
        <v>30000</v>
      </c>
      <c r="L20" s="313">
        <f t="shared" si="0"/>
        <v>270000</v>
      </c>
    </row>
  </sheetData>
  <hyperlinks>
    <hyperlink ref="F1" location="Header!A1" display="Back to Header" xr:uid="{52C776BF-E89D-47A3-A5C7-155C299AF1A5}"/>
  </hyperlinks>
  <pageMargins left="0.7" right="0.7" top="0.75" bottom="0.75" header="0" footer="0"/>
  <pageSetup orientation="landscape"/>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
    <tabColor theme="5"/>
  </sheetPr>
  <dimension ref="A1:D53"/>
  <sheetViews>
    <sheetView zoomScaleNormal="100" workbookViewId="0"/>
  </sheetViews>
  <sheetFormatPr defaultColWidth="14.453125" defaultRowHeight="15" customHeight="1" x14ac:dyDescent="0.35"/>
  <cols>
    <col min="1" max="1" width="48.54296875" customWidth="1"/>
    <col min="2" max="2" width="15.08984375" customWidth="1"/>
    <col min="3" max="3" width="28.54296875" customWidth="1"/>
    <col min="4" max="4" width="29.54296875" customWidth="1"/>
    <col min="5" max="5" width="4.90625" customWidth="1"/>
    <col min="6" max="26" width="8.54296875" customWidth="1"/>
  </cols>
  <sheetData>
    <row r="1" spans="1:4" ht="14.5" x14ac:dyDescent="0.35">
      <c r="A1" s="103" t="str">
        <f>CONCATENATE("FORM ",Header!A29," - ",Header!B29)</f>
        <v>FORM 0018 - LAPORAN ARUS KAS</v>
      </c>
      <c r="D1" s="105" t="s">
        <v>5124</v>
      </c>
    </row>
    <row r="3" spans="1:4" ht="15.75" customHeight="1" thickBot="1" x14ac:dyDescent="0.4">
      <c r="A3" s="164" t="s">
        <v>5390</v>
      </c>
      <c r="B3" s="164" t="s">
        <v>5391</v>
      </c>
      <c r="C3" s="164" t="s">
        <v>6035</v>
      </c>
      <c r="D3" s="164" t="s">
        <v>6036</v>
      </c>
    </row>
    <row r="4" spans="1:4" ht="15.75" customHeight="1" thickBot="1" x14ac:dyDescent="0.4">
      <c r="A4" s="239" t="s">
        <v>5420</v>
      </c>
      <c r="B4" s="240"/>
      <c r="C4" s="241"/>
      <c r="D4" s="241"/>
    </row>
    <row r="5" spans="1:4" ht="15.75" customHeight="1" thickBot="1" x14ac:dyDescent="0.4">
      <c r="A5" s="242" t="s">
        <v>5421</v>
      </c>
      <c r="B5" s="243">
        <v>14010000</v>
      </c>
      <c r="C5" s="244">
        <v>2000</v>
      </c>
      <c r="D5" s="244">
        <v>2000</v>
      </c>
    </row>
    <row r="6" spans="1:4" ht="15.75" customHeight="1" thickBot="1" x14ac:dyDescent="0.4">
      <c r="A6" s="242" t="s">
        <v>5750</v>
      </c>
      <c r="B6" s="243">
        <v>14020000</v>
      </c>
      <c r="C6" s="244">
        <v>2000</v>
      </c>
      <c r="D6" s="244">
        <v>2000</v>
      </c>
    </row>
    <row r="7" spans="1:4" ht="15.75" customHeight="1" thickBot="1" x14ac:dyDescent="0.4">
      <c r="A7" s="242" t="s">
        <v>5751</v>
      </c>
      <c r="B7" s="243">
        <v>14030000</v>
      </c>
      <c r="C7" s="244">
        <v>2000</v>
      </c>
      <c r="D7" s="244">
        <v>2000</v>
      </c>
    </row>
    <row r="8" spans="1:4" ht="15.75" customHeight="1" thickBot="1" x14ac:dyDescent="0.4">
      <c r="A8" s="242" t="s">
        <v>5430</v>
      </c>
      <c r="B8" s="243">
        <v>14040000</v>
      </c>
      <c r="C8" s="244">
        <v>2000</v>
      </c>
      <c r="D8" s="244">
        <v>2000</v>
      </c>
    </row>
    <row r="9" spans="1:4" ht="15.75" customHeight="1" thickBot="1" x14ac:dyDescent="0.4">
      <c r="A9" s="242" t="s">
        <v>5423</v>
      </c>
      <c r="B9" s="243">
        <v>14050000</v>
      </c>
      <c r="C9" s="244">
        <v>2000</v>
      </c>
      <c r="D9" s="244">
        <v>2000</v>
      </c>
    </row>
    <row r="10" spans="1:4" ht="15.75" customHeight="1" thickBot="1" x14ac:dyDescent="0.4">
      <c r="A10" s="242" t="s">
        <v>5422</v>
      </c>
      <c r="B10" s="243">
        <v>14060000</v>
      </c>
      <c r="C10" s="244">
        <v>2000</v>
      </c>
      <c r="D10" s="244">
        <v>2000</v>
      </c>
    </row>
    <row r="11" spans="1:4" ht="15.75" customHeight="1" thickBot="1" x14ac:dyDescent="0.4">
      <c r="A11" s="242" t="s">
        <v>5425</v>
      </c>
      <c r="B11" s="243">
        <v>14070000</v>
      </c>
      <c r="C11" s="244">
        <v>2000</v>
      </c>
      <c r="D11" s="244">
        <v>2000</v>
      </c>
    </row>
    <row r="12" spans="1:4" ht="15.75" customHeight="1" thickBot="1" x14ac:dyDescent="0.4">
      <c r="A12" s="242" t="s">
        <v>5426</v>
      </c>
      <c r="B12" s="243">
        <v>14080000</v>
      </c>
      <c r="C12" s="244">
        <v>2000</v>
      </c>
      <c r="D12" s="244">
        <v>2000</v>
      </c>
    </row>
    <row r="13" spans="1:4" ht="15.75" customHeight="1" thickBot="1" x14ac:dyDescent="0.4">
      <c r="A13" s="242" t="s">
        <v>5424</v>
      </c>
      <c r="B13" s="243">
        <v>14090000</v>
      </c>
      <c r="C13" s="244">
        <v>2000</v>
      </c>
      <c r="D13" s="244">
        <v>2000</v>
      </c>
    </row>
    <row r="14" spans="1:4" ht="15.75" customHeight="1" thickBot="1" x14ac:dyDescent="0.4">
      <c r="A14" s="242" t="s">
        <v>5752</v>
      </c>
      <c r="B14" s="243">
        <v>14100000</v>
      </c>
      <c r="C14" s="244">
        <v>2000</v>
      </c>
      <c r="D14" s="244">
        <v>2000</v>
      </c>
    </row>
    <row r="15" spans="1:4" ht="15.75" customHeight="1" thickBot="1" x14ac:dyDescent="0.4">
      <c r="A15" s="242" t="s">
        <v>5753</v>
      </c>
      <c r="B15" s="243">
        <v>14110000</v>
      </c>
      <c r="C15" s="244">
        <v>2000</v>
      </c>
      <c r="D15" s="244">
        <v>2000</v>
      </c>
    </row>
    <row r="16" spans="1:4" ht="15.75" customHeight="1" thickBot="1" x14ac:dyDescent="0.4">
      <c r="A16" s="242" t="s">
        <v>5754</v>
      </c>
      <c r="B16" s="243">
        <v>14120000</v>
      </c>
      <c r="C16" s="244">
        <v>2000</v>
      </c>
      <c r="D16" s="244">
        <v>2000</v>
      </c>
    </row>
    <row r="17" spans="1:4" ht="15.75" customHeight="1" thickBot="1" x14ac:dyDescent="0.4">
      <c r="A17" s="242" t="s">
        <v>5755</v>
      </c>
      <c r="B17" s="243">
        <v>14130000</v>
      </c>
      <c r="C17" s="244">
        <v>2000</v>
      </c>
      <c r="D17" s="244">
        <v>2000</v>
      </c>
    </row>
    <row r="18" spans="1:4" ht="15.75" customHeight="1" thickBot="1" x14ac:dyDescent="0.4">
      <c r="A18" s="242" t="s">
        <v>5427</v>
      </c>
      <c r="B18" s="245"/>
      <c r="C18" s="244"/>
      <c r="D18" s="244"/>
    </row>
    <row r="19" spans="1:4" ht="15.75" customHeight="1" thickBot="1" x14ac:dyDescent="0.4">
      <c r="A19" s="242" t="s">
        <v>2652</v>
      </c>
      <c r="B19" s="243">
        <v>14140000</v>
      </c>
      <c r="C19" s="244">
        <v>2000</v>
      </c>
      <c r="D19" s="244">
        <v>2000</v>
      </c>
    </row>
    <row r="20" spans="1:4" ht="15.75" customHeight="1" thickBot="1" x14ac:dyDescent="0.4">
      <c r="A20" s="242" t="s">
        <v>2649</v>
      </c>
      <c r="B20" s="243">
        <v>14150000</v>
      </c>
      <c r="C20" s="244">
        <v>2000</v>
      </c>
      <c r="D20" s="244">
        <v>2000</v>
      </c>
    </row>
    <row r="21" spans="1:4" ht="15.75" customHeight="1" thickBot="1" x14ac:dyDescent="0.4">
      <c r="A21" s="242" t="s">
        <v>5428</v>
      </c>
      <c r="B21" s="243">
        <v>14160000</v>
      </c>
      <c r="C21" s="244">
        <v>2000</v>
      </c>
      <c r="D21" s="244">
        <v>2000</v>
      </c>
    </row>
    <row r="22" spans="1:4" ht="15.75" customHeight="1" thickBot="1" x14ac:dyDescent="0.4">
      <c r="A22" s="242" t="s">
        <v>5429</v>
      </c>
      <c r="B22" s="243">
        <v>14170000</v>
      </c>
      <c r="C22" s="244">
        <v>2000</v>
      </c>
      <c r="D22" s="244">
        <v>2000</v>
      </c>
    </row>
    <row r="23" spans="1:4" ht="15.75" customHeight="1" thickBot="1" x14ac:dyDescent="0.4">
      <c r="A23" s="242" t="s">
        <v>5756</v>
      </c>
      <c r="B23" s="243">
        <v>14180000</v>
      </c>
      <c r="C23" s="244">
        <v>2000</v>
      </c>
      <c r="D23" s="244">
        <v>2000</v>
      </c>
    </row>
    <row r="24" spans="1:4" ht="15.75" customHeight="1" thickBot="1" x14ac:dyDescent="0.4">
      <c r="A24" s="242" t="s">
        <v>5431</v>
      </c>
      <c r="B24" s="244"/>
      <c r="C24" s="244"/>
      <c r="D24" s="244"/>
    </row>
    <row r="25" spans="1:4" ht="15.75" customHeight="1" thickBot="1" x14ac:dyDescent="0.4">
      <c r="A25" s="242" t="s">
        <v>5432</v>
      </c>
      <c r="B25" s="243">
        <v>14190000</v>
      </c>
      <c r="C25" s="244">
        <v>2000</v>
      </c>
      <c r="D25" s="244">
        <v>2000</v>
      </c>
    </row>
    <row r="26" spans="1:4" ht="15.75" customHeight="1" thickBot="1" x14ac:dyDescent="0.4">
      <c r="A26" s="242" t="s">
        <v>2635</v>
      </c>
      <c r="B26" s="243">
        <v>14200000</v>
      </c>
      <c r="C26" s="244">
        <v>2000</v>
      </c>
      <c r="D26" s="244">
        <v>2000</v>
      </c>
    </row>
    <row r="27" spans="1:4" ht="15.75" customHeight="1" thickBot="1" x14ac:dyDescent="0.4">
      <c r="A27" s="242" t="s">
        <v>2638</v>
      </c>
      <c r="B27" s="243">
        <v>14210000</v>
      </c>
      <c r="C27" s="244">
        <v>2000</v>
      </c>
      <c r="D27" s="244">
        <v>2000</v>
      </c>
    </row>
    <row r="28" spans="1:4" ht="15.75" customHeight="1" thickBot="1" x14ac:dyDescent="0.4">
      <c r="A28" s="242" t="s">
        <v>5406</v>
      </c>
      <c r="B28" s="243">
        <v>14220000</v>
      </c>
      <c r="C28" s="244">
        <v>2000</v>
      </c>
      <c r="D28" s="244">
        <v>2000</v>
      </c>
    </row>
    <row r="29" spans="1:4" ht="15.75" customHeight="1" thickBot="1" x14ac:dyDescent="0.4">
      <c r="A29" s="242" t="s">
        <v>5407</v>
      </c>
      <c r="B29" s="243">
        <v>14230000</v>
      </c>
      <c r="C29" s="244">
        <v>2000</v>
      </c>
      <c r="D29" s="244">
        <v>2000</v>
      </c>
    </row>
    <row r="30" spans="1:4" ht="15.75" customHeight="1" thickBot="1" x14ac:dyDescent="0.4">
      <c r="A30" s="242" t="s">
        <v>5433</v>
      </c>
      <c r="B30" s="243">
        <v>14240000</v>
      </c>
      <c r="C30" s="244">
        <v>2000</v>
      </c>
      <c r="D30" s="244">
        <v>2000</v>
      </c>
    </row>
    <row r="31" spans="1:4" ht="15.75" customHeight="1" thickBot="1" x14ac:dyDescent="0.4">
      <c r="A31" s="242" t="s">
        <v>5434</v>
      </c>
      <c r="B31" s="243">
        <v>14250000</v>
      </c>
      <c r="C31" s="244">
        <v>2000</v>
      </c>
      <c r="D31" s="244">
        <v>2000</v>
      </c>
    </row>
    <row r="32" spans="1:4" ht="15.75" customHeight="1" thickBot="1" x14ac:dyDescent="0.4">
      <c r="A32" s="242" t="s">
        <v>5757</v>
      </c>
      <c r="B32" s="243">
        <v>14260000</v>
      </c>
      <c r="C32" s="244">
        <v>2000</v>
      </c>
      <c r="D32" s="244">
        <v>2000</v>
      </c>
    </row>
    <row r="33" spans="1:4" ht="15.75" customHeight="1" thickBot="1" x14ac:dyDescent="0.4">
      <c r="A33" s="246" t="s">
        <v>5408</v>
      </c>
      <c r="B33" s="247">
        <v>10000000</v>
      </c>
      <c r="C33" s="314">
        <f>SUM(C5:C17, C19:C23,C25:C32)</f>
        <v>52000</v>
      </c>
      <c r="D33" s="314">
        <f>SUM(D5:D17, D19:D23,D25:D32)</f>
        <v>52000</v>
      </c>
    </row>
    <row r="34" spans="1:4" ht="15.75" customHeight="1" thickBot="1" x14ac:dyDescent="0.4">
      <c r="A34" s="246" t="s">
        <v>5758</v>
      </c>
      <c r="B34" s="245"/>
      <c r="C34" s="244"/>
      <c r="D34" s="244"/>
    </row>
    <row r="35" spans="1:4" ht="15.75" customHeight="1" thickBot="1" x14ac:dyDescent="0.4">
      <c r="A35" s="242" t="s">
        <v>5409</v>
      </c>
      <c r="B35" s="243">
        <v>21010000</v>
      </c>
      <c r="C35" s="244">
        <v>2000</v>
      </c>
      <c r="D35" s="244">
        <v>2000</v>
      </c>
    </row>
    <row r="36" spans="1:4" ht="15.75" customHeight="1" thickBot="1" x14ac:dyDescent="0.4">
      <c r="A36" s="242" t="s">
        <v>5410</v>
      </c>
      <c r="B36" s="243">
        <v>21020000</v>
      </c>
      <c r="C36" s="244">
        <v>2000</v>
      </c>
      <c r="D36" s="244">
        <v>2000</v>
      </c>
    </row>
    <row r="37" spans="1:4" ht="15.75" customHeight="1" thickBot="1" x14ac:dyDescent="0.4">
      <c r="A37" s="242" t="s">
        <v>5411</v>
      </c>
      <c r="B37" s="243">
        <v>21030000</v>
      </c>
      <c r="C37" s="244">
        <v>2000</v>
      </c>
      <c r="D37" s="244">
        <v>2000</v>
      </c>
    </row>
    <row r="38" spans="1:4" ht="15.75" customHeight="1" thickBot="1" x14ac:dyDescent="0.4">
      <c r="A38" s="242" t="s">
        <v>5412</v>
      </c>
      <c r="B38" s="243">
        <v>21040000</v>
      </c>
      <c r="C38" s="244">
        <v>2000</v>
      </c>
      <c r="D38" s="244">
        <v>2000</v>
      </c>
    </row>
    <row r="39" spans="1:4" ht="15.75" customHeight="1" thickBot="1" x14ac:dyDescent="0.4">
      <c r="A39" s="242" t="s">
        <v>5405</v>
      </c>
      <c r="B39" s="243">
        <v>21990000</v>
      </c>
      <c r="C39" s="244">
        <v>2000</v>
      </c>
      <c r="D39" s="244">
        <v>2000</v>
      </c>
    </row>
    <row r="40" spans="1:4" ht="15.75" customHeight="1" thickBot="1" x14ac:dyDescent="0.4">
      <c r="A40" s="246" t="s">
        <v>5413</v>
      </c>
      <c r="B40" s="247">
        <v>20000000</v>
      </c>
      <c r="C40" s="314">
        <f>SUM(C35:C39)</f>
        <v>10000</v>
      </c>
      <c r="D40" s="314">
        <f>SUM(D35:D39)</f>
        <v>10000</v>
      </c>
    </row>
    <row r="41" spans="1:4" ht="15.75" customHeight="1" thickBot="1" x14ac:dyDescent="0.4">
      <c r="A41" s="246" t="s">
        <v>5759</v>
      </c>
      <c r="B41" s="245"/>
      <c r="C41" s="244"/>
      <c r="D41" s="244"/>
    </row>
    <row r="42" spans="1:4" ht="15.75" customHeight="1" thickBot="1" x14ac:dyDescent="0.4">
      <c r="A42" s="242" t="s">
        <v>5760</v>
      </c>
      <c r="B42" s="243">
        <v>31010000</v>
      </c>
      <c r="C42" s="244">
        <v>2000</v>
      </c>
      <c r="D42" s="244">
        <v>2000</v>
      </c>
    </row>
    <row r="43" spans="1:4" ht="15.75" customHeight="1" thickBot="1" x14ac:dyDescent="0.4">
      <c r="A43" s="242" t="s">
        <v>5761</v>
      </c>
      <c r="B43" s="243">
        <v>31020000</v>
      </c>
      <c r="C43" s="244">
        <v>2000</v>
      </c>
      <c r="D43" s="244">
        <v>2000</v>
      </c>
    </row>
    <row r="44" spans="1:4" ht="15.75" customHeight="1" thickBot="1" x14ac:dyDescent="0.4">
      <c r="A44" s="242" t="s">
        <v>5414</v>
      </c>
      <c r="B44" s="243">
        <v>31030000</v>
      </c>
      <c r="C44" s="244">
        <v>2000</v>
      </c>
      <c r="D44" s="244">
        <v>2000</v>
      </c>
    </row>
    <row r="45" spans="1:4" ht="15.75" customHeight="1" thickBot="1" x14ac:dyDescent="0.4">
      <c r="A45" s="242" t="s">
        <v>5405</v>
      </c>
      <c r="B45" s="243">
        <v>31990000</v>
      </c>
      <c r="C45" s="244">
        <v>2000</v>
      </c>
      <c r="D45" s="244">
        <v>2000</v>
      </c>
    </row>
    <row r="46" spans="1:4" ht="15.75" customHeight="1" thickBot="1" x14ac:dyDescent="0.4">
      <c r="A46" s="246" t="s">
        <v>5415</v>
      </c>
      <c r="B46" s="247">
        <v>30000000</v>
      </c>
      <c r="C46" s="314">
        <f>SUM(C42:C45)</f>
        <v>8000</v>
      </c>
      <c r="D46" s="314">
        <f>SUM(D42:D45)</f>
        <v>8000</v>
      </c>
    </row>
    <row r="47" spans="1:4" ht="15.75" customHeight="1" thickBot="1" x14ac:dyDescent="0.4">
      <c r="A47" s="246" t="s">
        <v>5416</v>
      </c>
      <c r="B47" s="247">
        <v>40000000</v>
      </c>
      <c r="C47" s="314">
        <f>SUM(C33,C40,C46)</f>
        <v>70000</v>
      </c>
      <c r="D47" s="314">
        <f>SUM(D33,D40,D46)</f>
        <v>70000</v>
      </c>
    </row>
    <row r="48" spans="1:4" ht="15.75" customHeight="1" thickBot="1" x14ac:dyDescent="0.4">
      <c r="A48" s="246" t="s">
        <v>5417</v>
      </c>
      <c r="B48" s="247">
        <v>50000000</v>
      </c>
      <c r="C48" s="244">
        <v>50000</v>
      </c>
      <c r="D48" s="244">
        <v>50000</v>
      </c>
    </row>
    <row r="49" spans="1:4" ht="15.75" customHeight="1" thickBot="1" x14ac:dyDescent="0.4">
      <c r="A49" s="246" t="s">
        <v>5418</v>
      </c>
      <c r="B49" s="247">
        <v>60000000</v>
      </c>
      <c r="C49" s="314">
        <f>SUM(C47:C48)</f>
        <v>120000</v>
      </c>
      <c r="D49" s="314">
        <f>SUM(D47:D48)</f>
        <v>120000</v>
      </c>
    </row>
    <row r="50" spans="1:4" ht="15.75" customHeight="1" thickBot="1" x14ac:dyDescent="0.4">
      <c r="A50" s="198"/>
      <c r="B50" s="198"/>
      <c r="C50" s="198"/>
      <c r="D50" s="198"/>
    </row>
    <row r="51" spans="1:4" ht="15.75" customHeight="1" thickBot="1" x14ac:dyDescent="0.4">
      <c r="A51" s="185"/>
      <c r="B51" s="185"/>
      <c r="C51" s="185"/>
      <c r="D51" s="185"/>
    </row>
    <row r="52" spans="1:4" ht="15.75" customHeight="1" thickBot="1" x14ac:dyDescent="0.4">
      <c r="A52" s="197" t="s">
        <v>5419</v>
      </c>
      <c r="B52" s="185"/>
      <c r="C52" s="185"/>
      <c r="D52" s="185"/>
    </row>
    <row r="53" spans="1:4" ht="15.75" customHeight="1" thickBot="1" x14ac:dyDescent="0.4">
      <c r="A53" s="197" t="s">
        <v>5404</v>
      </c>
      <c r="B53" s="185"/>
      <c r="C53" s="185"/>
      <c r="D53" s="185"/>
    </row>
  </sheetData>
  <hyperlinks>
    <hyperlink ref="D1" location="Header!A1" display="Back to Header" xr:uid="{B555E709-B978-4B61-8890-A41D5A98223D}"/>
  </hyperlinks>
  <pageMargins left="0.7" right="0.7" top="0.75" bottom="0.75" header="0" footer="0"/>
  <pageSetup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
    <tabColor theme="5"/>
  </sheetPr>
  <dimension ref="A1:I3"/>
  <sheetViews>
    <sheetView workbookViewId="0">
      <selection activeCell="I1" sqref="I1"/>
    </sheetView>
  </sheetViews>
  <sheetFormatPr defaultColWidth="14.453125" defaultRowHeight="15" customHeight="1" x14ac:dyDescent="0.35"/>
  <cols>
    <col min="1" max="26" width="8.54296875" customWidth="1"/>
  </cols>
  <sheetData>
    <row r="1" spans="1:9" ht="15" customHeight="1" x14ac:dyDescent="0.35">
      <c r="A1" s="103" t="str">
        <f>CONCATENATE("FORM ",Header!A30," - ",Header!B30)</f>
        <v>FORM 0019 - DOKUMEN PENDUKUNG STRUKTUR ORGANISASI</v>
      </c>
      <c r="I1" s="105" t="s">
        <v>5124</v>
      </c>
    </row>
    <row r="3" spans="1:9" ht="15" customHeight="1" x14ac:dyDescent="0.35">
      <c r="B3" s="88" t="s">
        <v>5351</v>
      </c>
    </row>
  </sheetData>
  <hyperlinks>
    <hyperlink ref="I1" location="Header!A1" display="Back to Header" xr:uid="{09061BF9-3F56-449C-8470-B8021C784787}"/>
  </hyperlinks>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tabColor theme="5"/>
  </sheetPr>
  <dimension ref="A1:J3"/>
  <sheetViews>
    <sheetView workbookViewId="0">
      <selection activeCell="J1" sqref="J1"/>
    </sheetView>
  </sheetViews>
  <sheetFormatPr defaultColWidth="14.453125" defaultRowHeight="15" customHeight="1" x14ac:dyDescent="0.35"/>
  <cols>
    <col min="1" max="26" width="8.54296875" customWidth="1"/>
  </cols>
  <sheetData>
    <row r="1" spans="1:10" ht="15" customHeight="1" x14ac:dyDescent="0.35">
      <c r="A1" s="103" t="str">
        <f>CONCATENATE("FORM ",Header!A31," - ",Header!B31)</f>
        <v>FORM 0020 - DOKUMEN PENDUKUNG STRUKTUR KELOMPOK USAHA BPR</v>
      </c>
      <c r="J1" s="105" t="s">
        <v>5124</v>
      </c>
    </row>
    <row r="3" spans="1:10" ht="15" customHeight="1" x14ac:dyDescent="0.35">
      <c r="B3" s="88" t="s">
        <v>5351</v>
      </c>
    </row>
  </sheetData>
  <hyperlinks>
    <hyperlink ref="J1" location="Header!A1" display="Back to Header" xr:uid="{9F25F646-9B8D-4564-B146-EFA7C64FD78F}"/>
  </hyperlinks>
  <pageMargins left="0.7" right="0.7" top="0.75" bottom="0.75" header="0" footer="0"/>
  <pageSetup orientation="landscape"/>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orm_0016">
    <tabColor theme="5"/>
  </sheetPr>
  <dimension ref="A1:D3"/>
  <sheetViews>
    <sheetView workbookViewId="0">
      <selection activeCell="K15" sqref="K15"/>
    </sheetView>
  </sheetViews>
  <sheetFormatPr defaultColWidth="14.453125" defaultRowHeight="15" customHeight="1" x14ac:dyDescent="0.35"/>
  <cols>
    <col min="1" max="1" width="13.08984375" customWidth="1"/>
    <col min="2" max="2" width="31" bestFit="1" customWidth="1"/>
    <col min="3" max="3" width="14.453125" customWidth="1"/>
    <col min="4" max="4" width="13.90625" customWidth="1"/>
    <col min="5" max="5" width="24.90625" customWidth="1"/>
    <col min="6" max="26" width="8.54296875" customWidth="1"/>
  </cols>
  <sheetData>
    <row r="1" spans="1:4" ht="15" customHeight="1" x14ac:dyDescent="0.35">
      <c r="A1" s="103" t="str">
        <f>CONCATENATE("FORM ",Header!A32," - ",Header!B32)</f>
        <v>FORM 0021 - LAPORAN DOKUMEN PENILAIAN RISIKO TPPU, TPPT, DAN/ATAU PPSPM</v>
      </c>
      <c r="D1" s="105" t="s">
        <v>5124</v>
      </c>
    </row>
    <row r="3" spans="1:4" ht="15" customHeight="1" x14ac:dyDescent="0.35">
      <c r="B3" s="88" t="s">
        <v>5351</v>
      </c>
    </row>
  </sheetData>
  <hyperlinks>
    <hyperlink ref="D1" location="Header!A1" display="Back to Header" xr:uid="{BD43EB68-F89D-4FC1-B474-D74AAB515587}"/>
  </hyperlinks>
  <pageMargins left="0.7" right="0.7" top="0.75" bottom="0.75" header="0" footer="0"/>
  <pageSetup orientation="landscape"/>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orm_0100">
    <tabColor rgb="FF99FF33"/>
  </sheetPr>
  <dimension ref="A1:Q190"/>
  <sheetViews>
    <sheetView showGridLines="0" tabSelected="1" topLeftCell="B55" zoomScaleNormal="100" workbookViewId="0">
      <selection activeCell="H65" sqref="H65"/>
    </sheetView>
  </sheetViews>
  <sheetFormatPr defaultColWidth="14.453125" defaultRowHeight="15" customHeight="1" x14ac:dyDescent="0.35"/>
  <cols>
    <col min="1" max="1" width="10.453125" customWidth="1"/>
    <col min="2" max="2" width="7.453125" customWidth="1"/>
    <col min="3" max="3" width="3.453125" customWidth="1"/>
    <col min="4" max="4" width="59.54296875" customWidth="1"/>
    <col min="5" max="5" width="19.453125" customWidth="1"/>
    <col min="6" max="12" width="18" customWidth="1"/>
    <col min="13" max="13" width="15.08984375" style="300" customWidth="1"/>
    <col min="14" max="15" width="12.90625" style="300" customWidth="1"/>
    <col min="16" max="16" width="12.08984375" style="300" customWidth="1"/>
    <col min="17" max="17" width="14.08984375" style="300" customWidth="1"/>
    <col min="18" max="33" width="8.54296875" customWidth="1"/>
  </cols>
  <sheetData>
    <row r="1" spans="1:12" ht="14.5" x14ac:dyDescent="0.35">
      <c r="A1" s="103" t="str">
        <f>CONCATENATE("FORM ",Header!A33," - ",Header!B33)</f>
        <v>FORM 0100 - LAPORAN POSISI KEUANGAN</v>
      </c>
      <c r="B1" s="134"/>
      <c r="C1" s="134"/>
      <c r="D1" s="134"/>
      <c r="E1" s="162" t="s">
        <v>5124</v>
      </c>
      <c r="F1" s="137"/>
      <c r="G1" s="301"/>
      <c r="H1" s="301"/>
      <c r="I1" s="301"/>
      <c r="J1" s="301"/>
      <c r="K1" s="301"/>
      <c r="L1" s="301"/>
    </row>
    <row r="2" spans="1:12" ht="29.5" thickBot="1" x14ac:dyDescent="0.4">
      <c r="A2" s="106" t="s">
        <v>5125</v>
      </c>
      <c r="B2" s="139" t="s">
        <v>5232</v>
      </c>
      <c r="C2" s="479" t="s">
        <v>5435</v>
      </c>
      <c r="D2" s="480"/>
      <c r="E2" s="163" t="s">
        <v>5391</v>
      </c>
      <c r="F2" s="107" t="s">
        <v>5265</v>
      </c>
      <c r="G2" s="302"/>
      <c r="H2" s="302"/>
      <c r="I2" s="302"/>
      <c r="J2" s="302"/>
      <c r="K2" s="302"/>
      <c r="L2" s="302"/>
    </row>
    <row r="3" spans="1:12" thickBot="1" x14ac:dyDescent="0.4">
      <c r="A3" s="220" t="s">
        <v>5128</v>
      </c>
      <c r="B3" s="265" t="s">
        <v>1006</v>
      </c>
      <c r="C3" s="199" t="s">
        <v>5436</v>
      </c>
      <c r="D3" s="200"/>
      <c r="E3" s="201">
        <v>1101010000</v>
      </c>
      <c r="F3" s="221">
        <f>F66+F129</f>
        <v>50200000</v>
      </c>
      <c r="G3" s="303"/>
      <c r="H3" s="303"/>
      <c r="I3" s="303"/>
      <c r="J3" s="303"/>
      <c r="K3" s="303"/>
      <c r="L3" s="303"/>
    </row>
    <row r="4" spans="1:12" thickBot="1" x14ac:dyDescent="0.4">
      <c r="A4" s="222" t="s">
        <v>5128</v>
      </c>
      <c r="B4" s="265" t="s">
        <v>1006</v>
      </c>
      <c r="C4" s="202" t="s">
        <v>5437</v>
      </c>
      <c r="D4" s="203"/>
      <c r="E4" s="204">
        <v>1101020000</v>
      </c>
      <c r="F4" s="223">
        <f t="shared" ref="F4:F26" si="0">F67+F130</f>
        <v>19250000</v>
      </c>
      <c r="G4" s="303"/>
      <c r="H4" s="303"/>
      <c r="I4" s="303"/>
      <c r="J4" s="303"/>
      <c r="K4" s="303"/>
      <c r="L4" s="303"/>
    </row>
    <row r="5" spans="1:12" thickBot="1" x14ac:dyDescent="0.4">
      <c r="A5" s="222" t="s">
        <v>5128</v>
      </c>
      <c r="B5" s="265" t="s">
        <v>1006</v>
      </c>
      <c r="C5" s="202" t="s">
        <v>5438</v>
      </c>
      <c r="D5" s="203"/>
      <c r="E5" s="204">
        <v>1102000000</v>
      </c>
      <c r="F5" s="223">
        <f t="shared" si="0"/>
        <v>2200000</v>
      </c>
      <c r="G5" s="303"/>
      <c r="H5" s="303"/>
      <c r="I5" s="303"/>
      <c r="J5" s="303"/>
      <c r="K5" s="303"/>
      <c r="L5" s="303"/>
    </row>
    <row r="6" spans="1:12" thickBot="1" x14ac:dyDescent="0.4">
      <c r="A6" s="224" t="s">
        <v>5128</v>
      </c>
      <c r="B6" s="265" t="s">
        <v>1006</v>
      </c>
      <c r="C6" s="206" t="s">
        <v>5439</v>
      </c>
      <c r="D6" s="206" t="s">
        <v>5518</v>
      </c>
      <c r="E6" s="207">
        <v>1102010000</v>
      </c>
      <c r="F6" s="207">
        <f>F69+F132</f>
        <v>1200</v>
      </c>
      <c r="G6" s="304"/>
      <c r="H6" s="304"/>
      <c r="I6" s="304"/>
      <c r="J6" s="304"/>
      <c r="K6" s="304"/>
      <c r="L6" s="304"/>
    </row>
    <row r="7" spans="1:12" thickBot="1" x14ac:dyDescent="0.4">
      <c r="A7" s="222" t="s">
        <v>5128</v>
      </c>
      <c r="B7" s="265" t="s">
        <v>1006</v>
      </c>
      <c r="C7" s="202" t="s">
        <v>2284</v>
      </c>
      <c r="D7" s="203"/>
      <c r="E7" s="204">
        <v>1103010000</v>
      </c>
      <c r="F7" s="223">
        <f t="shared" si="0"/>
        <v>400000</v>
      </c>
      <c r="G7" s="303"/>
      <c r="H7" s="303"/>
      <c r="I7" s="303"/>
      <c r="J7" s="303"/>
      <c r="K7" s="303"/>
      <c r="L7" s="303"/>
    </row>
    <row r="8" spans="1:12" thickBot="1" x14ac:dyDescent="0.4">
      <c r="A8" s="222" t="s">
        <v>5128</v>
      </c>
      <c r="B8" s="265" t="s">
        <v>1006</v>
      </c>
      <c r="C8" s="203" t="s">
        <v>5439</v>
      </c>
      <c r="D8" s="266" t="s">
        <v>5518</v>
      </c>
      <c r="E8" s="204">
        <v>1103020000</v>
      </c>
      <c r="F8" s="223">
        <f t="shared" si="0"/>
        <v>400000</v>
      </c>
      <c r="G8" s="303"/>
      <c r="H8" s="304"/>
      <c r="I8" s="303"/>
      <c r="J8" s="303"/>
      <c r="K8" s="303"/>
      <c r="L8" s="303"/>
    </row>
    <row r="9" spans="1:12" thickBot="1" x14ac:dyDescent="0.4">
      <c r="A9" s="222" t="s">
        <v>5128</v>
      </c>
      <c r="B9" s="265" t="s">
        <v>1006</v>
      </c>
      <c r="C9" s="202" t="s">
        <v>5440</v>
      </c>
      <c r="D9" s="203"/>
      <c r="E9" s="204">
        <v>1104010100</v>
      </c>
      <c r="F9" s="223">
        <f t="shared" si="0"/>
        <v>2800000</v>
      </c>
      <c r="G9" s="303"/>
      <c r="H9" s="303"/>
      <c r="I9" s="303"/>
      <c r="J9" s="303"/>
      <c r="K9" s="303"/>
      <c r="L9" s="303"/>
    </row>
    <row r="10" spans="1:12" thickBot="1" x14ac:dyDescent="0.4">
      <c r="A10" s="222" t="s">
        <v>5128</v>
      </c>
      <c r="B10" s="265" t="s">
        <v>1006</v>
      </c>
      <c r="C10" s="203" t="s">
        <v>5439</v>
      </c>
      <c r="D10" s="203" t="s">
        <v>5441</v>
      </c>
      <c r="E10" s="204">
        <v>1104010200</v>
      </c>
      <c r="F10" s="223">
        <f t="shared" si="0"/>
        <v>2000000</v>
      </c>
      <c r="G10" s="303"/>
      <c r="H10" s="304"/>
      <c r="I10" s="303"/>
      <c r="J10" s="303"/>
      <c r="K10" s="303"/>
      <c r="L10" s="303"/>
    </row>
    <row r="11" spans="1:12" thickBot="1" x14ac:dyDescent="0.4">
      <c r="A11" s="222" t="s">
        <v>5128</v>
      </c>
      <c r="B11" s="265" t="s">
        <v>1006</v>
      </c>
      <c r="C11" s="202" t="s">
        <v>5442</v>
      </c>
      <c r="D11" s="203"/>
      <c r="E11" s="204">
        <v>1104010300</v>
      </c>
      <c r="F11" s="223">
        <f t="shared" si="0"/>
        <v>20000000</v>
      </c>
      <c r="G11" s="303"/>
      <c r="H11" s="303"/>
      <c r="I11" s="303"/>
      <c r="J11" s="303"/>
      <c r="K11" s="303"/>
      <c r="L11" s="303"/>
    </row>
    <row r="12" spans="1:12" thickBot="1" x14ac:dyDescent="0.4">
      <c r="A12" s="222" t="s">
        <v>5128</v>
      </c>
      <c r="B12" s="265" t="s">
        <v>1006</v>
      </c>
      <c r="C12" s="203" t="s">
        <v>5439</v>
      </c>
      <c r="D12" s="203" t="s">
        <v>5443</v>
      </c>
      <c r="E12" s="204">
        <v>1104010400</v>
      </c>
      <c r="F12" s="223">
        <f t="shared" si="0"/>
        <v>20000000</v>
      </c>
      <c r="G12" s="303"/>
      <c r="H12" s="304"/>
      <c r="I12" s="303"/>
      <c r="J12" s="303"/>
      <c r="K12" s="303"/>
      <c r="L12" s="303"/>
    </row>
    <row r="13" spans="1:12" thickBot="1" x14ac:dyDescent="0.4">
      <c r="A13" s="222" t="s">
        <v>5128</v>
      </c>
      <c r="B13" s="265" t="s">
        <v>1006</v>
      </c>
      <c r="C13" s="203" t="s">
        <v>5439</v>
      </c>
      <c r="D13" s="203" t="s">
        <v>5444</v>
      </c>
      <c r="E13" s="204">
        <v>1104010500</v>
      </c>
      <c r="F13" s="223">
        <f t="shared" si="0"/>
        <v>0</v>
      </c>
      <c r="G13" s="303"/>
      <c r="H13" s="304"/>
      <c r="I13" s="303"/>
      <c r="J13" s="303"/>
      <c r="K13" s="303"/>
      <c r="L13" s="303"/>
    </row>
    <row r="14" spans="1:12" thickBot="1" x14ac:dyDescent="0.4">
      <c r="A14" s="222" t="s">
        <v>5128</v>
      </c>
      <c r="B14" s="265" t="s">
        <v>1006</v>
      </c>
      <c r="C14" s="203" t="s">
        <v>5439</v>
      </c>
      <c r="D14" s="266" t="s">
        <v>5518</v>
      </c>
      <c r="E14" s="204">
        <v>1104020000</v>
      </c>
      <c r="F14" s="223">
        <f t="shared" si="0"/>
        <v>150000</v>
      </c>
      <c r="G14" s="303"/>
      <c r="H14" s="304"/>
      <c r="I14" s="303"/>
      <c r="J14" s="303"/>
      <c r="K14" s="303"/>
      <c r="L14" s="303"/>
    </row>
    <row r="15" spans="1:12" thickBot="1" x14ac:dyDescent="0.4">
      <c r="A15" s="224" t="s">
        <v>5128</v>
      </c>
      <c r="B15" s="265" t="s">
        <v>1006</v>
      </c>
      <c r="C15" s="205" t="s">
        <v>5445</v>
      </c>
      <c r="D15" s="206"/>
      <c r="E15" s="207">
        <v>1105000000</v>
      </c>
      <c r="F15" s="207">
        <v>1</v>
      </c>
      <c r="G15" s="303"/>
      <c r="H15" s="304"/>
      <c r="I15" s="304"/>
      <c r="J15" s="304"/>
      <c r="K15" s="304"/>
      <c r="L15" s="304"/>
    </row>
    <row r="16" spans="1:12" thickBot="1" x14ac:dyDescent="0.4">
      <c r="A16" s="224" t="s">
        <v>5128</v>
      </c>
      <c r="B16" s="265" t="s">
        <v>1006</v>
      </c>
      <c r="C16" s="206" t="s">
        <v>5439</v>
      </c>
      <c r="D16" s="206" t="s">
        <v>5518</v>
      </c>
      <c r="E16" s="207">
        <v>1105010000</v>
      </c>
      <c r="F16" s="207">
        <f t="shared" si="0"/>
        <v>1000</v>
      </c>
      <c r="G16" s="304"/>
      <c r="H16" s="304"/>
      <c r="I16" s="304"/>
      <c r="J16" s="304"/>
      <c r="K16" s="304"/>
      <c r="L16" s="304"/>
    </row>
    <row r="17" spans="1:16" thickBot="1" x14ac:dyDescent="0.4">
      <c r="A17" s="222" t="s">
        <v>5128</v>
      </c>
      <c r="B17" s="265" t="s">
        <v>1006</v>
      </c>
      <c r="C17" s="202" t="s">
        <v>5428</v>
      </c>
      <c r="D17" s="203"/>
      <c r="E17" s="204">
        <v>1201000000</v>
      </c>
      <c r="F17" s="223">
        <f t="shared" si="0"/>
        <v>33000</v>
      </c>
      <c r="G17" s="303"/>
      <c r="H17" s="303"/>
      <c r="I17" s="303"/>
      <c r="J17" s="303"/>
      <c r="K17" s="303"/>
      <c r="L17" s="303"/>
    </row>
    <row r="18" spans="1:16" thickBot="1" x14ac:dyDescent="0.4">
      <c r="A18" s="224" t="s">
        <v>5128</v>
      </c>
      <c r="B18" s="265" t="s">
        <v>1006</v>
      </c>
      <c r="C18" s="205" t="s">
        <v>5446</v>
      </c>
      <c r="D18" s="206"/>
      <c r="E18" s="207">
        <v>1205000000</v>
      </c>
      <c r="F18" s="207">
        <f t="shared" si="0"/>
        <v>180000</v>
      </c>
      <c r="G18" s="303"/>
      <c r="H18" s="304"/>
      <c r="I18" s="304"/>
      <c r="J18" s="304"/>
      <c r="K18" s="304"/>
      <c r="L18" s="304"/>
    </row>
    <row r="19" spans="1:16" thickBot="1" x14ac:dyDescent="0.4">
      <c r="A19" s="222" t="s">
        <v>5128</v>
      </c>
      <c r="B19" s="265" t="s">
        <v>1006</v>
      </c>
      <c r="C19" s="202" t="s">
        <v>5447</v>
      </c>
      <c r="D19" s="203"/>
      <c r="E19" s="204">
        <v>1202010000</v>
      </c>
      <c r="F19" s="223">
        <f>F82+F145</f>
        <v>8000000</v>
      </c>
      <c r="G19" s="303"/>
      <c r="H19" s="303"/>
      <c r="I19" s="303"/>
      <c r="J19" s="303"/>
      <c r="K19" s="303"/>
      <c r="L19" s="303"/>
    </row>
    <row r="20" spans="1:16" thickBot="1" x14ac:dyDescent="0.4">
      <c r="A20" s="222" t="s">
        <v>5128</v>
      </c>
      <c r="B20" s="265" t="s">
        <v>1006</v>
      </c>
      <c r="C20" s="203" t="s">
        <v>5439</v>
      </c>
      <c r="D20" s="203" t="s">
        <v>5448</v>
      </c>
      <c r="E20" s="204">
        <v>1202020000</v>
      </c>
      <c r="F20" s="223">
        <f t="shared" si="0"/>
        <v>800000</v>
      </c>
      <c r="G20" s="303"/>
      <c r="H20" s="304"/>
      <c r="I20" s="303"/>
      <c r="J20" s="303"/>
      <c r="K20" s="303"/>
      <c r="L20" s="303"/>
    </row>
    <row r="21" spans="1:16" ht="15.75" customHeight="1" thickBot="1" x14ac:dyDescent="0.4">
      <c r="A21" s="222" t="s">
        <v>5128</v>
      </c>
      <c r="B21" s="265" t="s">
        <v>1006</v>
      </c>
      <c r="C21" s="202" t="s">
        <v>5449</v>
      </c>
      <c r="D21" s="203"/>
      <c r="E21" s="204">
        <v>1203010000</v>
      </c>
      <c r="F21" s="223">
        <f>F84+F147</f>
        <v>4000000</v>
      </c>
      <c r="G21" s="303"/>
      <c r="H21" s="303"/>
      <c r="I21" s="303"/>
      <c r="J21" s="303"/>
      <c r="K21" s="303"/>
      <c r="L21" s="303"/>
    </row>
    <row r="22" spans="1:16" ht="15.75" customHeight="1" thickBot="1" x14ac:dyDescent="0.4">
      <c r="A22" s="222" t="s">
        <v>5128</v>
      </c>
      <c r="B22" s="265" t="s">
        <v>1006</v>
      </c>
      <c r="C22" s="203" t="s">
        <v>5439</v>
      </c>
      <c r="D22" s="203" t="s">
        <v>5450</v>
      </c>
      <c r="E22" s="204">
        <v>1203020000</v>
      </c>
      <c r="F22" s="223">
        <f t="shared" si="0"/>
        <v>2585000</v>
      </c>
      <c r="G22" s="303"/>
      <c r="H22" s="303"/>
      <c r="I22" s="303"/>
      <c r="J22" s="303"/>
      <c r="K22" s="303"/>
      <c r="L22" s="303"/>
    </row>
    <row r="23" spans="1:16" ht="15.75" customHeight="1" thickBot="1" x14ac:dyDescent="0.4">
      <c r="A23" s="222" t="s">
        <v>5128</v>
      </c>
      <c r="B23" s="265" t="s">
        <v>1006</v>
      </c>
      <c r="C23" s="202" t="s">
        <v>5451</v>
      </c>
      <c r="D23" s="203"/>
      <c r="E23" s="204">
        <v>1204000000</v>
      </c>
      <c r="F23" s="223">
        <f t="shared" si="0"/>
        <v>6000000</v>
      </c>
      <c r="G23" s="303"/>
      <c r="H23" s="303"/>
      <c r="I23" s="303"/>
      <c r="J23" s="303"/>
      <c r="K23" s="303"/>
      <c r="L23" s="303"/>
    </row>
    <row r="24" spans="1:16" ht="15.75" customHeight="1" thickBot="1" x14ac:dyDescent="0.4">
      <c r="A24" s="224" t="s">
        <v>5128</v>
      </c>
      <c r="B24" s="265" t="s">
        <v>1006</v>
      </c>
      <c r="C24" s="205" t="s">
        <v>5452</v>
      </c>
      <c r="D24" s="206"/>
      <c r="E24" s="207">
        <v>1206000000</v>
      </c>
      <c r="F24" s="207">
        <f t="shared" si="0"/>
        <v>100000</v>
      </c>
      <c r="G24" s="303"/>
      <c r="H24" s="304"/>
      <c r="I24" s="304"/>
      <c r="J24" s="304"/>
      <c r="K24" s="304"/>
      <c r="L24" s="304"/>
    </row>
    <row r="25" spans="1:16" ht="15.75" customHeight="1" thickBot="1" x14ac:dyDescent="0.4">
      <c r="A25" s="224" t="s">
        <v>5128</v>
      </c>
      <c r="B25" s="265" t="s">
        <v>1006</v>
      </c>
      <c r="C25" s="206" t="s">
        <v>5439</v>
      </c>
      <c r="D25" s="206" t="s">
        <v>5518</v>
      </c>
      <c r="E25" s="207">
        <v>1206010000</v>
      </c>
      <c r="F25" s="207">
        <f t="shared" si="0"/>
        <v>10000</v>
      </c>
      <c r="G25" s="304"/>
      <c r="H25" s="304"/>
      <c r="I25" s="304"/>
      <c r="J25" s="304"/>
      <c r="K25" s="304"/>
      <c r="L25" s="304"/>
    </row>
    <row r="26" spans="1:16" ht="15.75" customHeight="1" thickBot="1" x14ac:dyDescent="0.4">
      <c r="A26" s="222" t="s">
        <v>5128</v>
      </c>
      <c r="B26" s="265" t="s">
        <v>1006</v>
      </c>
      <c r="C26" s="202" t="s">
        <v>5453</v>
      </c>
      <c r="D26" s="203"/>
      <c r="E26" s="204">
        <v>1299000000</v>
      </c>
      <c r="F26" s="311">
        <f t="shared" si="0"/>
        <v>2710000</v>
      </c>
      <c r="G26" s="303"/>
      <c r="H26" s="303"/>
      <c r="I26" s="303"/>
      <c r="J26" s="303"/>
      <c r="K26" s="303"/>
      <c r="L26" s="303"/>
    </row>
    <row r="27" spans="1:16" ht="15.75" customHeight="1" thickBot="1" x14ac:dyDescent="0.4">
      <c r="A27" s="222" t="s">
        <v>5128</v>
      </c>
      <c r="B27" s="265" t="s">
        <v>1006</v>
      </c>
      <c r="C27" s="208" t="s">
        <v>5454</v>
      </c>
      <c r="D27" s="203"/>
      <c r="E27" s="209">
        <v>1000000000</v>
      </c>
      <c r="F27" s="225">
        <f>F3+F4+F5-F6+F7-F8+F9-F10+F11-F12-F13-F14+F15-F16+F17+F18+F19-F20+F21-F22+F23+F24-F25+F26</f>
        <v>89925801</v>
      </c>
      <c r="G27" s="305"/>
      <c r="H27" s="305"/>
      <c r="I27" s="305"/>
      <c r="J27" s="305"/>
      <c r="K27" s="305"/>
      <c r="L27" s="305"/>
    </row>
    <row r="28" spans="1:16" ht="15.75" customHeight="1" thickBot="1" x14ac:dyDescent="0.4">
      <c r="A28" s="222" t="s">
        <v>5144</v>
      </c>
      <c r="B28" s="265" t="s">
        <v>1006</v>
      </c>
      <c r="C28" s="208" t="s">
        <v>5455</v>
      </c>
      <c r="D28" s="203"/>
      <c r="E28" s="204"/>
      <c r="F28" s="204"/>
      <c r="G28" s="307"/>
      <c r="H28" s="310"/>
      <c r="I28" s="310"/>
      <c r="J28" s="310"/>
      <c r="K28" s="310"/>
      <c r="L28" s="310"/>
      <c r="M28" s="310"/>
      <c r="N28" s="310"/>
      <c r="O28" s="310"/>
      <c r="P28" s="310"/>
    </row>
    <row r="29" spans="1:16" ht="15.75" customHeight="1" thickBot="1" x14ac:dyDescent="0.4">
      <c r="A29" s="222" t="s">
        <v>5128</v>
      </c>
      <c r="B29" s="265" t="s">
        <v>1006</v>
      </c>
      <c r="C29" s="202" t="s">
        <v>5456</v>
      </c>
      <c r="D29" s="203"/>
      <c r="E29" s="204">
        <v>2101000000</v>
      </c>
      <c r="F29" s="311">
        <f t="shared" ref="F29" si="1">F92+F155</f>
        <v>21498801</v>
      </c>
      <c r="G29" s="305"/>
      <c r="H29" s="304"/>
      <c r="I29" s="304"/>
      <c r="J29" s="304"/>
      <c r="K29" s="304"/>
      <c r="L29" s="308"/>
    </row>
    <row r="30" spans="1:16" ht="15.75" customHeight="1" thickBot="1" x14ac:dyDescent="0.4">
      <c r="A30" s="222" t="s">
        <v>5144</v>
      </c>
      <c r="B30" s="265" t="s">
        <v>1006</v>
      </c>
      <c r="C30" s="202" t="s">
        <v>5457</v>
      </c>
      <c r="D30" s="203"/>
      <c r="E30" s="204"/>
      <c r="F30" s="204"/>
      <c r="G30" s="304"/>
      <c r="H30" s="304"/>
      <c r="I30" s="304"/>
      <c r="J30" s="304"/>
      <c r="K30" s="304"/>
      <c r="L30" s="304"/>
    </row>
    <row r="31" spans="1:16" ht="15.75" customHeight="1" thickBot="1" x14ac:dyDescent="0.4">
      <c r="A31" s="222" t="s">
        <v>5128</v>
      </c>
      <c r="B31" s="265" t="s">
        <v>1006</v>
      </c>
      <c r="C31" s="203" t="s">
        <v>5458</v>
      </c>
      <c r="D31" s="203" t="s">
        <v>2635</v>
      </c>
      <c r="E31" s="204">
        <v>2102010100</v>
      </c>
      <c r="F31" s="311">
        <f t="shared" ref="F31:F42" si="2">F94+F157</f>
        <v>8000000</v>
      </c>
      <c r="G31" s="303"/>
      <c r="H31" s="303"/>
      <c r="I31" s="303"/>
      <c r="J31" s="303"/>
      <c r="K31" s="303"/>
      <c r="L31" s="303"/>
    </row>
    <row r="32" spans="1:16" ht="15.75" customHeight="1" thickBot="1" x14ac:dyDescent="0.4">
      <c r="A32" s="222" t="s">
        <v>5128</v>
      </c>
      <c r="B32" s="265" t="s">
        <v>1006</v>
      </c>
      <c r="C32" s="203"/>
      <c r="D32" s="203" t="s">
        <v>5459</v>
      </c>
      <c r="E32" s="204">
        <v>2102010200</v>
      </c>
      <c r="F32" s="311">
        <f t="shared" si="2"/>
        <v>4000</v>
      </c>
      <c r="G32" s="303"/>
      <c r="H32" s="303"/>
      <c r="I32" s="303"/>
      <c r="J32" s="303"/>
      <c r="K32" s="303"/>
      <c r="L32" s="303"/>
    </row>
    <row r="33" spans="1:12" ht="15.75" customHeight="1" thickBot="1" x14ac:dyDescent="0.4">
      <c r="A33" s="222" t="s">
        <v>5128</v>
      </c>
      <c r="B33" s="265" t="s">
        <v>1006</v>
      </c>
      <c r="C33" s="203" t="s">
        <v>5460</v>
      </c>
      <c r="D33" s="203" t="s">
        <v>2638</v>
      </c>
      <c r="E33" s="204">
        <v>2102020100</v>
      </c>
      <c r="F33" s="311">
        <f t="shared" si="2"/>
        <v>8000000</v>
      </c>
      <c r="G33" s="303"/>
      <c r="H33" s="303"/>
      <c r="I33" s="303"/>
      <c r="J33" s="303"/>
      <c r="K33" s="303"/>
      <c r="L33" s="303"/>
    </row>
    <row r="34" spans="1:12" ht="15.75" customHeight="1" thickBot="1" x14ac:dyDescent="0.4">
      <c r="A34" s="222" t="s">
        <v>5128</v>
      </c>
      <c r="B34" s="265" t="s">
        <v>1006</v>
      </c>
      <c r="C34" s="203"/>
      <c r="D34" s="203" t="s">
        <v>5459</v>
      </c>
      <c r="E34" s="204">
        <v>2102020200</v>
      </c>
      <c r="F34" s="311">
        <f t="shared" si="2"/>
        <v>4000</v>
      </c>
      <c r="G34" s="303"/>
      <c r="H34" s="303"/>
      <c r="I34" s="303"/>
      <c r="J34" s="303"/>
      <c r="K34" s="303"/>
      <c r="L34" s="303"/>
    </row>
    <row r="35" spans="1:12" ht="15.75" customHeight="1" thickBot="1" x14ac:dyDescent="0.4">
      <c r="A35" s="222" t="s">
        <v>5128</v>
      </c>
      <c r="B35" s="265" t="s">
        <v>1006</v>
      </c>
      <c r="C35" s="202" t="s">
        <v>5461</v>
      </c>
      <c r="D35" s="203"/>
      <c r="E35" s="204">
        <v>2103010000</v>
      </c>
      <c r="F35" s="311">
        <f t="shared" si="2"/>
        <v>2000000</v>
      </c>
      <c r="G35" s="303"/>
      <c r="H35" s="303"/>
      <c r="I35" s="303"/>
      <c r="J35" s="303"/>
      <c r="K35" s="303"/>
      <c r="L35" s="303"/>
    </row>
    <row r="36" spans="1:12" ht="15.75" customHeight="1" thickBot="1" x14ac:dyDescent="0.4">
      <c r="A36" s="222" t="s">
        <v>5128</v>
      </c>
      <c r="B36" s="265" t="s">
        <v>1006</v>
      </c>
      <c r="C36" s="203" t="s">
        <v>5439</v>
      </c>
      <c r="D36" s="203" t="s">
        <v>5277</v>
      </c>
      <c r="E36" s="204">
        <v>2103020000</v>
      </c>
      <c r="F36" s="311">
        <f t="shared" si="2"/>
        <v>1000000</v>
      </c>
      <c r="G36" s="303"/>
      <c r="H36" s="303"/>
      <c r="I36" s="303"/>
      <c r="J36" s="303"/>
      <c r="K36" s="303"/>
      <c r="L36" s="303"/>
    </row>
    <row r="37" spans="1:12" ht="15.75" customHeight="1" thickBot="1" x14ac:dyDescent="0.4">
      <c r="A37" s="222" t="s">
        <v>5128</v>
      </c>
      <c r="B37" s="265" t="s">
        <v>1006</v>
      </c>
      <c r="C37" s="202" t="s">
        <v>5462</v>
      </c>
      <c r="D37" s="203"/>
      <c r="E37" s="204">
        <v>2201010000</v>
      </c>
      <c r="F37" s="311">
        <f t="shared" si="2"/>
        <v>4000000</v>
      </c>
      <c r="G37" s="303"/>
      <c r="H37" s="303"/>
      <c r="I37" s="303"/>
      <c r="J37" s="303"/>
      <c r="K37" s="303"/>
      <c r="L37" s="303"/>
    </row>
    <row r="38" spans="1:12" ht="15.75" customHeight="1" thickBot="1" x14ac:dyDescent="0.4">
      <c r="A38" s="222" t="s">
        <v>5128</v>
      </c>
      <c r="B38" s="265" t="s">
        <v>1006</v>
      </c>
      <c r="C38" s="203" t="s">
        <v>5439</v>
      </c>
      <c r="D38" s="203" t="s">
        <v>5277</v>
      </c>
      <c r="E38" s="204">
        <v>2201020000</v>
      </c>
      <c r="F38" s="311">
        <f t="shared" si="2"/>
        <v>2000000</v>
      </c>
      <c r="G38" s="303"/>
      <c r="H38" s="303"/>
      <c r="I38" s="303"/>
      <c r="J38" s="303"/>
      <c r="K38" s="303"/>
      <c r="L38" s="303"/>
    </row>
    <row r="39" spans="1:12" ht="15.75" customHeight="1" thickBot="1" x14ac:dyDescent="0.4">
      <c r="A39" s="222" t="s">
        <v>5128</v>
      </c>
      <c r="B39" s="265" t="s">
        <v>1006</v>
      </c>
      <c r="C39" s="203" t="s">
        <v>5439</v>
      </c>
      <c r="D39" s="203" t="s">
        <v>5278</v>
      </c>
      <c r="E39" s="204">
        <v>2201030000</v>
      </c>
      <c r="F39" s="311">
        <f t="shared" si="2"/>
        <v>2000000</v>
      </c>
      <c r="G39" s="303"/>
      <c r="H39" s="303"/>
      <c r="I39" s="303"/>
      <c r="J39" s="303"/>
      <c r="K39" s="303"/>
      <c r="L39" s="303"/>
    </row>
    <row r="40" spans="1:12" ht="15.75" customHeight="1" thickBot="1" x14ac:dyDescent="0.4">
      <c r="A40" s="222" t="s">
        <v>5128</v>
      </c>
      <c r="B40" s="265" t="s">
        <v>1006</v>
      </c>
      <c r="C40" s="202" t="s">
        <v>5463</v>
      </c>
      <c r="D40" s="203"/>
      <c r="E40" s="204">
        <v>2202000000</v>
      </c>
      <c r="F40" s="311">
        <f t="shared" si="2"/>
        <v>2000000</v>
      </c>
      <c r="G40" s="303"/>
      <c r="H40" s="303"/>
      <c r="I40" s="303"/>
      <c r="J40" s="303"/>
      <c r="K40" s="303"/>
      <c r="L40" s="303"/>
    </row>
    <row r="41" spans="1:12" ht="15.75" customHeight="1" thickBot="1" x14ac:dyDescent="0.4">
      <c r="A41" s="222" t="s">
        <v>5128</v>
      </c>
      <c r="B41" s="265" t="s">
        <v>1006</v>
      </c>
      <c r="C41" s="202" t="s">
        <v>5464</v>
      </c>
      <c r="D41" s="203"/>
      <c r="E41" s="204">
        <v>2203000000</v>
      </c>
      <c r="F41" s="311">
        <f t="shared" si="2"/>
        <v>0</v>
      </c>
      <c r="G41" s="303"/>
      <c r="H41" s="303"/>
      <c r="I41" s="303"/>
      <c r="J41" s="303"/>
      <c r="K41" s="303"/>
      <c r="L41" s="303"/>
    </row>
    <row r="42" spans="1:12" ht="15.75" customHeight="1" thickBot="1" x14ac:dyDescent="0.4">
      <c r="A42" s="222" t="s">
        <v>5128</v>
      </c>
      <c r="B42" s="265" t="s">
        <v>1006</v>
      </c>
      <c r="C42" s="335" t="s">
        <v>6086</v>
      </c>
      <c r="D42" s="203"/>
      <c r="E42" s="204">
        <v>2299000000</v>
      </c>
      <c r="F42" s="311">
        <f t="shared" si="2"/>
        <v>2000000</v>
      </c>
      <c r="G42" s="303"/>
      <c r="H42" s="303"/>
      <c r="I42" s="303"/>
      <c r="J42" s="303"/>
      <c r="K42" s="303"/>
      <c r="L42" s="303"/>
    </row>
    <row r="43" spans="1:12" ht="15.75" customHeight="1" thickBot="1" x14ac:dyDescent="0.4">
      <c r="A43" s="222" t="s">
        <v>5128</v>
      </c>
      <c r="B43" s="265" t="s">
        <v>1006</v>
      </c>
      <c r="C43" s="208" t="s">
        <v>5465</v>
      </c>
      <c r="D43" s="203"/>
      <c r="E43" s="209">
        <v>2000000000</v>
      </c>
      <c r="F43" s="225">
        <f>F29+F31-F32+F33-F34+F35-F36+F37-F38-F39+F40+F41+F42</f>
        <v>42490801</v>
      </c>
      <c r="G43" s="305"/>
      <c r="H43" s="305"/>
      <c r="I43" s="305"/>
      <c r="J43" s="305"/>
      <c r="K43" s="305"/>
      <c r="L43" s="305"/>
    </row>
    <row r="44" spans="1:12" ht="15.75" customHeight="1" thickBot="1" x14ac:dyDescent="0.4">
      <c r="A44" s="222" t="s">
        <v>5144</v>
      </c>
      <c r="B44" s="265" t="s">
        <v>1006</v>
      </c>
      <c r="C44" s="208" t="s">
        <v>5466</v>
      </c>
      <c r="D44" s="203"/>
      <c r="E44" s="204"/>
      <c r="F44" s="204"/>
      <c r="G44" s="304"/>
      <c r="H44" s="304"/>
      <c r="I44" s="304"/>
      <c r="J44" s="304"/>
      <c r="K44" s="304"/>
      <c r="L44" s="304"/>
    </row>
    <row r="45" spans="1:12" ht="15.75" customHeight="1" thickBot="1" x14ac:dyDescent="0.4">
      <c r="A45" s="222" t="s">
        <v>5144</v>
      </c>
      <c r="B45" s="265" t="s">
        <v>1006</v>
      </c>
      <c r="C45" s="202" t="s">
        <v>729</v>
      </c>
      <c r="D45" s="203"/>
      <c r="E45" s="204"/>
      <c r="F45" s="204"/>
      <c r="G45" s="304"/>
      <c r="H45" s="304"/>
      <c r="I45" s="304"/>
      <c r="J45" s="304"/>
      <c r="K45" s="304"/>
      <c r="L45" s="304"/>
    </row>
    <row r="46" spans="1:12" ht="15.75" customHeight="1" thickBot="1" x14ac:dyDescent="0.4">
      <c r="A46" s="222" t="s">
        <v>5128</v>
      </c>
      <c r="B46" s="265" t="s">
        <v>1006</v>
      </c>
      <c r="C46" s="203" t="s">
        <v>5146</v>
      </c>
      <c r="D46" s="203" t="s">
        <v>5467</v>
      </c>
      <c r="E46" s="204">
        <v>3101010000</v>
      </c>
      <c r="F46" s="311">
        <f t="shared" ref="F46:F47" si="3">F109+F172</f>
        <v>2000000</v>
      </c>
      <c r="G46" s="505">
        <v>15000000000</v>
      </c>
      <c r="H46" s="505"/>
      <c r="I46" s="505"/>
      <c r="J46" s="303"/>
      <c r="K46" s="303"/>
      <c r="L46" s="303"/>
    </row>
    <row r="47" spans="1:12" ht="15.75" customHeight="1" thickBot="1" x14ac:dyDescent="0.4">
      <c r="A47" s="222" t="s">
        <v>5128</v>
      </c>
      <c r="B47" s="265" t="s">
        <v>1006</v>
      </c>
      <c r="C47" s="203" t="s">
        <v>5149</v>
      </c>
      <c r="D47" s="203" t="s">
        <v>5468</v>
      </c>
      <c r="E47" s="204">
        <v>3101020000</v>
      </c>
      <c r="F47" s="311">
        <f t="shared" si="3"/>
        <v>1000000</v>
      </c>
      <c r="G47" s="505">
        <v>7000000000</v>
      </c>
      <c r="H47" s="505"/>
      <c r="I47" s="505"/>
      <c r="J47" s="303"/>
      <c r="K47" s="303"/>
      <c r="L47" s="303"/>
    </row>
    <row r="48" spans="1:12" ht="15.75" customHeight="1" thickBot="1" x14ac:dyDescent="0.4">
      <c r="A48" s="222" t="s">
        <v>5144</v>
      </c>
      <c r="B48" s="265" t="s">
        <v>1006</v>
      </c>
      <c r="C48" s="202" t="s">
        <v>5469</v>
      </c>
      <c r="D48" s="203"/>
      <c r="E48" s="204"/>
      <c r="F48" s="204"/>
      <c r="G48" s="506"/>
      <c r="H48" s="506"/>
      <c r="I48" s="506"/>
      <c r="J48" s="304"/>
      <c r="K48" s="304"/>
      <c r="L48" s="304"/>
    </row>
    <row r="49" spans="1:12" ht="15.75" customHeight="1" thickBot="1" x14ac:dyDescent="0.4">
      <c r="A49" s="226" t="s">
        <v>5128</v>
      </c>
      <c r="B49" s="265" t="s">
        <v>1006</v>
      </c>
      <c r="C49" s="210" t="s">
        <v>5146</v>
      </c>
      <c r="D49" s="203" t="s">
        <v>5470</v>
      </c>
      <c r="E49" s="204">
        <v>3102010000</v>
      </c>
      <c r="F49" s="311">
        <f t="shared" ref="F49:F52" si="4">F112+F175</f>
        <v>125000</v>
      </c>
      <c r="G49" s="505"/>
      <c r="H49" s="505"/>
      <c r="I49" s="505"/>
      <c r="J49" s="303"/>
      <c r="K49" s="303"/>
      <c r="L49" s="303"/>
    </row>
    <row r="50" spans="1:12" ht="15.75" customHeight="1" thickBot="1" x14ac:dyDescent="0.4">
      <c r="A50" s="222" t="s">
        <v>5128</v>
      </c>
      <c r="B50" s="265" t="s">
        <v>1006</v>
      </c>
      <c r="C50" s="203" t="s">
        <v>5149</v>
      </c>
      <c r="D50" s="203" t="s">
        <v>738</v>
      </c>
      <c r="E50" s="204">
        <v>3102020000</v>
      </c>
      <c r="F50" s="311">
        <f t="shared" si="4"/>
        <v>500000</v>
      </c>
      <c r="G50" s="505"/>
      <c r="H50" s="505"/>
      <c r="I50" s="505"/>
      <c r="J50" s="303"/>
      <c r="K50" s="303"/>
      <c r="L50" s="303"/>
    </row>
    <row r="51" spans="1:12" ht="15.75" customHeight="1" thickBot="1" x14ac:dyDescent="0.4">
      <c r="A51" s="222" t="s">
        <v>5128</v>
      </c>
      <c r="B51" s="265" t="s">
        <v>1006</v>
      </c>
      <c r="C51" s="203" t="s">
        <v>5152</v>
      </c>
      <c r="D51" s="203" t="s">
        <v>747</v>
      </c>
      <c r="E51" s="204">
        <v>3102030000</v>
      </c>
      <c r="F51" s="311">
        <f t="shared" si="4"/>
        <v>1000000</v>
      </c>
      <c r="G51" s="505"/>
      <c r="H51" s="505"/>
      <c r="I51" s="505"/>
      <c r="J51" s="303"/>
      <c r="K51" s="303"/>
      <c r="L51" s="303"/>
    </row>
    <row r="52" spans="1:12" ht="15.75" customHeight="1" thickBot="1" x14ac:dyDescent="0.4">
      <c r="A52" s="222" t="s">
        <v>5128</v>
      </c>
      <c r="B52" s="265" t="s">
        <v>1006</v>
      </c>
      <c r="C52" s="203" t="s">
        <v>5164</v>
      </c>
      <c r="D52" s="203" t="s">
        <v>5471</v>
      </c>
      <c r="E52" s="204">
        <v>3102990000</v>
      </c>
      <c r="F52" s="311">
        <f t="shared" si="4"/>
        <v>2000000</v>
      </c>
      <c r="G52" s="505"/>
      <c r="H52" s="505"/>
      <c r="I52" s="505"/>
      <c r="J52" s="303"/>
      <c r="K52" s="303"/>
      <c r="L52" s="303"/>
    </row>
    <row r="53" spans="1:12" ht="15.75" customHeight="1" thickBot="1" x14ac:dyDescent="0.4">
      <c r="A53" s="222" t="s">
        <v>5144</v>
      </c>
      <c r="B53" s="265" t="s">
        <v>1006</v>
      </c>
      <c r="C53" s="202" t="s">
        <v>5472</v>
      </c>
      <c r="D53" s="203"/>
      <c r="E53" s="204"/>
      <c r="F53" s="204"/>
      <c r="G53" s="506"/>
      <c r="H53" s="506"/>
      <c r="I53" s="506"/>
      <c r="J53" s="304"/>
      <c r="K53" s="304"/>
      <c r="L53" s="304"/>
    </row>
    <row r="54" spans="1:12" ht="15.75" customHeight="1" thickBot="1" x14ac:dyDescent="0.4">
      <c r="A54" s="222" t="s">
        <v>5128</v>
      </c>
      <c r="B54" s="265" t="s">
        <v>1006</v>
      </c>
      <c r="C54" s="203" t="s">
        <v>5146</v>
      </c>
      <c r="D54" s="203" t="s">
        <v>5473</v>
      </c>
      <c r="E54" s="204">
        <v>3103010000</v>
      </c>
      <c r="F54" s="311">
        <f t="shared" ref="F54:F57" si="5">F117+F180</f>
        <v>2000000</v>
      </c>
      <c r="G54" s="505"/>
      <c r="H54" s="505"/>
      <c r="I54" s="505"/>
      <c r="J54" s="303"/>
      <c r="K54" s="303"/>
      <c r="L54" s="303"/>
    </row>
    <row r="55" spans="1:12" ht="15.75" customHeight="1" thickBot="1" x14ac:dyDescent="0.4">
      <c r="A55" s="222" t="s">
        <v>5128</v>
      </c>
      <c r="B55" s="265" t="s">
        <v>1006</v>
      </c>
      <c r="C55" s="203" t="s">
        <v>5149</v>
      </c>
      <c r="D55" s="203" t="s">
        <v>5474</v>
      </c>
      <c r="E55" s="204">
        <v>3103020000</v>
      </c>
      <c r="F55" s="311">
        <f t="shared" si="5"/>
        <v>2000000</v>
      </c>
      <c r="G55" s="505"/>
      <c r="H55" s="505"/>
      <c r="I55" s="505"/>
      <c r="J55" s="303"/>
      <c r="K55" s="303"/>
      <c r="L55" s="303"/>
    </row>
    <row r="56" spans="1:12" ht="15.75" customHeight="1" thickBot="1" x14ac:dyDescent="0.4">
      <c r="A56" s="222" t="s">
        <v>5128</v>
      </c>
      <c r="B56" s="265" t="s">
        <v>1006</v>
      </c>
      <c r="C56" s="203" t="s">
        <v>5152</v>
      </c>
      <c r="D56" s="203" t="s">
        <v>331</v>
      </c>
      <c r="E56" s="204">
        <v>3103990000</v>
      </c>
      <c r="F56" s="311">
        <f t="shared" si="5"/>
        <v>2000000</v>
      </c>
      <c r="G56" s="505"/>
      <c r="H56" s="505"/>
      <c r="I56" s="505"/>
      <c r="J56" s="303"/>
      <c r="K56" s="303"/>
      <c r="L56" s="303"/>
    </row>
    <row r="57" spans="1:12" ht="15.75" customHeight="1" thickBot="1" x14ac:dyDescent="0.4">
      <c r="A57" s="222" t="s">
        <v>5128</v>
      </c>
      <c r="B57" s="265" t="s">
        <v>1006</v>
      </c>
      <c r="C57" s="203" t="s">
        <v>5164</v>
      </c>
      <c r="D57" s="203" t="s">
        <v>5475</v>
      </c>
      <c r="E57" s="204">
        <v>3103980000</v>
      </c>
      <c r="F57" s="311">
        <f t="shared" si="5"/>
        <v>1910000</v>
      </c>
      <c r="G57" s="505"/>
      <c r="H57" s="505"/>
      <c r="I57" s="505"/>
      <c r="J57" s="303"/>
      <c r="K57" s="303"/>
      <c r="L57" s="303"/>
    </row>
    <row r="58" spans="1:12" ht="15.75" customHeight="1" thickBot="1" x14ac:dyDescent="0.4">
      <c r="A58" s="222" t="s">
        <v>5144</v>
      </c>
      <c r="B58" s="265" t="s">
        <v>1006</v>
      </c>
      <c r="C58" s="202" t="s">
        <v>5476</v>
      </c>
      <c r="D58" s="203"/>
      <c r="E58" s="204"/>
      <c r="F58" s="204"/>
      <c r="G58" s="506"/>
      <c r="H58" s="506"/>
      <c r="I58" s="506"/>
      <c r="J58" s="304"/>
      <c r="K58" s="304"/>
      <c r="L58" s="304"/>
    </row>
    <row r="59" spans="1:12" ht="15.75" customHeight="1" thickBot="1" x14ac:dyDescent="0.4">
      <c r="A59" s="222" t="s">
        <v>5128</v>
      </c>
      <c r="B59" s="265" t="s">
        <v>1006</v>
      </c>
      <c r="C59" s="203" t="s">
        <v>5146</v>
      </c>
      <c r="D59" s="203" t="s">
        <v>5477</v>
      </c>
      <c r="E59" s="204">
        <v>3104010000</v>
      </c>
      <c r="F59" s="311">
        <f t="shared" ref="F59:F60" si="6">F122+F185</f>
        <v>250000</v>
      </c>
      <c r="G59" s="505">
        <v>1600000000</v>
      </c>
      <c r="H59" s="505"/>
      <c r="I59" s="505"/>
      <c r="J59" s="303"/>
      <c r="K59" s="303"/>
      <c r="L59" s="303"/>
    </row>
    <row r="60" spans="1:12" ht="15.75" customHeight="1" thickBot="1" x14ac:dyDescent="0.4">
      <c r="A60" s="222" t="s">
        <v>5128</v>
      </c>
      <c r="B60" s="265" t="s">
        <v>1006</v>
      </c>
      <c r="C60" s="203" t="s">
        <v>5149</v>
      </c>
      <c r="D60" s="203" t="s">
        <v>5478</v>
      </c>
      <c r="E60" s="204">
        <v>3104020000</v>
      </c>
      <c r="F60" s="311">
        <f t="shared" si="6"/>
        <v>500000</v>
      </c>
      <c r="G60" s="505"/>
      <c r="H60" s="505"/>
      <c r="I60" s="505"/>
      <c r="J60" s="303"/>
      <c r="K60" s="303"/>
      <c r="L60" s="303"/>
    </row>
    <row r="61" spans="1:12" ht="15.75" customHeight="1" thickBot="1" x14ac:dyDescent="0.4">
      <c r="A61" s="222" t="s">
        <v>5144</v>
      </c>
      <c r="B61" s="265" t="s">
        <v>1006</v>
      </c>
      <c r="C61" s="202" t="s">
        <v>5479</v>
      </c>
      <c r="D61" s="203"/>
      <c r="E61" s="204"/>
      <c r="F61" s="204"/>
      <c r="G61" s="506"/>
      <c r="H61" s="506"/>
      <c r="I61" s="506"/>
      <c r="J61" s="304"/>
      <c r="K61" s="304"/>
      <c r="L61" s="304"/>
    </row>
    <row r="62" spans="1:12" ht="15.75" customHeight="1" thickBot="1" x14ac:dyDescent="0.4">
      <c r="A62" s="222" t="s">
        <v>5128</v>
      </c>
      <c r="B62" s="265" t="s">
        <v>1006</v>
      </c>
      <c r="C62" s="202" t="s">
        <v>5480</v>
      </c>
      <c r="D62" s="203"/>
      <c r="E62" s="204">
        <v>3105010000</v>
      </c>
      <c r="F62" s="311">
        <f t="shared" ref="F62:F63" si="7">F125+F188</f>
        <v>2000000</v>
      </c>
      <c r="G62" s="505">
        <v>1939460136</v>
      </c>
      <c r="H62" s="505"/>
      <c r="I62" s="505"/>
      <c r="J62" s="303"/>
      <c r="K62" s="303"/>
      <c r="L62" s="303"/>
    </row>
    <row r="63" spans="1:12" ht="15" customHeight="1" thickBot="1" x14ac:dyDescent="0.4">
      <c r="A63" s="222" t="s">
        <v>5128</v>
      </c>
      <c r="B63" s="265" t="s">
        <v>1006</v>
      </c>
      <c r="C63" s="202" t="s">
        <v>5481</v>
      </c>
      <c r="D63" s="203"/>
      <c r="E63" s="204">
        <v>3105020000</v>
      </c>
      <c r="F63" s="311">
        <f t="shared" si="7"/>
        <v>32150000</v>
      </c>
      <c r="G63" s="505">
        <v>1248480924</v>
      </c>
      <c r="H63" s="505"/>
      <c r="I63" s="505"/>
      <c r="J63" s="303"/>
      <c r="K63" s="303"/>
      <c r="L63" s="303"/>
    </row>
    <row r="64" spans="1:12" ht="15.75" customHeight="1" thickBot="1" x14ac:dyDescent="0.4">
      <c r="A64" s="222" t="s">
        <v>5128</v>
      </c>
      <c r="B64" s="265" t="s">
        <v>1006</v>
      </c>
      <c r="C64" s="208" t="s">
        <v>5482</v>
      </c>
      <c r="D64" s="203"/>
      <c r="E64" s="209">
        <v>3000000000</v>
      </c>
      <c r="F64" s="225">
        <f>F46-F47+F49+F50+F51+F52+F54+F55+F56+F57+F59+F60+F62+F63</f>
        <v>47435000</v>
      </c>
      <c r="G64" s="507">
        <f>G46-G47+G49+G50+G51+G52+G54+G55+G56+G57+G59+G60+G62+G63</f>
        <v>12787941060</v>
      </c>
      <c r="H64" s="508">
        <v>12764333760</v>
      </c>
      <c r="I64" s="508">
        <f>G64-H64</f>
        <v>23607300</v>
      </c>
      <c r="J64" s="305"/>
      <c r="K64" s="305"/>
      <c r="L64" s="305"/>
    </row>
    <row r="65" spans="1:8" ht="29.5" thickBot="1" x14ac:dyDescent="0.4">
      <c r="A65" s="211" t="s">
        <v>5125</v>
      </c>
      <c r="B65" s="267" t="s">
        <v>5232</v>
      </c>
      <c r="C65" s="481" t="s">
        <v>5435</v>
      </c>
      <c r="D65" s="482"/>
      <c r="E65" s="212" t="s">
        <v>5391</v>
      </c>
      <c r="F65" s="212" t="s">
        <v>5265</v>
      </c>
      <c r="G65" s="306"/>
      <c r="H65" s="306">
        <v>56770729200</v>
      </c>
    </row>
    <row r="66" spans="1:8" ht="15.75" customHeight="1" thickBot="1" x14ac:dyDescent="0.4">
      <c r="A66" s="227" t="s">
        <v>5128</v>
      </c>
      <c r="B66" s="268" t="s">
        <v>783</v>
      </c>
      <c r="C66" s="213" t="s">
        <v>5436</v>
      </c>
      <c r="D66" s="214"/>
      <c r="E66" s="215">
        <v>1101010000</v>
      </c>
      <c r="F66" s="223">
        <v>25100000</v>
      </c>
      <c r="G66" s="303"/>
      <c r="H66" s="303"/>
    </row>
    <row r="67" spans="1:8" ht="15.75" customHeight="1" thickBot="1" x14ac:dyDescent="0.4">
      <c r="A67" s="227" t="s">
        <v>5128</v>
      </c>
      <c r="B67" s="269" t="s">
        <v>783</v>
      </c>
      <c r="C67" s="213" t="s">
        <v>5437</v>
      </c>
      <c r="D67" s="214"/>
      <c r="E67" s="215">
        <v>1101020000</v>
      </c>
      <c r="F67" s="223">
        <v>10000000</v>
      </c>
      <c r="G67" s="303"/>
      <c r="H67" s="303"/>
    </row>
    <row r="68" spans="1:8" ht="15.75" customHeight="1" thickBot="1" x14ac:dyDescent="0.4">
      <c r="A68" s="227" t="s">
        <v>5128</v>
      </c>
      <c r="B68" s="268" t="s">
        <v>783</v>
      </c>
      <c r="C68" s="213" t="s">
        <v>5438</v>
      </c>
      <c r="D68" s="214"/>
      <c r="E68" s="215">
        <v>1102000000</v>
      </c>
      <c r="F68" s="223">
        <v>1000000</v>
      </c>
      <c r="G68" s="303"/>
      <c r="H68" s="303"/>
    </row>
    <row r="69" spans="1:8" thickBot="1" x14ac:dyDescent="0.4">
      <c r="A69" s="224" t="s">
        <v>5128</v>
      </c>
      <c r="B69" s="268" t="s">
        <v>783</v>
      </c>
      <c r="C69" s="206" t="s">
        <v>5439</v>
      </c>
      <c r="D69" s="206" t="s">
        <v>5518</v>
      </c>
      <c r="E69" s="207">
        <v>1102010000</v>
      </c>
      <c r="F69" s="207">
        <v>600</v>
      </c>
      <c r="G69" s="304"/>
      <c r="H69" s="304"/>
    </row>
    <row r="70" spans="1:8" ht="15.75" customHeight="1" thickBot="1" x14ac:dyDescent="0.4">
      <c r="A70" s="227" t="s">
        <v>5128</v>
      </c>
      <c r="B70" s="269" t="s">
        <v>783</v>
      </c>
      <c r="C70" s="213" t="s">
        <v>2284</v>
      </c>
      <c r="D70" s="214"/>
      <c r="E70" s="215">
        <v>1103010000</v>
      </c>
      <c r="F70" s="223">
        <v>200000</v>
      </c>
      <c r="G70" s="303"/>
      <c r="H70" s="303"/>
    </row>
    <row r="71" spans="1:8" ht="15.75" customHeight="1" thickBot="1" x14ac:dyDescent="0.4">
      <c r="A71" s="227" t="s">
        <v>5128</v>
      </c>
      <c r="B71" s="268" t="s">
        <v>783</v>
      </c>
      <c r="C71" s="214" t="s">
        <v>5439</v>
      </c>
      <c r="D71" s="214" t="s">
        <v>5483</v>
      </c>
      <c r="E71" s="215">
        <v>1103020000</v>
      </c>
      <c r="F71" s="223">
        <v>200000</v>
      </c>
      <c r="G71" s="303"/>
      <c r="H71" s="303"/>
    </row>
    <row r="72" spans="1:8" ht="15.75" customHeight="1" thickBot="1" x14ac:dyDescent="0.4">
      <c r="A72" s="227" t="s">
        <v>5128</v>
      </c>
      <c r="B72" s="269" t="s">
        <v>783</v>
      </c>
      <c r="C72" s="213" t="s">
        <v>5440</v>
      </c>
      <c r="D72" s="214"/>
      <c r="E72" s="215">
        <v>1104010100</v>
      </c>
      <c r="F72" s="223">
        <v>1500000</v>
      </c>
      <c r="G72" s="303"/>
      <c r="H72" s="303"/>
    </row>
    <row r="73" spans="1:8" ht="15.75" customHeight="1" thickBot="1" x14ac:dyDescent="0.4">
      <c r="A73" s="227" t="s">
        <v>5128</v>
      </c>
      <c r="B73" s="268" t="s">
        <v>783</v>
      </c>
      <c r="C73" s="214" t="s">
        <v>5439</v>
      </c>
      <c r="D73" s="214" t="s">
        <v>5441</v>
      </c>
      <c r="E73" s="215">
        <v>1104010200</v>
      </c>
      <c r="F73" s="223">
        <v>1000000</v>
      </c>
      <c r="G73" s="303"/>
      <c r="H73" s="303"/>
    </row>
    <row r="74" spans="1:8" ht="15.75" customHeight="1" thickBot="1" x14ac:dyDescent="0.4">
      <c r="A74" s="227" t="s">
        <v>5128</v>
      </c>
      <c r="B74" s="269" t="s">
        <v>783</v>
      </c>
      <c r="C74" s="213" t="s">
        <v>5442</v>
      </c>
      <c r="D74" s="214"/>
      <c r="E74" s="215">
        <v>1104010300</v>
      </c>
      <c r="F74" s="223">
        <v>10000000</v>
      </c>
      <c r="G74" s="303"/>
      <c r="H74" s="303"/>
    </row>
    <row r="75" spans="1:8" ht="15.75" customHeight="1" thickBot="1" x14ac:dyDescent="0.4">
      <c r="A75" s="227" t="s">
        <v>5128</v>
      </c>
      <c r="B75" s="268" t="s">
        <v>783</v>
      </c>
      <c r="C75" s="214" t="s">
        <v>5439</v>
      </c>
      <c r="D75" s="214" t="s">
        <v>5443</v>
      </c>
      <c r="E75" s="215">
        <v>1104010400</v>
      </c>
      <c r="F75" s="223">
        <v>10000000</v>
      </c>
      <c r="G75" s="303"/>
      <c r="H75" s="303"/>
    </row>
    <row r="76" spans="1:8" ht="15.75" customHeight="1" thickBot="1" x14ac:dyDescent="0.4">
      <c r="A76" s="227" t="s">
        <v>5128</v>
      </c>
      <c r="B76" s="269" t="s">
        <v>783</v>
      </c>
      <c r="C76" s="214" t="s">
        <v>5439</v>
      </c>
      <c r="D76" s="214" t="s">
        <v>5444</v>
      </c>
      <c r="E76" s="215">
        <v>1104010500</v>
      </c>
      <c r="F76" s="223">
        <v>0</v>
      </c>
      <c r="G76" s="303"/>
      <c r="H76" s="303"/>
    </row>
    <row r="77" spans="1:8" ht="15.75" customHeight="1" thickBot="1" x14ac:dyDescent="0.4">
      <c r="A77" s="227" t="s">
        <v>5128</v>
      </c>
      <c r="B77" s="268" t="s">
        <v>783</v>
      </c>
      <c r="C77" s="214" t="s">
        <v>5439</v>
      </c>
      <c r="D77" s="214" t="s">
        <v>5483</v>
      </c>
      <c r="E77" s="215">
        <v>1104020000</v>
      </c>
      <c r="F77" s="223">
        <v>70000</v>
      </c>
      <c r="G77" s="303"/>
      <c r="H77" s="303"/>
    </row>
    <row r="78" spans="1:8" thickBot="1" x14ac:dyDescent="0.4">
      <c r="A78" s="224" t="s">
        <v>5128</v>
      </c>
      <c r="B78" s="268" t="s">
        <v>783</v>
      </c>
      <c r="C78" s="205" t="s">
        <v>5445</v>
      </c>
      <c r="D78" s="206"/>
      <c r="E78" s="207">
        <v>1105000000</v>
      </c>
      <c r="F78" s="207">
        <v>1</v>
      </c>
      <c r="G78" s="304"/>
      <c r="H78" s="304"/>
    </row>
    <row r="79" spans="1:8" thickBot="1" x14ac:dyDescent="0.4">
      <c r="A79" s="224" t="s">
        <v>5128</v>
      </c>
      <c r="B79" s="268" t="s">
        <v>783</v>
      </c>
      <c r="C79" s="206" t="s">
        <v>5439</v>
      </c>
      <c r="D79" s="206" t="s">
        <v>5518</v>
      </c>
      <c r="E79" s="207">
        <v>1105010000</v>
      </c>
      <c r="F79" s="207">
        <v>1000</v>
      </c>
      <c r="G79" s="304"/>
      <c r="H79" s="304"/>
    </row>
    <row r="80" spans="1:8" ht="15.75" customHeight="1" thickBot="1" x14ac:dyDescent="0.4">
      <c r="A80" s="227" t="s">
        <v>5128</v>
      </c>
      <c r="B80" s="268" t="s">
        <v>783</v>
      </c>
      <c r="C80" s="213" t="s">
        <v>5428</v>
      </c>
      <c r="D80" s="214"/>
      <c r="E80" s="215">
        <v>1201000000</v>
      </c>
      <c r="F80" s="223">
        <v>22000</v>
      </c>
      <c r="G80" s="303"/>
      <c r="H80" s="303"/>
    </row>
    <row r="81" spans="1:8" thickBot="1" x14ac:dyDescent="0.4">
      <c r="A81" s="224" t="s">
        <v>5128</v>
      </c>
      <c r="B81" s="268" t="s">
        <v>783</v>
      </c>
      <c r="C81" s="205" t="s">
        <v>5446</v>
      </c>
      <c r="D81" s="206"/>
      <c r="E81" s="207">
        <v>1205000000</v>
      </c>
      <c r="F81" s="207">
        <v>180000</v>
      </c>
      <c r="G81" s="304"/>
      <c r="H81" s="304"/>
    </row>
    <row r="82" spans="1:8" ht="15.75" customHeight="1" thickBot="1" x14ac:dyDescent="0.4">
      <c r="A82" s="227" t="s">
        <v>5128</v>
      </c>
      <c r="B82" s="268" t="s">
        <v>783</v>
      </c>
      <c r="C82" s="213" t="s">
        <v>5447</v>
      </c>
      <c r="D82" s="214"/>
      <c r="E82" s="215">
        <v>1202010000</v>
      </c>
      <c r="F82" s="223">
        <v>4000000</v>
      </c>
      <c r="G82" s="303"/>
      <c r="H82" s="303"/>
    </row>
    <row r="83" spans="1:8" ht="15.75" customHeight="1" thickBot="1" x14ac:dyDescent="0.4">
      <c r="A83" s="227" t="s">
        <v>5128</v>
      </c>
      <c r="B83" s="269" t="s">
        <v>783</v>
      </c>
      <c r="C83" s="214" t="s">
        <v>5439</v>
      </c>
      <c r="D83" s="214" t="s">
        <v>5448</v>
      </c>
      <c r="E83" s="215">
        <v>1202020000</v>
      </c>
      <c r="F83" s="223">
        <v>400000</v>
      </c>
      <c r="G83" s="303"/>
      <c r="H83" s="303"/>
    </row>
    <row r="84" spans="1:8" ht="15.75" customHeight="1" thickBot="1" x14ac:dyDescent="0.4">
      <c r="A84" s="227" t="s">
        <v>5128</v>
      </c>
      <c r="B84" s="268" t="s">
        <v>783</v>
      </c>
      <c r="C84" s="213" t="s">
        <v>5449</v>
      </c>
      <c r="D84" s="214"/>
      <c r="E84" s="215">
        <v>1203010000</v>
      </c>
      <c r="F84" s="223">
        <v>2000000</v>
      </c>
      <c r="G84" s="303"/>
      <c r="H84" s="303"/>
    </row>
    <row r="85" spans="1:8" ht="15.75" customHeight="1" thickBot="1" x14ac:dyDescent="0.4">
      <c r="A85" s="227" t="s">
        <v>5128</v>
      </c>
      <c r="B85" s="268" t="s">
        <v>783</v>
      </c>
      <c r="C85" s="214" t="s">
        <v>5439</v>
      </c>
      <c r="D85" s="214" t="s">
        <v>5450</v>
      </c>
      <c r="E85" s="215">
        <v>1203020000</v>
      </c>
      <c r="F85" s="223">
        <v>1445500</v>
      </c>
      <c r="G85" s="303"/>
      <c r="H85" s="303"/>
    </row>
    <row r="86" spans="1:8" ht="15.75" customHeight="1" thickBot="1" x14ac:dyDescent="0.4">
      <c r="A86" s="227" t="s">
        <v>5128</v>
      </c>
      <c r="B86" s="268" t="s">
        <v>783</v>
      </c>
      <c r="C86" s="213" t="s">
        <v>5451</v>
      </c>
      <c r="D86" s="214"/>
      <c r="E86" s="215">
        <v>1204000000</v>
      </c>
      <c r="F86" s="223">
        <v>3000000</v>
      </c>
      <c r="G86" s="303"/>
      <c r="H86" s="303"/>
    </row>
    <row r="87" spans="1:8" ht="15.75" customHeight="1" thickBot="1" x14ac:dyDescent="0.4">
      <c r="A87" s="224" t="s">
        <v>5128</v>
      </c>
      <c r="B87" s="268" t="s">
        <v>783</v>
      </c>
      <c r="C87" s="205" t="s">
        <v>5452</v>
      </c>
      <c r="D87" s="206"/>
      <c r="E87" s="207">
        <v>1206000000</v>
      </c>
      <c r="F87" s="207">
        <v>100000</v>
      </c>
      <c r="G87" s="304"/>
      <c r="H87" s="304"/>
    </row>
    <row r="88" spans="1:8" ht="15.75" customHeight="1" thickBot="1" x14ac:dyDescent="0.4">
      <c r="A88" s="224" t="s">
        <v>5128</v>
      </c>
      <c r="B88" s="268" t="s">
        <v>783</v>
      </c>
      <c r="C88" s="206" t="s">
        <v>5439</v>
      </c>
      <c r="D88" s="206" t="s">
        <v>5518</v>
      </c>
      <c r="E88" s="207">
        <v>1206010000</v>
      </c>
      <c r="F88" s="207">
        <v>10000</v>
      </c>
      <c r="G88" s="304"/>
      <c r="H88" s="304"/>
    </row>
    <row r="89" spans="1:8" ht="15.75" customHeight="1" thickBot="1" x14ac:dyDescent="0.4">
      <c r="A89" s="227" t="s">
        <v>5128</v>
      </c>
      <c r="B89" s="268" t="s">
        <v>783</v>
      </c>
      <c r="C89" s="213" t="s">
        <v>5453</v>
      </c>
      <c r="D89" s="214"/>
      <c r="E89" s="215">
        <v>1299000000</v>
      </c>
      <c r="F89" s="223">
        <v>1810000</v>
      </c>
      <c r="G89" s="303"/>
      <c r="H89" s="303"/>
    </row>
    <row r="90" spans="1:8" ht="15.75" customHeight="1" thickBot="1" x14ac:dyDescent="0.4">
      <c r="A90" s="227" t="s">
        <v>5128</v>
      </c>
      <c r="B90" s="268" t="s">
        <v>783</v>
      </c>
      <c r="C90" s="216" t="s">
        <v>5454</v>
      </c>
      <c r="D90" s="214"/>
      <c r="E90" s="217">
        <v>1000000000</v>
      </c>
      <c r="F90" s="225">
        <f>F66+F67+F68-F69+F70-F71+F72-F73+F74-F75-F76-F77+F78-F79+F80+F81+F82-F83+F84-F85+F86+F87-F88+F89</f>
        <v>45784901</v>
      </c>
      <c r="G90" s="305"/>
      <c r="H90" s="305"/>
    </row>
    <row r="91" spans="1:8" ht="15.75" customHeight="1" thickBot="1" x14ac:dyDescent="0.4">
      <c r="A91" s="227" t="s">
        <v>5144</v>
      </c>
      <c r="B91" s="269" t="s">
        <v>5503</v>
      </c>
      <c r="C91" s="216" t="s">
        <v>5455</v>
      </c>
      <c r="D91" s="214"/>
      <c r="E91" s="215"/>
      <c r="F91" s="215"/>
      <c r="G91" s="304"/>
      <c r="H91" s="304"/>
    </row>
    <row r="92" spans="1:8" ht="15.75" customHeight="1" thickBot="1" x14ac:dyDescent="0.4">
      <c r="A92" s="227" t="s">
        <v>5128</v>
      </c>
      <c r="B92" s="269" t="s">
        <v>783</v>
      </c>
      <c r="C92" s="213" t="s">
        <v>5456</v>
      </c>
      <c r="D92" s="214"/>
      <c r="E92" s="215">
        <v>2101000000</v>
      </c>
      <c r="F92" s="223">
        <v>10898901</v>
      </c>
      <c r="G92" s="303"/>
      <c r="H92" s="303"/>
    </row>
    <row r="93" spans="1:8" ht="15.75" customHeight="1" thickBot="1" x14ac:dyDescent="0.4">
      <c r="A93" s="227" t="s">
        <v>5144</v>
      </c>
      <c r="B93" s="269" t="s">
        <v>5503</v>
      </c>
      <c r="C93" s="213" t="s">
        <v>5457</v>
      </c>
      <c r="D93" s="214"/>
      <c r="E93" s="215"/>
      <c r="F93" s="215"/>
      <c r="G93" s="304"/>
      <c r="H93" s="304"/>
    </row>
    <row r="94" spans="1:8" ht="15.75" customHeight="1" thickBot="1" x14ac:dyDescent="0.4">
      <c r="A94" s="227" t="s">
        <v>5128</v>
      </c>
      <c r="B94" s="269" t="s">
        <v>783</v>
      </c>
      <c r="C94" s="214" t="s">
        <v>5458</v>
      </c>
      <c r="D94" s="214" t="s">
        <v>2635</v>
      </c>
      <c r="E94" s="215">
        <v>2102010100</v>
      </c>
      <c r="F94" s="223">
        <v>4000000</v>
      </c>
      <c r="G94" s="303"/>
      <c r="H94" s="303"/>
    </row>
    <row r="95" spans="1:8" ht="15.75" customHeight="1" thickBot="1" x14ac:dyDescent="0.4">
      <c r="A95" s="227" t="s">
        <v>5128</v>
      </c>
      <c r="B95" s="269" t="s">
        <v>783</v>
      </c>
      <c r="C95" s="214"/>
      <c r="D95" s="214" t="s">
        <v>5459</v>
      </c>
      <c r="E95" s="215">
        <v>2102010200</v>
      </c>
      <c r="F95" s="223">
        <v>2000</v>
      </c>
      <c r="G95" s="303"/>
      <c r="H95" s="303"/>
    </row>
    <row r="96" spans="1:8" ht="15.75" customHeight="1" thickBot="1" x14ac:dyDescent="0.4">
      <c r="A96" s="227" t="s">
        <v>5128</v>
      </c>
      <c r="B96" s="269" t="s">
        <v>783</v>
      </c>
      <c r="C96" s="214" t="s">
        <v>5460</v>
      </c>
      <c r="D96" s="214" t="s">
        <v>2638</v>
      </c>
      <c r="E96" s="215">
        <v>2102020100</v>
      </c>
      <c r="F96" s="223">
        <v>4000000</v>
      </c>
      <c r="G96" s="303"/>
      <c r="H96" s="303"/>
    </row>
    <row r="97" spans="1:8" ht="15.75" customHeight="1" thickBot="1" x14ac:dyDescent="0.4">
      <c r="A97" s="227" t="s">
        <v>5128</v>
      </c>
      <c r="B97" s="269" t="s">
        <v>783</v>
      </c>
      <c r="C97" s="214"/>
      <c r="D97" s="214" t="s">
        <v>5459</v>
      </c>
      <c r="E97" s="215">
        <v>2102020200</v>
      </c>
      <c r="F97" s="223">
        <v>2000</v>
      </c>
      <c r="G97" s="303"/>
      <c r="H97" s="303"/>
    </row>
    <row r="98" spans="1:8" ht="15.75" customHeight="1" thickBot="1" x14ac:dyDescent="0.4">
      <c r="A98" s="227" t="s">
        <v>5128</v>
      </c>
      <c r="B98" s="269" t="s">
        <v>783</v>
      </c>
      <c r="C98" s="213" t="s">
        <v>5461</v>
      </c>
      <c r="D98" s="214"/>
      <c r="E98" s="215">
        <v>2103010000</v>
      </c>
      <c r="F98" s="223">
        <v>1000000</v>
      </c>
      <c r="G98" s="303"/>
      <c r="H98" s="303"/>
    </row>
    <row r="99" spans="1:8" ht="15.75" customHeight="1" thickBot="1" x14ac:dyDescent="0.4">
      <c r="A99" s="227" t="s">
        <v>5128</v>
      </c>
      <c r="B99" s="269" t="s">
        <v>783</v>
      </c>
      <c r="C99" s="214" t="s">
        <v>5439</v>
      </c>
      <c r="D99" s="214" t="s">
        <v>5277</v>
      </c>
      <c r="E99" s="215">
        <v>2103020000</v>
      </c>
      <c r="F99" s="223">
        <v>500000</v>
      </c>
      <c r="G99" s="303"/>
      <c r="H99" s="303"/>
    </row>
    <row r="100" spans="1:8" ht="15.75" customHeight="1" thickBot="1" x14ac:dyDescent="0.4">
      <c r="A100" s="227" t="s">
        <v>5128</v>
      </c>
      <c r="B100" s="269" t="s">
        <v>783</v>
      </c>
      <c r="C100" s="213" t="s">
        <v>5462</v>
      </c>
      <c r="D100" s="214"/>
      <c r="E100" s="215">
        <v>2201010000</v>
      </c>
      <c r="F100" s="223">
        <v>2000000</v>
      </c>
      <c r="G100" s="303"/>
      <c r="H100" s="303"/>
    </row>
    <row r="101" spans="1:8" ht="15.75" customHeight="1" thickBot="1" x14ac:dyDescent="0.4">
      <c r="A101" s="227" t="s">
        <v>5128</v>
      </c>
      <c r="B101" s="269" t="s">
        <v>783</v>
      </c>
      <c r="C101" s="214" t="s">
        <v>5439</v>
      </c>
      <c r="D101" s="214" t="s">
        <v>5277</v>
      </c>
      <c r="E101" s="215">
        <v>2201020000</v>
      </c>
      <c r="F101" s="223">
        <v>1000000</v>
      </c>
      <c r="G101" s="303"/>
      <c r="H101" s="303"/>
    </row>
    <row r="102" spans="1:8" ht="15.75" customHeight="1" thickBot="1" x14ac:dyDescent="0.4">
      <c r="A102" s="227" t="s">
        <v>5128</v>
      </c>
      <c r="B102" s="269" t="s">
        <v>783</v>
      </c>
      <c r="C102" s="214" t="s">
        <v>5439</v>
      </c>
      <c r="D102" s="214" t="s">
        <v>5278</v>
      </c>
      <c r="E102" s="215">
        <v>2201030000</v>
      </c>
      <c r="F102" s="223">
        <v>1000000</v>
      </c>
      <c r="G102" s="303"/>
      <c r="H102" s="303"/>
    </row>
    <row r="103" spans="1:8" ht="15.75" customHeight="1" thickBot="1" x14ac:dyDescent="0.4">
      <c r="A103" s="227" t="s">
        <v>5128</v>
      </c>
      <c r="B103" s="269" t="s">
        <v>783</v>
      </c>
      <c r="C103" s="213" t="s">
        <v>5463</v>
      </c>
      <c r="D103" s="214"/>
      <c r="E103" s="215">
        <v>2202000000</v>
      </c>
      <c r="F103" s="223">
        <v>1000000</v>
      </c>
      <c r="G103" s="303"/>
      <c r="H103" s="303"/>
    </row>
    <row r="104" spans="1:8" ht="15.75" customHeight="1" thickBot="1" x14ac:dyDescent="0.4">
      <c r="A104" s="227" t="s">
        <v>5128</v>
      </c>
      <c r="B104" s="269" t="s">
        <v>783</v>
      </c>
      <c r="C104" s="213" t="s">
        <v>5464</v>
      </c>
      <c r="D104" s="214"/>
      <c r="E104" s="215">
        <v>2203000000</v>
      </c>
      <c r="F104" s="223">
        <v>0</v>
      </c>
      <c r="G104" s="303"/>
      <c r="H104" s="303"/>
    </row>
    <row r="105" spans="1:8" ht="15.75" customHeight="1" thickBot="1" x14ac:dyDescent="0.4">
      <c r="A105" s="227" t="s">
        <v>5128</v>
      </c>
      <c r="B105" s="269" t="s">
        <v>783</v>
      </c>
      <c r="C105" s="334" t="s">
        <v>6086</v>
      </c>
      <c r="D105" s="214"/>
      <c r="E105" s="215">
        <v>2299000000</v>
      </c>
      <c r="F105" s="223">
        <v>1000000</v>
      </c>
      <c r="G105" s="303"/>
      <c r="H105" s="303"/>
    </row>
    <row r="106" spans="1:8" ht="15.75" customHeight="1" thickBot="1" x14ac:dyDescent="0.4">
      <c r="A106" s="227" t="s">
        <v>5128</v>
      </c>
      <c r="B106" s="269" t="s">
        <v>783</v>
      </c>
      <c r="C106" s="216" t="s">
        <v>5465</v>
      </c>
      <c r="D106" s="214"/>
      <c r="E106" s="217">
        <v>2000000000</v>
      </c>
      <c r="F106" s="225">
        <f>F92+F94-F95+F96-F97+F98-F99+F100-F101-F102+F103+F104+F105</f>
        <v>21394901</v>
      </c>
      <c r="G106" s="305"/>
      <c r="H106" s="305"/>
    </row>
    <row r="107" spans="1:8" ht="15.75" customHeight="1" thickBot="1" x14ac:dyDescent="0.4">
      <c r="A107" s="227" t="s">
        <v>5144</v>
      </c>
      <c r="B107" s="269" t="s">
        <v>5503</v>
      </c>
      <c r="C107" s="216" t="s">
        <v>5466</v>
      </c>
      <c r="D107" s="214"/>
      <c r="E107" s="215"/>
      <c r="F107" s="215"/>
      <c r="G107" s="304"/>
      <c r="H107" s="304"/>
    </row>
    <row r="108" spans="1:8" ht="15.75" customHeight="1" thickBot="1" x14ac:dyDescent="0.4">
      <c r="A108" s="227" t="s">
        <v>5144</v>
      </c>
      <c r="B108" s="269" t="s">
        <v>5503</v>
      </c>
      <c r="C108" s="213" t="s">
        <v>729</v>
      </c>
      <c r="D108" s="214"/>
      <c r="E108" s="215"/>
      <c r="F108" s="215"/>
      <c r="G108" s="304"/>
      <c r="H108" s="304"/>
    </row>
    <row r="109" spans="1:8" ht="15.75" customHeight="1" thickBot="1" x14ac:dyDescent="0.4">
      <c r="A109" s="227" t="s">
        <v>5128</v>
      </c>
      <c r="B109" s="269" t="s">
        <v>783</v>
      </c>
      <c r="C109" s="214" t="s">
        <v>5146</v>
      </c>
      <c r="D109" s="214" t="s">
        <v>5467</v>
      </c>
      <c r="E109" s="215">
        <v>3101010000</v>
      </c>
      <c r="F109" s="223">
        <v>1000000</v>
      </c>
      <c r="G109" s="303"/>
      <c r="H109" s="303"/>
    </row>
    <row r="110" spans="1:8" ht="15.75" customHeight="1" thickBot="1" x14ac:dyDescent="0.4">
      <c r="A110" s="227" t="s">
        <v>5128</v>
      </c>
      <c r="B110" s="269" t="s">
        <v>783</v>
      </c>
      <c r="C110" s="214" t="s">
        <v>5149</v>
      </c>
      <c r="D110" s="214" t="s">
        <v>5468</v>
      </c>
      <c r="E110" s="215">
        <v>3101020000</v>
      </c>
      <c r="F110" s="223">
        <v>1000000</v>
      </c>
      <c r="G110" s="303"/>
      <c r="H110" s="303"/>
    </row>
    <row r="111" spans="1:8" ht="15.75" customHeight="1" thickBot="1" x14ac:dyDescent="0.4">
      <c r="A111" s="227" t="s">
        <v>5144</v>
      </c>
      <c r="B111" s="269" t="s">
        <v>5503</v>
      </c>
      <c r="C111" s="213" t="s">
        <v>5469</v>
      </c>
      <c r="D111" s="214"/>
      <c r="E111" s="215"/>
      <c r="F111" s="215"/>
      <c r="G111" s="304"/>
      <c r="H111" s="304"/>
    </row>
    <row r="112" spans="1:8" ht="15.75" customHeight="1" thickBot="1" x14ac:dyDescent="0.4">
      <c r="A112" s="227" t="s">
        <v>5128</v>
      </c>
      <c r="B112" s="269" t="s">
        <v>783</v>
      </c>
      <c r="C112" s="214" t="s">
        <v>5146</v>
      </c>
      <c r="D112" s="214" t="s">
        <v>5470</v>
      </c>
      <c r="E112" s="215">
        <v>3102010000</v>
      </c>
      <c r="F112" s="223">
        <v>125000</v>
      </c>
      <c r="G112" s="303"/>
      <c r="H112" s="303"/>
    </row>
    <row r="113" spans="1:8" ht="15.75" customHeight="1" thickBot="1" x14ac:dyDescent="0.4">
      <c r="A113" s="227" t="s">
        <v>5128</v>
      </c>
      <c r="B113" s="269" t="s">
        <v>783</v>
      </c>
      <c r="C113" s="214" t="s">
        <v>5149</v>
      </c>
      <c r="D113" s="214" t="s">
        <v>738</v>
      </c>
      <c r="E113" s="215">
        <v>3102020000</v>
      </c>
      <c r="F113" s="223">
        <v>500000</v>
      </c>
      <c r="G113" s="303"/>
      <c r="H113" s="303"/>
    </row>
    <row r="114" spans="1:8" ht="15.75" customHeight="1" thickBot="1" x14ac:dyDescent="0.4">
      <c r="A114" s="227" t="s">
        <v>5128</v>
      </c>
      <c r="B114" s="269" t="s">
        <v>783</v>
      </c>
      <c r="C114" s="214" t="s">
        <v>5152</v>
      </c>
      <c r="D114" s="214" t="s">
        <v>747</v>
      </c>
      <c r="E114" s="215">
        <v>3102030000</v>
      </c>
      <c r="F114" s="223">
        <v>1000000</v>
      </c>
      <c r="G114" s="303"/>
      <c r="H114" s="303"/>
    </row>
    <row r="115" spans="1:8" ht="15.75" customHeight="1" thickBot="1" x14ac:dyDescent="0.4">
      <c r="A115" s="227" t="s">
        <v>5128</v>
      </c>
      <c r="B115" s="269" t="s">
        <v>783</v>
      </c>
      <c r="C115" s="214" t="s">
        <v>5164</v>
      </c>
      <c r="D115" s="214" t="s">
        <v>5471</v>
      </c>
      <c r="E115" s="215">
        <v>3102990000</v>
      </c>
      <c r="F115" s="223">
        <v>1000000</v>
      </c>
      <c r="G115" s="303"/>
      <c r="H115" s="303"/>
    </row>
    <row r="116" spans="1:8" ht="15.75" customHeight="1" thickBot="1" x14ac:dyDescent="0.4">
      <c r="A116" s="227" t="s">
        <v>5144</v>
      </c>
      <c r="B116" s="269" t="s">
        <v>5503</v>
      </c>
      <c r="C116" s="213" t="s">
        <v>5472</v>
      </c>
      <c r="D116" s="214"/>
      <c r="E116" s="215"/>
      <c r="F116" s="215"/>
      <c r="G116" s="304"/>
      <c r="H116" s="304"/>
    </row>
    <row r="117" spans="1:8" ht="15.75" customHeight="1" thickBot="1" x14ac:dyDescent="0.4">
      <c r="A117" s="227" t="s">
        <v>5128</v>
      </c>
      <c r="B117" s="269" t="s">
        <v>783</v>
      </c>
      <c r="C117" s="214" t="s">
        <v>5146</v>
      </c>
      <c r="D117" s="214" t="s">
        <v>5473</v>
      </c>
      <c r="E117" s="215">
        <v>3103010000</v>
      </c>
      <c r="F117" s="223">
        <v>1000000</v>
      </c>
      <c r="G117" s="303"/>
      <c r="H117" s="303"/>
    </row>
    <row r="118" spans="1:8" ht="15.75" customHeight="1" thickBot="1" x14ac:dyDescent="0.4">
      <c r="A118" s="227" t="s">
        <v>5128</v>
      </c>
      <c r="B118" s="269" t="s">
        <v>783</v>
      </c>
      <c r="C118" s="214" t="s">
        <v>5149</v>
      </c>
      <c r="D118" s="214" t="s">
        <v>5474</v>
      </c>
      <c r="E118" s="215">
        <v>3103020000</v>
      </c>
      <c r="F118" s="223">
        <v>1000000</v>
      </c>
      <c r="G118" s="303"/>
      <c r="H118" s="303"/>
    </row>
    <row r="119" spans="1:8" ht="15.75" customHeight="1" thickBot="1" x14ac:dyDescent="0.4">
      <c r="A119" s="227" t="s">
        <v>5128</v>
      </c>
      <c r="B119" s="269" t="s">
        <v>783</v>
      </c>
      <c r="C119" s="214" t="s">
        <v>5152</v>
      </c>
      <c r="D119" s="214" t="s">
        <v>331</v>
      </c>
      <c r="E119" s="215">
        <v>3103990000</v>
      </c>
      <c r="F119" s="223">
        <v>1000000</v>
      </c>
      <c r="G119" s="303"/>
      <c r="H119" s="303"/>
    </row>
    <row r="120" spans="1:8" ht="15.75" customHeight="1" thickBot="1" x14ac:dyDescent="0.4">
      <c r="A120" s="227" t="s">
        <v>5128</v>
      </c>
      <c r="B120" s="269" t="s">
        <v>783</v>
      </c>
      <c r="C120" s="214" t="s">
        <v>5164</v>
      </c>
      <c r="D120" s="214" t="s">
        <v>5475</v>
      </c>
      <c r="E120" s="215">
        <v>3103980000</v>
      </c>
      <c r="F120" s="223">
        <v>940000</v>
      </c>
      <c r="G120" s="303"/>
      <c r="H120" s="303"/>
    </row>
    <row r="121" spans="1:8" ht="15.75" customHeight="1" thickBot="1" x14ac:dyDescent="0.4">
      <c r="A121" s="227" t="s">
        <v>5144</v>
      </c>
      <c r="B121" s="269" t="s">
        <v>5503</v>
      </c>
      <c r="C121" s="213" t="s">
        <v>5476</v>
      </c>
      <c r="D121" s="214"/>
      <c r="E121" s="215"/>
      <c r="F121" s="215"/>
      <c r="G121" s="304"/>
      <c r="H121" s="304"/>
    </row>
    <row r="122" spans="1:8" ht="15.75" customHeight="1" thickBot="1" x14ac:dyDescent="0.4">
      <c r="A122" s="227" t="s">
        <v>5128</v>
      </c>
      <c r="B122" s="269" t="s">
        <v>783</v>
      </c>
      <c r="C122" s="214" t="s">
        <v>5146</v>
      </c>
      <c r="D122" s="214" t="s">
        <v>5477</v>
      </c>
      <c r="E122" s="215">
        <v>3104010000</v>
      </c>
      <c r="F122" s="223">
        <v>250000</v>
      </c>
      <c r="G122" s="303"/>
      <c r="H122" s="303"/>
    </row>
    <row r="123" spans="1:8" ht="15.75" customHeight="1" thickBot="1" x14ac:dyDescent="0.4">
      <c r="A123" s="227" t="s">
        <v>5128</v>
      </c>
      <c r="B123" s="269" t="s">
        <v>783</v>
      </c>
      <c r="C123" s="214" t="s">
        <v>5149</v>
      </c>
      <c r="D123" s="214" t="s">
        <v>5478</v>
      </c>
      <c r="E123" s="215">
        <v>3104020000</v>
      </c>
      <c r="F123" s="223">
        <v>500000</v>
      </c>
      <c r="G123" s="303"/>
      <c r="H123" s="303"/>
    </row>
    <row r="124" spans="1:8" ht="15.75" customHeight="1" thickBot="1" x14ac:dyDescent="0.4">
      <c r="A124" s="227" t="s">
        <v>5144</v>
      </c>
      <c r="B124" s="269" t="s">
        <v>5503</v>
      </c>
      <c r="C124" s="213" t="s">
        <v>5479</v>
      </c>
      <c r="D124" s="214"/>
      <c r="E124" s="215"/>
      <c r="F124" s="215"/>
      <c r="G124" s="304"/>
      <c r="H124" s="304"/>
    </row>
    <row r="125" spans="1:8" ht="15.75" customHeight="1" thickBot="1" x14ac:dyDescent="0.4">
      <c r="A125" s="227" t="s">
        <v>5128</v>
      </c>
      <c r="B125" s="269" t="s">
        <v>783</v>
      </c>
      <c r="C125" s="213" t="s">
        <v>5480</v>
      </c>
      <c r="D125" s="214"/>
      <c r="E125" s="215">
        <v>3105010000</v>
      </c>
      <c r="F125" s="223">
        <v>1000000</v>
      </c>
      <c r="G125" s="303"/>
      <c r="H125" s="303"/>
    </row>
    <row r="126" spans="1:8" ht="15.75" customHeight="1" thickBot="1" x14ac:dyDescent="0.4">
      <c r="A126" s="227" t="s">
        <v>5128</v>
      </c>
      <c r="B126" s="269" t="s">
        <v>783</v>
      </c>
      <c r="C126" s="213" t="s">
        <v>5481</v>
      </c>
      <c r="D126" s="214"/>
      <c r="E126" s="215">
        <v>3105020000</v>
      </c>
      <c r="F126" s="223">
        <f>'0200'!G234</f>
        <v>16075000</v>
      </c>
      <c r="G126" s="303"/>
      <c r="H126" s="303"/>
    </row>
    <row r="127" spans="1:8" ht="15.75" customHeight="1" thickBot="1" x14ac:dyDescent="0.4">
      <c r="A127" s="227" t="s">
        <v>5128</v>
      </c>
      <c r="B127" s="269" t="s">
        <v>783</v>
      </c>
      <c r="C127" s="216" t="s">
        <v>5482</v>
      </c>
      <c r="D127" s="214"/>
      <c r="E127" s="217">
        <v>3000000000</v>
      </c>
      <c r="F127" s="225">
        <f>F109-F110+F112+F113+F114+F115+F117+F118+F119+F120+F122+F123+F125+F126</f>
        <v>24390000</v>
      </c>
      <c r="G127" s="305"/>
      <c r="H127" s="305"/>
    </row>
    <row r="128" spans="1:8" ht="15.75" customHeight="1" thickBot="1" x14ac:dyDescent="0.4">
      <c r="A128" s="264" t="s">
        <v>5125</v>
      </c>
      <c r="B128" s="270" t="s">
        <v>5232</v>
      </c>
      <c r="C128" s="419" t="s">
        <v>5435</v>
      </c>
      <c r="D128" s="420"/>
      <c r="E128" s="218" t="s">
        <v>5391</v>
      </c>
      <c r="F128" s="218" t="s">
        <v>5265</v>
      </c>
      <c r="G128" s="306"/>
      <c r="H128" s="306"/>
    </row>
    <row r="129" spans="1:8" ht="15.75" customHeight="1" thickBot="1" x14ac:dyDescent="0.4">
      <c r="A129" s="222" t="s">
        <v>5128</v>
      </c>
      <c r="B129" s="269" t="s">
        <v>30</v>
      </c>
      <c r="C129" s="202" t="s">
        <v>5436</v>
      </c>
      <c r="D129" s="203"/>
      <c r="E129" s="204">
        <v>1101010000</v>
      </c>
      <c r="F129" s="223">
        <v>25100000</v>
      </c>
      <c r="G129" s="303"/>
      <c r="H129" s="303"/>
    </row>
    <row r="130" spans="1:8" ht="15.75" customHeight="1" thickBot="1" x14ac:dyDescent="0.4">
      <c r="A130" s="222" t="s">
        <v>5128</v>
      </c>
      <c r="B130" s="269" t="s">
        <v>30</v>
      </c>
      <c r="C130" s="202" t="s">
        <v>5437</v>
      </c>
      <c r="D130" s="203"/>
      <c r="E130" s="204">
        <v>1101020000</v>
      </c>
      <c r="F130" s="223">
        <v>9250000</v>
      </c>
      <c r="G130" s="303"/>
      <c r="H130" s="303"/>
    </row>
    <row r="131" spans="1:8" ht="15.75" customHeight="1" thickBot="1" x14ac:dyDescent="0.4">
      <c r="A131" s="222" t="s">
        <v>5128</v>
      </c>
      <c r="B131" s="269" t="s">
        <v>30</v>
      </c>
      <c r="C131" s="202" t="s">
        <v>5438</v>
      </c>
      <c r="D131" s="203"/>
      <c r="E131" s="204">
        <v>1102000000</v>
      </c>
      <c r="F131" s="223">
        <v>1200000</v>
      </c>
      <c r="G131" s="303"/>
      <c r="H131" s="303"/>
    </row>
    <row r="132" spans="1:8" thickBot="1" x14ac:dyDescent="0.4">
      <c r="A132" s="224" t="s">
        <v>5128</v>
      </c>
      <c r="B132" s="269" t="s">
        <v>30</v>
      </c>
      <c r="C132" s="206" t="s">
        <v>5439</v>
      </c>
      <c r="D132" s="206" t="s">
        <v>5518</v>
      </c>
      <c r="E132" s="207">
        <v>1102010000</v>
      </c>
      <c r="F132" s="207">
        <v>600</v>
      </c>
      <c r="G132" s="304"/>
      <c r="H132" s="304"/>
    </row>
    <row r="133" spans="1:8" ht="15.75" customHeight="1" thickBot="1" x14ac:dyDescent="0.4">
      <c r="A133" s="222" t="s">
        <v>5128</v>
      </c>
      <c r="B133" s="269" t="s">
        <v>30</v>
      </c>
      <c r="C133" s="202" t="s">
        <v>2284</v>
      </c>
      <c r="D133" s="203"/>
      <c r="E133" s="204">
        <v>1103010000</v>
      </c>
      <c r="F133" s="223">
        <v>200000</v>
      </c>
      <c r="G133" s="303"/>
      <c r="H133" s="303"/>
    </row>
    <row r="134" spans="1:8" ht="15.75" customHeight="1" thickBot="1" x14ac:dyDescent="0.4">
      <c r="A134" s="222" t="s">
        <v>5128</v>
      </c>
      <c r="B134" s="269" t="s">
        <v>30</v>
      </c>
      <c r="C134" s="203" t="s">
        <v>5439</v>
      </c>
      <c r="D134" s="203" t="s">
        <v>5483</v>
      </c>
      <c r="E134" s="204">
        <v>1103020000</v>
      </c>
      <c r="F134" s="223">
        <v>200000</v>
      </c>
      <c r="G134" s="303"/>
      <c r="H134" s="303"/>
    </row>
    <row r="135" spans="1:8" ht="15.75" customHeight="1" thickBot="1" x14ac:dyDescent="0.4">
      <c r="A135" s="222" t="s">
        <v>5128</v>
      </c>
      <c r="B135" s="269" t="s">
        <v>30</v>
      </c>
      <c r="C135" s="202" t="s">
        <v>5440</v>
      </c>
      <c r="D135" s="203"/>
      <c r="E135" s="204">
        <v>1104010100</v>
      </c>
      <c r="F135" s="223">
        <v>1300000</v>
      </c>
      <c r="G135" s="303"/>
      <c r="H135" s="303"/>
    </row>
    <row r="136" spans="1:8" ht="15.75" customHeight="1" thickBot="1" x14ac:dyDescent="0.4">
      <c r="A136" s="222" t="s">
        <v>5128</v>
      </c>
      <c r="B136" s="269" t="s">
        <v>30</v>
      </c>
      <c r="C136" s="203" t="s">
        <v>5439</v>
      </c>
      <c r="D136" s="203" t="s">
        <v>5441</v>
      </c>
      <c r="E136" s="204">
        <v>1104010200</v>
      </c>
      <c r="F136" s="223">
        <v>1000000</v>
      </c>
      <c r="G136" s="303"/>
      <c r="H136" s="303"/>
    </row>
    <row r="137" spans="1:8" ht="15.75" customHeight="1" thickBot="1" x14ac:dyDescent="0.4">
      <c r="A137" s="222" t="s">
        <v>5128</v>
      </c>
      <c r="B137" s="269" t="s">
        <v>30</v>
      </c>
      <c r="C137" s="202" t="s">
        <v>5442</v>
      </c>
      <c r="D137" s="203"/>
      <c r="E137" s="204">
        <v>1104010300</v>
      </c>
      <c r="F137" s="223">
        <v>10000000</v>
      </c>
      <c r="G137" s="303"/>
      <c r="H137" s="303"/>
    </row>
    <row r="138" spans="1:8" ht="15.75" customHeight="1" thickBot="1" x14ac:dyDescent="0.4">
      <c r="A138" s="222" t="s">
        <v>5128</v>
      </c>
      <c r="B138" s="269" t="s">
        <v>30</v>
      </c>
      <c r="C138" s="203" t="s">
        <v>5439</v>
      </c>
      <c r="D138" s="203" t="s">
        <v>5443</v>
      </c>
      <c r="E138" s="204">
        <v>1104010400</v>
      </c>
      <c r="F138" s="223">
        <v>10000000</v>
      </c>
      <c r="G138" s="303"/>
      <c r="H138" s="303"/>
    </row>
    <row r="139" spans="1:8" ht="15.75" customHeight="1" thickBot="1" x14ac:dyDescent="0.4">
      <c r="A139" s="222" t="s">
        <v>5128</v>
      </c>
      <c r="B139" s="269" t="s">
        <v>30</v>
      </c>
      <c r="C139" s="203" t="s">
        <v>5439</v>
      </c>
      <c r="D139" s="203" t="s">
        <v>5444</v>
      </c>
      <c r="E139" s="204">
        <v>1104010500</v>
      </c>
      <c r="F139" s="223">
        <v>0</v>
      </c>
      <c r="G139" s="303"/>
      <c r="H139" s="303"/>
    </row>
    <row r="140" spans="1:8" ht="15.75" customHeight="1" thickBot="1" x14ac:dyDescent="0.4">
      <c r="A140" s="222" t="s">
        <v>5128</v>
      </c>
      <c r="B140" s="269" t="s">
        <v>30</v>
      </c>
      <c r="C140" s="203" t="s">
        <v>5439</v>
      </c>
      <c r="D140" s="203" t="s">
        <v>5483</v>
      </c>
      <c r="E140" s="204">
        <v>1104020000</v>
      </c>
      <c r="F140" s="223">
        <v>80000</v>
      </c>
      <c r="G140" s="303"/>
      <c r="H140" s="303"/>
    </row>
    <row r="141" spans="1:8" thickBot="1" x14ac:dyDescent="0.4">
      <c r="A141" s="224" t="s">
        <v>5128</v>
      </c>
      <c r="B141" s="269" t="s">
        <v>30</v>
      </c>
      <c r="C141" s="205" t="s">
        <v>5445</v>
      </c>
      <c r="D141" s="206"/>
      <c r="E141" s="207">
        <v>1105000000</v>
      </c>
      <c r="F141" s="207">
        <v>0</v>
      </c>
      <c r="G141" s="304"/>
      <c r="H141" s="304"/>
    </row>
    <row r="142" spans="1:8" thickBot="1" x14ac:dyDescent="0.4">
      <c r="A142" s="224" t="s">
        <v>5128</v>
      </c>
      <c r="B142" s="269" t="s">
        <v>30</v>
      </c>
      <c r="C142" s="206" t="s">
        <v>5439</v>
      </c>
      <c r="D142" s="206" t="s">
        <v>5518</v>
      </c>
      <c r="E142" s="207">
        <v>1105010000</v>
      </c>
      <c r="F142" s="207">
        <v>0</v>
      </c>
      <c r="G142" s="304"/>
      <c r="H142" s="304"/>
    </row>
    <row r="143" spans="1:8" ht="15.75" customHeight="1" thickBot="1" x14ac:dyDescent="0.4">
      <c r="A143" s="222" t="s">
        <v>5128</v>
      </c>
      <c r="B143" s="269" t="s">
        <v>30</v>
      </c>
      <c r="C143" s="202" t="s">
        <v>5428</v>
      </c>
      <c r="D143" s="203"/>
      <c r="E143" s="204">
        <v>1201000000</v>
      </c>
      <c r="F143" s="223">
        <v>11000</v>
      </c>
      <c r="G143" s="303"/>
      <c r="H143" s="303"/>
    </row>
    <row r="144" spans="1:8" thickBot="1" x14ac:dyDescent="0.4">
      <c r="A144" s="224" t="s">
        <v>5128</v>
      </c>
      <c r="B144" s="269" t="s">
        <v>30</v>
      </c>
      <c r="C144" s="205" t="s">
        <v>5446</v>
      </c>
      <c r="D144" s="206"/>
      <c r="E144" s="207">
        <v>1205000000</v>
      </c>
      <c r="F144" s="207">
        <v>0</v>
      </c>
      <c r="G144" s="304"/>
      <c r="H144" s="304"/>
    </row>
    <row r="145" spans="1:8" ht="15.75" customHeight="1" thickBot="1" x14ac:dyDescent="0.4">
      <c r="A145" s="222" t="s">
        <v>5128</v>
      </c>
      <c r="B145" s="269" t="s">
        <v>30</v>
      </c>
      <c r="C145" s="202" t="s">
        <v>5447</v>
      </c>
      <c r="D145" s="203"/>
      <c r="E145" s="204">
        <v>1202010000</v>
      </c>
      <c r="F145" s="223">
        <v>4000000</v>
      </c>
      <c r="G145" s="303"/>
      <c r="H145" s="303"/>
    </row>
    <row r="146" spans="1:8" ht="15.75" customHeight="1" thickBot="1" x14ac:dyDescent="0.4">
      <c r="A146" s="222" t="s">
        <v>5128</v>
      </c>
      <c r="B146" s="269" t="s">
        <v>30</v>
      </c>
      <c r="C146" s="203" t="s">
        <v>5439</v>
      </c>
      <c r="D146" s="203" t="s">
        <v>5448</v>
      </c>
      <c r="E146" s="204">
        <v>1202020000</v>
      </c>
      <c r="F146" s="223">
        <v>400000</v>
      </c>
      <c r="G146" s="303"/>
      <c r="H146" s="303"/>
    </row>
    <row r="147" spans="1:8" ht="15.75" customHeight="1" thickBot="1" x14ac:dyDescent="0.4">
      <c r="A147" s="222" t="s">
        <v>5128</v>
      </c>
      <c r="B147" s="269" t="s">
        <v>30</v>
      </c>
      <c r="C147" s="202" t="s">
        <v>5449</v>
      </c>
      <c r="D147" s="203"/>
      <c r="E147" s="204">
        <v>1203010000</v>
      </c>
      <c r="F147" s="223">
        <v>2000000</v>
      </c>
      <c r="G147" s="303"/>
      <c r="H147" s="303"/>
    </row>
    <row r="148" spans="1:8" ht="15.75" customHeight="1" thickBot="1" x14ac:dyDescent="0.4">
      <c r="A148" s="222" t="s">
        <v>5128</v>
      </c>
      <c r="B148" s="269" t="s">
        <v>30</v>
      </c>
      <c r="C148" s="203" t="s">
        <v>5439</v>
      </c>
      <c r="D148" s="203" t="s">
        <v>5450</v>
      </c>
      <c r="E148" s="204">
        <v>1203020000</v>
      </c>
      <c r="F148" s="223">
        <v>1139500</v>
      </c>
      <c r="G148" s="303"/>
      <c r="H148" s="303"/>
    </row>
    <row r="149" spans="1:8" ht="15.75" customHeight="1" thickBot="1" x14ac:dyDescent="0.4">
      <c r="A149" s="222" t="s">
        <v>5128</v>
      </c>
      <c r="B149" s="269" t="s">
        <v>30</v>
      </c>
      <c r="C149" s="202" t="s">
        <v>5451</v>
      </c>
      <c r="D149" s="203"/>
      <c r="E149" s="204">
        <v>1204000000</v>
      </c>
      <c r="F149" s="223">
        <v>3000000</v>
      </c>
      <c r="G149" s="309"/>
      <c r="H149" s="303"/>
    </row>
    <row r="150" spans="1:8" ht="15.75" customHeight="1" thickBot="1" x14ac:dyDescent="0.4">
      <c r="A150" s="224" t="s">
        <v>5128</v>
      </c>
      <c r="B150" s="269" t="s">
        <v>30</v>
      </c>
      <c r="C150" s="205" t="s">
        <v>5452</v>
      </c>
      <c r="D150" s="206"/>
      <c r="E150" s="207">
        <v>1206000000</v>
      </c>
      <c r="F150" s="207">
        <v>0</v>
      </c>
      <c r="G150" s="304"/>
      <c r="H150" s="304"/>
    </row>
    <row r="151" spans="1:8" ht="15.75" customHeight="1" thickBot="1" x14ac:dyDescent="0.4">
      <c r="A151" s="224" t="s">
        <v>5128</v>
      </c>
      <c r="B151" s="269" t="s">
        <v>30</v>
      </c>
      <c r="C151" s="206" t="s">
        <v>5439</v>
      </c>
      <c r="D151" s="206" t="s">
        <v>5518</v>
      </c>
      <c r="E151" s="207">
        <v>1206010000</v>
      </c>
      <c r="F151" s="207">
        <v>0</v>
      </c>
      <c r="G151" s="304"/>
      <c r="H151" s="304"/>
    </row>
    <row r="152" spans="1:8" ht="15.75" customHeight="1" thickBot="1" x14ac:dyDescent="0.4">
      <c r="A152" s="222" t="s">
        <v>5128</v>
      </c>
      <c r="B152" s="269" t="s">
        <v>30</v>
      </c>
      <c r="C152" s="202" t="s">
        <v>5453</v>
      </c>
      <c r="D152" s="203"/>
      <c r="E152" s="204">
        <v>1299000000</v>
      </c>
      <c r="F152" s="223">
        <v>900000</v>
      </c>
      <c r="G152" s="303"/>
      <c r="H152" s="303"/>
    </row>
    <row r="153" spans="1:8" ht="15.75" customHeight="1" thickBot="1" x14ac:dyDescent="0.4">
      <c r="A153" s="222" t="s">
        <v>5128</v>
      </c>
      <c r="B153" s="269" t="s">
        <v>30</v>
      </c>
      <c r="C153" s="208" t="s">
        <v>5454</v>
      </c>
      <c r="D153" s="203"/>
      <c r="E153" s="209">
        <v>1000000000</v>
      </c>
      <c r="F153" s="225">
        <f>F129+F130-F132+F131+F133-F134+F135-F136+F137-F138-F139-F140+F141-F142+F143+F144+F145-F146+F147-F148+F149+F150-F151+F152</f>
        <v>44140900</v>
      </c>
      <c r="G153" s="305"/>
      <c r="H153" s="305"/>
    </row>
    <row r="154" spans="1:8" ht="15.75" customHeight="1" thickBot="1" x14ac:dyDescent="0.4">
      <c r="A154" s="222" t="s">
        <v>5144</v>
      </c>
      <c r="B154" s="269" t="s">
        <v>5503</v>
      </c>
      <c r="C154" s="208" t="s">
        <v>5455</v>
      </c>
      <c r="D154" s="203"/>
      <c r="E154" s="204"/>
      <c r="F154" s="204"/>
      <c r="G154" s="304"/>
      <c r="H154" s="304"/>
    </row>
    <row r="155" spans="1:8" ht="15.75" customHeight="1" thickBot="1" x14ac:dyDescent="0.4">
      <c r="A155" s="222" t="s">
        <v>5128</v>
      </c>
      <c r="B155" s="269" t="s">
        <v>30</v>
      </c>
      <c r="C155" s="202" t="s">
        <v>5456</v>
      </c>
      <c r="D155" s="203"/>
      <c r="E155" s="204">
        <v>2101000000</v>
      </c>
      <c r="F155" s="223">
        <v>10599900</v>
      </c>
      <c r="G155" s="303"/>
      <c r="H155" s="303"/>
    </row>
    <row r="156" spans="1:8" ht="15.75" customHeight="1" thickBot="1" x14ac:dyDescent="0.4">
      <c r="A156" s="222" t="s">
        <v>5144</v>
      </c>
      <c r="B156" s="269" t="s">
        <v>5503</v>
      </c>
      <c r="C156" s="202" t="s">
        <v>5457</v>
      </c>
      <c r="D156" s="203"/>
      <c r="E156" s="204"/>
      <c r="F156" s="204"/>
      <c r="G156" s="304"/>
      <c r="H156" s="304"/>
    </row>
    <row r="157" spans="1:8" ht="15.75" customHeight="1" thickBot="1" x14ac:dyDescent="0.4">
      <c r="A157" s="222" t="s">
        <v>5128</v>
      </c>
      <c r="B157" s="269" t="s">
        <v>30</v>
      </c>
      <c r="C157" s="203" t="s">
        <v>5458</v>
      </c>
      <c r="D157" s="203" t="s">
        <v>2635</v>
      </c>
      <c r="E157" s="204">
        <v>2102010100</v>
      </c>
      <c r="F157" s="223">
        <v>4000000</v>
      </c>
      <c r="G157" s="303"/>
      <c r="H157" s="303"/>
    </row>
    <row r="158" spans="1:8" ht="15.75" customHeight="1" thickBot="1" x14ac:dyDescent="0.4">
      <c r="A158" s="222" t="s">
        <v>5128</v>
      </c>
      <c r="B158" s="269" t="s">
        <v>30</v>
      </c>
      <c r="C158" s="203"/>
      <c r="D158" s="203" t="s">
        <v>5459</v>
      </c>
      <c r="E158" s="204">
        <v>2102010200</v>
      </c>
      <c r="F158" s="223">
        <v>2000</v>
      </c>
      <c r="G158" s="303"/>
      <c r="H158" s="303"/>
    </row>
    <row r="159" spans="1:8" ht="15.75" customHeight="1" thickBot="1" x14ac:dyDescent="0.4">
      <c r="A159" s="222" t="s">
        <v>5128</v>
      </c>
      <c r="B159" s="269" t="s">
        <v>30</v>
      </c>
      <c r="C159" s="203" t="s">
        <v>5460</v>
      </c>
      <c r="D159" s="203" t="s">
        <v>2638</v>
      </c>
      <c r="E159" s="204">
        <v>2102020100</v>
      </c>
      <c r="F159" s="223">
        <v>4000000</v>
      </c>
      <c r="G159" s="303"/>
      <c r="H159" s="303"/>
    </row>
    <row r="160" spans="1:8" ht="15.75" customHeight="1" thickBot="1" x14ac:dyDescent="0.4">
      <c r="A160" s="222" t="s">
        <v>5128</v>
      </c>
      <c r="B160" s="269" t="s">
        <v>30</v>
      </c>
      <c r="C160" s="203"/>
      <c r="D160" s="203" t="s">
        <v>5459</v>
      </c>
      <c r="E160" s="204">
        <v>2102020200</v>
      </c>
      <c r="F160" s="223">
        <v>2000</v>
      </c>
      <c r="G160" s="303"/>
      <c r="H160" s="303"/>
    </row>
    <row r="161" spans="1:8" ht="15.75" customHeight="1" thickBot="1" x14ac:dyDescent="0.4">
      <c r="A161" s="222" t="s">
        <v>5128</v>
      </c>
      <c r="B161" s="269" t="s">
        <v>30</v>
      </c>
      <c r="C161" s="202" t="s">
        <v>5461</v>
      </c>
      <c r="D161" s="203"/>
      <c r="E161" s="204">
        <v>2103010000</v>
      </c>
      <c r="F161" s="223">
        <v>1000000</v>
      </c>
      <c r="G161" s="303"/>
      <c r="H161" s="303"/>
    </row>
    <row r="162" spans="1:8" ht="15.75" customHeight="1" thickBot="1" x14ac:dyDescent="0.4">
      <c r="A162" s="222" t="s">
        <v>5128</v>
      </c>
      <c r="B162" s="269" t="s">
        <v>30</v>
      </c>
      <c r="C162" s="203" t="s">
        <v>5439</v>
      </c>
      <c r="D162" s="203" t="s">
        <v>5277</v>
      </c>
      <c r="E162" s="204">
        <v>2103020000</v>
      </c>
      <c r="F162" s="223">
        <v>500000</v>
      </c>
      <c r="G162" s="303"/>
      <c r="H162" s="303"/>
    </row>
    <row r="163" spans="1:8" ht="15.75" customHeight="1" thickBot="1" x14ac:dyDescent="0.4">
      <c r="A163" s="222" t="s">
        <v>5128</v>
      </c>
      <c r="B163" s="269" t="s">
        <v>30</v>
      </c>
      <c r="C163" s="202" t="s">
        <v>5462</v>
      </c>
      <c r="D163" s="203"/>
      <c r="E163" s="204">
        <v>2201010000</v>
      </c>
      <c r="F163" s="223">
        <v>2000000</v>
      </c>
      <c r="G163" s="303"/>
      <c r="H163" s="303"/>
    </row>
    <row r="164" spans="1:8" ht="15.75" customHeight="1" thickBot="1" x14ac:dyDescent="0.4">
      <c r="A164" s="222" t="s">
        <v>5128</v>
      </c>
      <c r="B164" s="269" t="s">
        <v>30</v>
      </c>
      <c r="C164" s="203" t="s">
        <v>5439</v>
      </c>
      <c r="D164" s="203" t="s">
        <v>5277</v>
      </c>
      <c r="E164" s="204">
        <v>2201020000</v>
      </c>
      <c r="F164" s="223">
        <v>1000000</v>
      </c>
      <c r="G164" s="303"/>
      <c r="H164" s="303"/>
    </row>
    <row r="165" spans="1:8" ht="15.75" customHeight="1" thickBot="1" x14ac:dyDescent="0.4">
      <c r="A165" s="222" t="s">
        <v>5128</v>
      </c>
      <c r="B165" s="269" t="s">
        <v>30</v>
      </c>
      <c r="C165" s="203" t="s">
        <v>5439</v>
      </c>
      <c r="D165" s="203" t="s">
        <v>5278</v>
      </c>
      <c r="E165" s="204">
        <v>2201030000</v>
      </c>
      <c r="F165" s="223">
        <v>1000000</v>
      </c>
      <c r="G165" s="303"/>
      <c r="H165" s="303"/>
    </row>
    <row r="166" spans="1:8" ht="15.75" customHeight="1" thickBot="1" x14ac:dyDescent="0.4">
      <c r="A166" s="222" t="s">
        <v>5128</v>
      </c>
      <c r="B166" s="269" t="s">
        <v>30</v>
      </c>
      <c r="C166" s="202" t="s">
        <v>5463</v>
      </c>
      <c r="D166" s="203"/>
      <c r="E166" s="204">
        <v>2202000000</v>
      </c>
      <c r="F166" s="223">
        <v>1000000</v>
      </c>
      <c r="G166" s="303"/>
      <c r="H166" s="303"/>
    </row>
    <row r="167" spans="1:8" ht="15.75" customHeight="1" thickBot="1" x14ac:dyDescent="0.4">
      <c r="A167" s="222" t="s">
        <v>5128</v>
      </c>
      <c r="B167" s="269" t="s">
        <v>30</v>
      </c>
      <c r="C167" s="202" t="s">
        <v>5464</v>
      </c>
      <c r="D167" s="203"/>
      <c r="E167" s="204">
        <v>2203000000</v>
      </c>
      <c r="F167" s="223">
        <v>0</v>
      </c>
      <c r="G167" s="303"/>
      <c r="H167" s="303"/>
    </row>
    <row r="168" spans="1:8" ht="15.75" customHeight="1" thickBot="1" x14ac:dyDescent="0.4">
      <c r="A168" s="222" t="s">
        <v>5128</v>
      </c>
      <c r="B168" s="269" t="s">
        <v>30</v>
      </c>
      <c r="C168" s="335" t="s">
        <v>6086</v>
      </c>
      <c r="D168" s="203"/>
      <c r="E168" s="204">
        <v>2299000000</v>
      </c>
      <c r="F168" s="223">
        <v>1000000</v>
      </c>
      <c r="G168" s="303"/>
      <c r="H168" s="303"/>
    </row>
    <row r="169" spans="1:8" ht="15.75" customHeight="1" thickBot="1" x14ac:dyDescent="0.4">
      <c r="A169" s="222" t="s">
        <v>5128</v>
      </c>
      <c r="B169" s="269" t="s">
        <v>30</v>
      </c>
      <c r="C169" s="208" t="s">
        <v>5465</v>
      </c>
      <c r="D169" s="203"/>
      <c r="E169" s="209">
        <v>2000000000</v>
      </c>
      <c r="F169" s="225">
        <f>F155+F157-F158+F159-F160+F161-F162+F163-F164-F165+F166+F167+F168</f>
        <v>21095900</v>
      </c>
      <c r="G169" s="305"/>
      <c r="H169" s="305"/>
    </row>
    <row r="170" spans="1:8" ht="15.75" customHeight="1" thickBot="1" x14ac:dyDescent="0.4">
      <c r="A170" s="222" t="s">
        <v>5144</v>
      </c>
      <c r="B170" s="269" t="s">
        <v>5503</v>
      </c>
      <c r="C170" s="208" t="s">
        <v>5466</v>
      </c>
      <c r="D170" s="203"/>
      <c r="E170" s="204"/>
      <c r="F170" s="204"/>
      <c r="G170" s="304"/>
      <c r="H170" s="304"/>
    </row>
    <row r="171" spans="1:8" ht="15.75" customHeight="1" thickBot="1" x14ac:dyDescent="0.4">
      <c r="A171" s="222" t="s">
        <v>5144</v>
      </c>
      <c r="B171" s="269" t="s">
        <v>5503</v>
      </c>
      <c r="C171" s="202" t="s">
        <v>729</v>
      </c>
      <c r="D171" s="203"/>
      <c r="E171" s="204"/>
      <c r="F171" s="204"/>
      <c r="G171" s="304"/>
      <c r="H171" s="304"/>
    </row>
    <row r="172" spans="1:8" ht="15.75" customHeight="1" thickBot="1" x14ac:dyDescent="0.4">
      <c r="A172" s="222" t="s">
        <v>5128</v>
      </c>
      <c r="B172" s="269" t="s">
        <v>30</v>
      </c>
      <c r="C172" s="203" t="s">
        <v>5146</v>
      </c>
      <c r="D172" s="203" t="s">
        <v>729</v>
      </c>
      <c r="E172" s="204">
        <v>3101010000</v>
      </c>
      <c r="F172" s="223">
        <v>1000000</v>
      </c>
      <c r="G172" s="303"/>
      <c r="H172" s="303"/>
    </row>
    <row r="173" spans="1:8" ht="15.75" customHeight="1" thickBot="1" x14ac:dyDescent="0.4">
      <c r="A173" s="222" t="s">
        <v>5128</v>
      </c>
      <c r="B173" s="269" t="s">
        <v>30</v>
      </c>
      <c r="C173" s="203" t="s">
        <v>5149</v>
      </c>
      <c r="D173" s="203" t="s">
        <v>5468</v>
      </c>
      <c r="E173" s="204">
        <v>3101020000</v>
      </c>
      <c r="F173" s="223">
        <v>0</v>
      </c>
      <c r="G173" s="303"/>
      <c r="H173" s="303"/>
    </row>
    <row r="174" spans="1:8" ht="15.75" customHeight="1" thickBot="1" x14ac:dyDescent="0.4">
      <c r="A174" s="222" t="s">
        <v>5144</v>
      </c>
      <c r="B174" s="269" t="s">
        <v>5503</v>
      </c>
      <c r="C174" s="202" t="s">
        <v>5469</v>
      </c>
      <c r="D174" s="203"/>
      <c r="E174" s="204"/>
      <c r="F174" s="204"/>
      <c r="G174" s="304"/>
      <c r="H174" s="304"/>
    </row>
    <row r="175" spans="1:8" ht="15.75" customHeight="1" thickBot="1" x14ac:dyDescent="0.4">
      <c r="A175" s="222" t="s">
        <v>5128</v>
      </c>
      <c r="B175" s="269" t="s">
        <v>30</v>
      </c>
      <c r="C175" s="203" t="s">
        <v>5146</v>
      </c>
      <c r="D175" s="203" t="s">
        <v>5470</v>
      </c>
      <c r="E175" s="204">
        <v>3102010000</v>
      </c>
      <c r="F175" s="223">
        <v>0</v>
      </c>
      <c r="G175" s="303"/>
      <c r="H175" s="303"/>
    </row>
    <row r="176" spans="1:8" ht="15.75" customHeight="1" thickBot="1" x14ac:dyDescent="0.4">
      <c r="A176" s="222" t="s">
        <v>5128</v>
      </c>
      <c r="B176" s="269" t="s">
        <v>30</v>
      </c>
      <c r="C176" s="203" t="s">
        <v>5149</v>
      </c>
      <c r="D176" s="203" t="s">
        <v>738</v>
      </c>
      <c r="E176" s="204">
        <v>3102020000</v>
      </c>
      <c r="F176" s="223">
        <v>0</v>
      </c>
      <c r="G176" s="303"/>
      <c r="H176" s="303"/>
    </row>
    <row r="177" spans="1:8" ht="15.75" customHeight="1" thickBot="1" x14ac:dyDescent="0.4">
      <c r="A177" s="222" t="s">
        <v>5128</v>
      </c>
      <c r="B177" s="269" t="s">
        <v>30</v>
      </c>
      <c r="C177" s="203" t="s">
        <v>5152</v>
      </c>
      <c r="D177" s="203" t="s">
        <v>747</v>
      </c>
      <c r="E177" s="204">
        <v>3102030000</v>
      </c>
      <c r="F177" s="223">
        <v>0</v>
      </c>
      <c r="G177" s="303"/>
      <c r="H177" s="303"/>
    </row>
    <row r="178" spans="1:8" ht="15.75" customHeight="1" thickBot="1" x14ac:dyDescent="0.4">
      <c r="A178" s="222" t="s">
        <v>5128</v>
      </c>
      <c r="B178" s="269" t="s">
        <v>30</v>
      </c>
      <c r="C178" s="203" t="s">
        <v>5164</v>
      </c>
      <c r="D178" s="203" t="s">
        <v>5471</v>
      </c>
      <c r="E178" s="204">
        <v>3102990000</v>
      </c>
      <c r="F178" s="223">
        <v>1000000</v>
      </c>
      <c r="G178" s="303"/>
      <c r="H178" s="303"/>
    </row>
    <row r="179" spans="1:8" ht="15.75" customHeight="1" thickBot="1" x14ac:dyDescent="0.4">
      <c r="A179" s="222" t="s">
        <v>5144</v>
      </c>
      <c r="B179" s="269" t="s">
        <v>5503</v>
      </c>
      <c r="C179" s="202" t="s">
        <v>5472</v>
      </c>
      <c r="D179" s="203"/>
      <c r="E179" s="204"/>
      <c r="F179" s="204"/>
      <c r="G179" s="304"/>
      <c r="H179" s="304"/>
    </row>
    <row r="180" spans="1:8" ht="15.75" customHeight="1" thickBot="1" x14ac:dyDescent="0.4">
      <c r="A180" s="222" t="s">
        <v>5128</v>
      </c>
      <c r="B180" s="269" t="s">
        <v>30</v>
      </c>
      <c r="C180" s="203" t="s">
        <v>5146</v>
      </c>
      <c r="D180" s="203" t="s">
        <v>5473</v>
      </c>
      <c r="E180" s="204">
        <v>3103010000</v>
      </c>
      <c r="F180" s="223">
        <v>1000000</v>
      </c>
      <c r="G180" s="303"/>
      <c r="H180" s="303"/>
    </row>
    <row r="181" spans="1:8" ht="15.75" customHeight="1" thickBot="1" x14ac:dyDescent="0.4">
      <c r="A181" s="222" t="s">
        <v>5128</v>
      </c>
      <c r="B181" s="269" t="s">
        <v>30</v>
      </c>
      <c r="C181" s="203" t="s">
        <v>5149</v>
      </c>
      <c r="D181" s="203" t="s">
        <v>5474</v>
      </c>
      <c r="E181" s="204">
        <v>3103020000</v>
      </c>
      <c r="F181" s="223">
        <v>1000000</v>
      </c>
      <c r="G181" s="303"/>
      <c r="H181" s="303"/>
    </row>
    <row r="182" spans="1:8" ht="15.75" customHeight="1" thickBot="1" x14ac:dyDescent="0.4">
      <c r="A182" s="222" t="s">
        <v>5128</v>
      </c>
      <c r="B182" s="269" t="s">
        <v>30</v>
      </c>
      <c r="C182" s="203" t="s">
        <v>5152</v>
      </c>
      <c r="D182" s="203" t="s">
        <v>331</v>
      </c>
      <c r="E182" s="204">
        <v>3103990000</v>
      </c>
      <c r="F182" s="223">
        <v>1000000</v>
      </c>
      <c r="G182" s="303"/>
      <c r="H182" s="303"/>
    </row>
    <row r="183" spans="1:8" ht="15.75" customHeight="1" thickBot="1" x14ac:dyDescent="0.4">
      <c r="A183" s="222" t="s">
        <v>5128</v>
      </c>
      <c r="B183" s="269" t="s">
        <v>30</v>
      </c>
      <c r="C183" s="203" t="s">
        <v>5164</v>
      </c>
      <c r="D183" s="203" t="s">
        <v>5475</v>
      </c>
      <c r="E183" s="204">
        <v>3103980000</v>
      </c>
      <c r="F183" s="223">
        <v>970000</v>
      </c>
      <c r="G183" s="303"/>
      <c r="H183" s="303"/>
    </row>
    <row r="184" spans="1:8" ht="15.75" customHeight="1" thickBot="1" x14ac:dyDescent="0.4">
      <c r="A184" s="222" t="s">
        <v>5144</v>
      </c>
      <c r="B184" s="269" t="s">
        <v>5503</v>
      </c>
      <c r="C184" s="202" t="s">
        <v>5476</v>
      </c>
      <c r="D184" s="203"/>
      <c r="E184" s="204"/>
      <c r="F184" s="204"/>
      <c r="G184" s="304"/>
      <c r="H184" s="304"/>
    </row>
    <row r="185" spans="1:8" ht="15.75" customHeight="1" thickBot="1" x14ac:dyDescent="0.4">
      <c r="A185" s="222" t="s">
        <v>5128</v>
      </c>
      <c r="B185" s="269" t="s">
        <v>30</v>
      </c>
      <c r="C185" s="203" t="s">
        <v>5146</v>
      </c>
      <c r="D185" s="203" t="s">
        <v>5477</v>
      </c>
      <c r="E185" s="204">
        <v>3104010000</v>
      </c>
      <c r="F185" s="223">
        <v>0</v>
      </c>
      <c r="G185" s="303"/>
      <c r="H185" s="303"/>
    </row>
    <row r="186" spans="1:8" ht="15.75" customHeight="1" thickBot="1" x14ac:dyDescent="0.4">
      <c r="A186" s="222" t="s">
        <v>5128</v>
      </c>
      <c r="B186" s="269" t="s">
        <v>30</v>
      </c>
      <c r="C186" s="203" t="s">
        <v>5149</v>
      </c>
      <c r="D186" s="203" t="s">
        <v>5478</v>
      </c>
      <c r="E186" s="204">
        <v>3104020000</v>
      </c>
      <c r="F186" s="223">
        <v>0</v>
      </c>
      <c r="G186" s="303"/>
      <c r="H186" s="303"/>
    </row>
    <row r="187" spans="1:8" ht="15.75" customHeight="1" thickBot="1" x14ac:dyDescent="0.4">
      <c r="A187" s="222" t="s">
        <v>5144</v>
      </c>
      <c r="B187" s="269" t="s">
        <v>5503</v>
      </c>
      <c r="C187" s="202" t="s">
        <v>5479</v>
      </c>
      <c r="D187" s="203"/>
      <c r="E187" s="204"/>
      <c r="F187" s="204"/>
      <c r="G187" s="304"/>
      <c r="H187" s="304"/>
    </row>
    <row r="188" spans="1:8" ht="15.75" customHeight="1" thickBot="1" x14ac:dyDescent="0.4">
      <c r="A188" s="222" t="s">
        <v>5128</v>
      </c>
      <c r="B188" s="269" t="s">
        <v>30</v>
      </c>
      <c r="C188" s="202" t="s">
        <v>5480</v>
      </c>
      <c r="D188" s="203"/>
      <c r="E188" s="204">
        <v>3105010000</v>
      </c>
      <c r="F188" s="223">
        <v>1000000</v>
      </c>
      <c r="G188" s="303"/>
      <c r="H188" s="303"/>
    </row>
    <row r="189" spans="1:8" ht="15.75" customHeight="1" thickBot="1" x14ac:dyDescent="0.4">
      <c r="A189" s="222" t="s">
        <v>5128</v>
      </c>
      <c r="B189" s="269" t="s">
        <v>30</v>
      </c>
      <c r="C189" s="202" t="s">
        <v>5481</v>
      </c>
      <c r="D189" s="203"/>
      <c r="E189" s="204">
        <v>3105020000</v>
      </c>
      <c r="F189" s="223">
        <f>'0200'!G356</f>
        <v>16075000</v>
      </c>
      <c r="G189" s="303"/>
      <c r="H189" s="303"/>
    </row>
    <row r="190" spans="1:8" ht="15.75" customHeight="1" thickBot="1" x14ac:dyDescent="0.4">
      <c r="A190" s="222" t="s">
        <v>5128</v>
      </c>
      <c r="B190" s="269" t="s">
        <v>30</v>
      </c>
      <c r="C190" s="208" t="s">
        <v>5482</v>
      </c>
      <c r="D190" s="203"/>
      <c r="E190" s="209">
        <v>3000000000</v>
      </c>
      <c r="F190" s="225">
        <f>F172-F173+F175+F176+F177+F178+F180+F181+F182+F183+F185+F186+F188+F189</f>
        <v>23045000</v>
      </c>
      <c r="G190" s="305"/>
      <c r="H190" s="305"/>
    </row>
  </sheetData>
  <mergeCells count="3">
    <mergeCell ref="C128:D128"/>
    <mergeCell ref="C2:D2"/>
    <mergeCell ref="C65:D65"/>
  </mergeCells>
  <hyperlinks>
    <hyperlink ref="E1" location="Header!A1" display="Back to Header" xr:uid="{00000000-0004-0000-1800-000000000000}"/>
  </hyperlinks>
  <pageMargins left="0.7" right="0.7" top="0.75" bottom="0.75" header="0" footer="0"/>
  <pageSetup paperSize="9"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orm_0101"/>
  <dimension ref="A1:F70"/>
  <sheetViews>
    <sheetView showGridLines="0" workbookViewId="0">
      <selection activeCell="E17" sqref="E17"/>
    </sheetView>
  </sheetViews>
  <sheetFormatPr defaultColWidth="14.453125" defaultRowHeight="15" customHeight="1" x14ac:dyDescent="0.35"/>
  <cols>
    <col min="1" max="1" width="8" customWidth="1"/>
    <col min="2" max="2" width="7.453125" customWidth="1"/>
    <col min="3" max="3" width="2.54296875" customWidth="1"/>
    <col min="4" max="4" width="53.08984375" customWidth="1"/>
    <col min="5" max="5" width="14.54296875" customWidth="1"/>
    <col min="6" max="6" width="27.453125" customWidth="1"/>
    <col min="7" max="26" width="8.54296875" customWidth="1"/>
  </cols>
  <sheetData>
    <row r="1" spans="1:6" ht="14.5" x14ac:dyDescent="0.35">
      <c r="A1" s="103" t="str">
        <f>CONCATENATE("FORM ",Header!A34," - ",Header!B34)</f>
        <v>FORM 0101 - REKENING ADMINISTRATIF</v>
      </c>
      <c r="B1" s="134"/>
      <c r="E1" s="105" t="s">
        <v>5124</v>
      </c>
      <c r="F1" s="137"/>
    </row>
    <row r="2" spans="1:6" ht="29.5" thickBot="1" x14ac:dyDescent="0.4">
      <c r="A2" s="164" t="s">
        <v>5125</v>
      </c>
      <c r="B2" s="139" t="s">
        <v>5232</v>
      </c>
      <c r="C2" s="483" t="s">
        <v>5484</v>
      </c>
      <c r="D2" s="402"/>
      <c r="E2" s="139" t="s">
        <v>2</v>
      </c>
      <c r="F2" s="164" t="s">
        <v>5265</v>
      </c>
    </row>
    <row r="3" spans="1:6" thickBot="1" x14ac:dyDescent="0.4">
      <c r="A3" s="220" t="s">
        <v>5144</v>
      </c>
      <c r="B3" s="271"/>
      <c r="C3" s="199" t="s">
        <v>5485</v>
      </c>
      <c r="D3" s="201"/>
      <c r="E3" s="201"/>
      <c r="F3" s="201"/>
    </row>
    <row r="4" spans="1:6" thickBot="1" x14ac:dyDescent="0.4">
      <c r="A4" s="222" t="s">
        <v>5128</v>
      </c>
      <c r="B4" s="272" t="s">
        <v>1006</v>
      </c>
      <c r="C4" s="204" t="s">
        <v>5146</v>
      </c>
      <c r="D4" s="204" t="s">
        <v>5486</v>
      </c>
      <c r="E4" s="204">
        <v>6101010000</v>
      </c>
      <c r="F4" s="223">
        <f>F27+F50</f>
        <v>3000000</v>
      </c>
    </row>
    <row r="5" spans="1:6" thickBot="1" x14ac:dyDescent="0.4">
      <c r="A5" s="222" t="s">
        <v>5128</v>
      </c>
      <c r="B5" s="272" t="s">
        <v>1006</v>
      </c>
      <c r="C5" s="204" t="s">
        <v>5149</v>
      </c>
      <c r="D5" s="204" t="s">
        <v>5487</v>
      </c>
      <c r="E5" s="204">
        <v>6101990000</v>
      </c>
      <c r="F5" s="223">
        <f>F28+F51</f>
        <v>3000000</v>
      </c>
    </row>
    <row r="6" spans="1:6" thickBot="1" x14ac:dyDescent="0.4">
      <c r="A6" s="222" t="s">
        <v>5144</v>
      </c>
      <c r="B6" s="272" t="str">
        <f t="shared" ref="B6:B16" si="0">IF(A6="Y","'000","")</f>
        <v/>
      </c>
      <c r="C6" s="202" t="s">
        <v>5488</v>
      </c>
      <c r="D6" s="204"/>
      <c r="E6" s="204"/>
      <c r="F6" s="204"/>
    </row>
    <row r="7" spans="1:6" thickBot="1" x14ac:dyDescent="0.4">
      <c r="A7" s="222" t="s">
        <v>5128</v>
      </c>
      <c r="B7" s="272" t="s">
        <v>1006</v>
      </c>
      <c r="C7" s="204" t="s">
        <v>5146</v>
      </c>
      <c r="D7" s="204" t="s">
        <v>5489</v>
      </c>
      <c r="E7" s="204">
        <v>6102010000</v>
      </c>
      <c r="F7" s="223">
        <f>F30+F53</f>
        <v>3000000</v>
      </c>
    </row>
    <row r="8" spans="1:6" thickBot="1" x14ac:dyDescent="0.4">
      <c r="A8" s="222" t="s">
        <v>5128</v>
      </c>
      <c r="B8" s="272" t="s">
        <v>1006</v>
      </c>
      <c r="C8" s="204" t="s">
        <v>5149</v>
      </c>
      <c r="D8" s="228" t="s">
        <v>5762</v>
      </c>
      <c r="E8" s="204">
        <v>6102020000</v>
      </c>
      <c r="F8" s="223">
        <f>F31+F54</f>
        <v>3000000</v>
      </c>
    </row>
    <row r="9" spans="1:6" thickBot="1" x14ac:dyDescent="0.4">
      <c r="A9" s="222" t="s">
        <v>5128</v>
      </c>
      <c r="B9" s="272" t="s">
        <v>1006</v>
      </c>
      <c r="C9" s="204" t="s">
        <v>5152</v>
      </c>
      <c r="D9" s="204" t="s">
        <v>5490</v>
      </c>
      <c r="E9" s="204">
        <v>6102990000</v>
      </c>
      <c r="F9" s="223">
        <f>F32+F55</f>
        <v>3000000</v>
      </c>
    </row>
    <row r="10" spans="1:6" thickBot="1" x14ac:dyDescent="0.4">
      <c r="A10" s="222" t="s">
        <v>5144</v>
      </c>
      <c r="B10" s="272" t="str">
        <f t="shared" si="0"/>
        <v/>
      </c>
      <c r="C10" s="202" t="s">
        <v>5491</v>
      </c>
      <c r="D10" s="204"/>
      <c r="E10" s="204"/>
      <c r="F10" s="204"/>
    </row>
    <row r="11" spans="1:6" thickBot="1" x14ac:dyDescent="0.4">
      <c r="A11" s="222" t="s">
        <v>5144</v>
      </c>
      <c r="B11" s="272" t="str">
        <f t="shared" si="0"/>
        <v/>
      </c>
      <c r="C11" s="204" t="s">
        <v>5146</v>
      </c>
      <c r="D11" s="204" t="s">
        <v>5492</v>
      </c>
      <c r="E11" s="204"/>
      <c r="F11" s="204"/>
    </row>
    <row r="12" spans="1:6" thickBot="1" x14ac:dyDescent="0.4">
      <c r="A12" s="222" t="s">
        <v>5128</v>
      </c>
      <c r="B12" s="272" t="s">
        <v>1006</v>
      </c>
      <c r="C12" s="204"/>
      <c r="D12" s="204" t="s">
        <v>5493</v>
      </c>
      <c r="E12" s="204">
        <v>6201010100</v>
      </c>
      <c r="F12" s="223">
        <v>600000</v>
      </c>
    </row>
    <row r="13" spans="1:6" thickBot="1" x14ac:dyDescent="0.4">
      <c r="A13" s="222" t="s">
        <v>5128</v>
      </c>
      <c r="B13" s="272" t="s">
        <v>1006</v>
      </c>
      <c r="C13" s="204"/>
      <c r="D13" s="204" t="s">
        <v>5494</v>
      </c>
      <c r="E13" s="204">
        <v>6201010200</v>
      </c>
      <c r="F13" s="223">
        <f t="shared" ref="F13" si="1">F36+F59</f>
        <v>10000</v>
      </c>
    </row>
    <row r="14" spans="1:6" thickBot="1" x14ac:dyDescent="0.4">
      <c r="A14" s="222" t="s">
        <v>5128</v>
      </c>
      <c r="B14" s="272" t="s">
        <v>1006</v>
      </c>
      <c r="C14" s="204"/>
      <c r="D14" s="354" t="s">
        <v>6113</v>
      </c>
      <c r="E14" s="204">
        <v>6201010300</v>
      </c>
      <c r="F14" s="223">
        <v>0</v>
      </c>
    </row>
    <row r="15" spans="1:6" thickBot="1" x14ac:dyDescent="0.4">
      <c r="A15" s="222" t="s">
        <v>5128</v>
      </c>
      <c r="B15" s="272" t="s">
        <v>1006</v>
      </c>
      <c r="C15" s="204"/>
      <c r="D15" s="354" t="s">
        <v>6114</v>
      </c>
      <c r="E15" s="204">
        <v>6201010900</v>
      </c>
      <c r="F15" s="223">
        <v>0</v>
      </c>
    </row>
    <row r="16" spans="1:6" thickBot="1" x14ac:dyDescent="0.4">
      <c r="A16" s="222" t="s">
        <v>5144</v>
      </c>
      <c r="B16" s="272" t="str">
        <f t="shared" si="0"/>
        <v/>
      </c>
      <c r="C16" s="204" t="s">
        <v>5149</v>
      </c>
      <c r="D16" s="204" t="s">
        <v>5495</v>
      </c>
      <c r="E16" s="204"/>
      <c r="F16" s="204"/>
    </row>
    <row r="17" spans="1:6" thickBot="1" x14ac:dyDescent="0.4">
      <c r="A17" s="222" t="s">
        <v>5128</v>
      </c>
      <c r="B17" s="272" t="s">
        <v>1006</v>
      </c>
      <c r="C17" s="204"/>
      <c r="D17" s="204" t="s">
        <v>5496</v>
      </c>
      <c r="E17" s="204">
        <v>6201020100</v>
      </c>
      <c r="F17" s="223">
        <f t="shared" ref="F17:F24" si="2">F40+F63</f>
        <v>250000</v>
      </c>
    </row>
    <row r="18" spans="1:6" thickBot="1" x14ac:dyDescent="0.4">
      <c r="A18" s="222" t="s">
        <v>5128</v>
      </c>
      <c r="B18" s="272" t="s">
        <v>1006</v>
      </c>
      <c r="C18" s="204"/>
      <c r="D18" s="204" t="s">
        <v>5497</v>
      </c>
      <c r="E18" s="204">
        <v>6201020200</v>
      </c>
      <c r="F18" s="223">
        <f t="shared" si="2"/>
        <v>250000</v>
      </c>
    </row>
    <row r="19" spans="1:6" thickBot="1" x14ac:dyDescent="0.4">
      <c r="A19" s="222" t="s">
        <v>5128</v>
      </c>
      <c r="B19" s="272" t="s">
        <v>1006</v>
      </c>
      <c r="C19" s="204"/>
      <c r="D19" s="204" t="s">
        <v>5498</v>
      </c>
      <c r="E19" s="204">
        <v>6201020300</v>
      </c>
      <c r="F19" s="223">
        <f t="shared" si="2"/>
        <v>500000</v>
      </c>
    </row>
    <row r="20" spans="1:6" ht="29.5" thickBot="1" x14ac:dyDescent="0.4">
      <c r="A20" s="222" t="s">
        <v>5128</v>
      </c>
      <c r="B20" s="272" t="s">
        <v>1006</v>
      </c>
      <c r="C20" s="204"/>
      <c r="D20" s="204" t="s">
        <v>5499</v>
      </c>
      <c r="E20" s="203">
        <v>6201020400</v>
      </c>
      <c r="F20" s="223">
        <f t="shared" si="2"/>
        <v>500000</v>
      </c>
    </row>
    <row r="21" spans="1:6" thickBot="1" x14ac:dyDescent="0.4">
      <c r="A21" s="222" t="s">
        <v>5128</v>
      </c>
      <c r="B21" s="272" t="s">
        <v>1006</v>
      </c>
      <c r="C21" s="204" t="s">
        <v>5152</v>
      </c>
      <c r="D21" s="204" t="s">
        <v>5500</v>
      </c>
      <c r="E21" s="204">
        <v>6201030000</v>
      </c>
      <c r="F21" s="223">
        <f t="shared" si="2"/>
        <v>3000000</v>
      </c>
    </row>
    <row r="22" spans="1:6" thickBot="1" x14ac:dyDescent="0.4">
      <c r="A22" s="222" t="s">
        <v>5128</v>
      </c>
      <c r="B22" s="272" t="s">
        <v>1006</v>
      </c>
      <c r="C22" s="204" t="s">
        <v>5164</v>
      </c>
      <c r="D22" s="204" t="s">
        <v>5501</v>
      </c>
      <c r="E22" s="204">
        <v>6201990000</v>
      </c>
      <c r="F22" s="223">
        <f t="shared" si="2"/>
        <v>3000000</v>
      </c>
    </row>
    <row r="23" spans="1:6" ht="15.75" customHeight="1" thickBot="1" x14ac:dyDescent="0.4">
      <c r="A23" s="222" t="s">
        <v>5128</v>
      </c>
      <c r="B23" s="272" t="s">
        <v>1006</v>
      </c>
      <c r="C23" s="202" t="s">
        <v>5502</v>
      </c>
      <c r="D23" s="204"/>
      <c r="E23" s="204">
        <v>6202000000</v>
      </c>
      <c r="F23" s="223">
        <f t="shared" si="2"/>
        <v>3000000</v>
      </c>
    </row>
    <row r="24" spans="1:6" ht="15.75" customHeight="1" thickBot="1" x14ac:dyDescent="0.4">
      <c r="A24" s="222" t="s">
        <v>5128</v>
      </c>
      <c r="B24" s="272" t="s">
        <v>1006</v>
      </c>
      <c r="C24" s="202" t="s">
        <v>5763</v>
      </c>
      <c r="D24" s="204"/>
      <c r="E24" s="204">
        <v>6900000000</v>
      </c>
      <c r="F24" s="223">
        <f t="shared" si="2"/>
        <v>3000000</v>
      </c>
    </row>
    <row r="25" spans="1:6" ht="15.75" customHeight="1" thickBot="1" x14ac:dyDescent="0.4">
      <c r="A25" s="211" t="s">
        <v>5125</v>
      </c>
      <c r="B25" s="267" t="s">
        <v>5232</v>
      </c>
      <c r="C25" s="481" t="s">
        <v>5484</v>
      </c>
      <c r="D25" s="482"/>
      <c r="E25" s="212" t="s">
        <v>2</v>
      </c>
      <c r="F25" s="212" t="s">
        <v>5265</v>
      </c>
    </row>
    <row r="26" spans="1:6" ht="15.75" customHeight="1" thickBot="1" x14ac:dyDescent="0.4">
      <c r="A26" s="227" t="s">
        <v>5144</v>
      </c>
      <c r="B26" s="273"/>
      <c r="C26" s="213" t="s">
        <v>5485</v>
      </c>
      <c r="D26" s="215"/>
      <c r="E26" s="215"/>
      <c r="F26" s="215"/>
    </row>
    <row r="27" spans="1:6" ht="15.75" customHeight="1" thickBot="1" x14ac:dyDescent="0.4">
      <c r="A27" s="227" t="s">
        <v>5128</v>
      </c>
      <c r="B27" s="272" t="s">
        <v>783</v>
      </c>
      <c r="C27" s="215" t="s">
        <v>5146</v>
      </c>
      <c r="D27" s="215" t="s">
        <v>5486</v>
      </c>
      <c r="E27" s="215">
        <v>6101010000</v>
      </c>
      <c r="F27" s="223">
        <v>1000000</v>
      </c>
    </row>
    <row r="28" spans="1:6" ht="15.75" customHeight="1" thickBot="1" x14ac:dyDescent="0.4">
      <c r="A28" s="227" t="s">
        <v>5128</v>
      </c>
      <c r="B28" s="272" t="s">
        <v>783</v>
      </c>
      <c r="C28" s="215" t="s">
        <v>5149</v>
      </c>
      <c r="D28" s="215" t="s">
        <v>5487</v>
      </c>
      <c r="E28" s="215">
        <v>6101990000</v>
      </c>
      <c r="F28" s="223">
        <v>1000000</v>
      </c>
    </row>
    <row r="29" spans="1:6" ht="15.75" customHeight="1" thickBot="1" x14ac:dyDescent="0.4">
      <c r="A29" s="227" t="s">
        <v>5144</v>
      </c>
      <c r="B29" s="272" t="str">
        <f t="shared" ref="B29:B39" si="3">IF(A29="Y","'001","")</f>
        <v/>
      </c>
      <c r="C29" s="213" t="s">
        <v>5488</v>
      </c>
      <c r="D29" s="215"/>
      <c r="E29" s="215"/>
      <c r="F29" s="215"/>
    </row>
    <row r="30" spans="1:6" ht="15.75" customHeight="1" thickBot="1" x14ac:dyDescent="0.4">
      <c r="A30" s="227" t="s">
        <v>5128</v>
      </c>
      <c r="B30" s="272" t="s">
        <v>783</v>
      </c>
      <c r="C30" s="215" t="s">
        <v>5146</v>
      </c>
      <c r="D30" s="215" t="s">
        <v>5489</v>
      </c>
      <c r="E30" s="215">
        <v>6102010000</v>
      </c>
      <c r="F30" s="223">
        <v>1000000</v>
      </c>
    </row>
    <row r="31" spans="1:6" ht="15.75" customHeight="1" thickBot="1" x14ac:dyDescent="0.4">
      <c r="A31" s="227" t="s">
        <v>5128</v>
      </c>
      <c r="B31" s="272" t="s">
        <v>783</v>
      </c>
      <c r="C31" s="215" t="s">
        <v>5149</v>
      </c>
      <c r="D31" s="231" t="s">
        <v>5762</v>
      </c>
      <c r="E31" s="215">
        <v>6102020000</v>
      </c>
      <c r="F31" s="223">
        <v>1000000</v>
      </c>
    </row>
    <row r="32" spans="1:6" ht="15.75" customHeight="1" thickBot="1" x14ac:dyDescent="0.4">
      <c r="A32" s="227" t="s">
        <v>5128</v>
      </c>
      <c r="B32" s="272" t="s">
        <v>783</v>
      </c>
      <c r="C32" s="215" t="s">
        <v>5152</v>
      </c>
      <c r="D32" s="215" t="s">
        <v>5490</v>
      </c>
      <c r="E32" s="215">
        <v>6102990000</v>
      </c>
      <c r="F32" s="223">
        <v>1000000</v>
      </c>
    </row>
    <row r="33" spans="1:6" ht="15.75" customHeight="1" thickBot="1" x14ac:dyDescent="0.4">
      <c r="A33" s="227" t="s">
        <v>5144</v>
      </c>
      <c r="B33" s="272" t="str">
        <f t="shared" si="3"/>
        <v/>
      </c>
      <c r="C33" s="213" t="s">
        <v>5491</v>
      </c>
      <c r="D33" s="215"/>
      <c r="E33" s="215"/>
      <c r="F33" s="215"/>
    </row>
    <row r="34" spans="1:6" ht="15.75" customHeight="1" thickBot="1" x14ac:dyDescent="0.4">
      <c r="A34" s="227" t="s">
        <v>5144</v>
      </c>
      <c r="B34" s="272" t="str">
        <f t="shared" si="3"/>
        <v/>
      </c>
      <c r="C34" s="215" t="s">
        <v>5146</v>
      </c>
      <c r="D34" s="215" t="s">
        <v>5492</v>
      </c>
      <c r="E34" s="215"/>
      <c r="F34" s="215"/>
    </row>
    <row r="35" spans="1:6" ht="15.75" customHeight="1" thickBot="1" x14ac:dyDescent="0.4">
      <c r="A35" s="227" t="s">
        <v>5128</v>
      </c>
      <c r="B35" s="272" t="s">
        <v>783</v>
      </c>
      <c r="C35" s="215"/>
      <c r="D35" s="215" t="s">
        <v>5493</v>
      </c>
      <c r="E35" s="215">
        <v>6201010100</v>
      </c>
      <c r="F35" s="223">
        <v>0</v>
      </c>
    </row>
    <row r="36" spans="1:6" ht="15.75" customHeight="1" thickBot="1" x14ac:dyDescent="0.4">
      <c r="A36" s="227" t="s">
        <v>5128</v>
      </c>
      <c r="B36" s="272" t="s">
        <v>783</v>
      </c>
      <c r="C36" s="215"/>
      <c r="D36" s="215" t="s">
        <v>5494</v>
      </c>
      <c r="E36" s="215">
        <v>6201010200</v>
      </c>
      <c r="F36" s="223">
        <v>0</v>
      </c>
    </row>
    <row r="37" spans="1:6" ht="15.75" customHeight="1" thickBot="1" x14ac:dyDescent="0.4">
      <c r="A37" s="227" t="s">
        <v>5128</v>
      </c>
      <c r="B37" s="272" t="s">
        <v>783</v>
      </c>
      <c r="C37" s="215"/>
      <c r="D37" s="355" t="s">
        <v>6113</v>
      </c>
      <c r="E37" s="356">
        <v>6201010300</v>
      </c>
      <c r="F37" s="223">
        <v>0</v>
      </c>
    </row>
    <row r="38" spans="1:6" ht="15.75" customHeight="1" thickBot="1" x14ac:dyDescent="0.4">
      <c r="A38" s="227" t="s">
        <v>5128</v>
      </c>
      <c r="B38" s="272" t="s">
        <v>783</v>
      </c>
      <c r="C38" s="215"/>
      <c r="D38" s="355" t="s">
        <v>6114</v>
      </c>
      <c r="E38" s="356">
        <v>6201010900</v>
      </c>
      <c r="F38" s="223">
        <v>0</v>
      </c>
    </row>
    <row r="39" spans="1:6" ht="15.75" customHeight="1" thickBot="1" x14ac:dyDescent="0.4">
      <c r="A39" s="227" t="s">
        <v>5144</v>
      </c>
      <c r="B39" s="272" t="str">
        <f t="shared" si="3"/>
        <v/>
      </c>
      <c r="C39" s="215" t="s">
        <v>5149</v>
      </c>
      <c r="D39" s="215" t="s">
        <v>5495</v>
      </c>
      <c r="E39" s="215"/>
      <c r="F39" s="215"/>
    </row>
    <row r="40" spans="1:6" ht="15.75" customHeight="1" thickBot="1" x14ac:dyDescent="0.4">
      <c r="A40" s="227" t="s">
        <v>5128</v>
      </c>
      <c r="B40" s="272" t="s">
        <v>783</v>
      </c>
      <c r="C40" s="215"/>
      <c r="D40" s="215" t="s">
        <v>5496</v>
      </c>
      <c r="E40" s="215">
        <v>6201020100</v>
      </c>
      <c r="F40" s="223">
        <v>150000</v>
      </c>
    </row>
    <row r="41" spans="1:6" ht="15.75" customHeight="1" thickBot="1" x14ac:dyDescent="0.4">
      <c r="A41" s="227" t="s">
        <v>5128</v>
      </c>
      <c r="B41" s="272" t="s">
        <v>783</v>
      </c>
      <c r="C41" s="215"/>
      <c r="D41" s="215" t="s">
        <v>5497</v>
      </c>
      <c r="E41" s="215">
        <v>6201020200</v>
      </c>
      <c r="F41" s="223">
        <v>100000</v>
      </c>
    </row>
    <row r="42" spans="1:6" ht="15.75" customHeight="1" thickBot="1" x14ac:dyDescent="0.4">
      <c r="A42" s="227" t="s">
        <v>5128</v>
      </c>
      <c r="B42" s="272" t="s">
        <v>783</v>
      </c>
      <c r="C42" s="215"/>
      <c r="D42" s="215" t="s">
        <v>5498</v>
      </c>
      <c r="E42" s="215">
        <v>6201020300</v>
      </c>
      <c r="F42" s="223">
        <v>300000</v>
      </c>
    </row>
    <row r="43" spans="1:6" ht="15.75" customHeight="1" thickBot="1" x14ac:dyDescent="0.4">
      <c r="A43" s="227" t="s">
        <v>5128</v>
      </c>
      <c r="B43" s="272" t="s">
        <v>783</v>
      </c>
      <c r="C43" s="215"/>
      <c r="D43" s="215" t="s">
        <v>5499</v>
      </c>
      <c r="E43" s="214">
        <v>6201020400</v>
      </c>
      <c r="F43" s="223">
        <v>200000</v>
      </c>
    </row>
    <row r="44" spans="1:6" ht="15.75" customHeight="1" thickBot="1" x14ac:dyDescent="0.4">
      <c r="A44" s="227" t="s">
        <v>5128</v>
      </c>
      <c r="B44" s="272" t="s">
        <v>783</v>
      </c>
      <c r="C44" s="215" t="s">
        <v>5152</v>
      </c>
      <c r="D44" s="215" t="s">
        <v>5500</v>
      </c>
      <c r="E44" s="215">
        <v>6201030000</v>
      </c>
      <c r="F44" s="223">
        <v>1000000</v>
      </c>
    </row>
    <row r="45" spans="1:6" ht="15.75" customHeight="1" thickBot="1" x14ac:dyDescent="0.4">
      <c r="A45" s="227" t="s">
        <v>5128</v>
      </c>
      <c r="B45" s="272" t="s">
        <v>783</v>
      </c>
      <c r="C45" s="215" t="s">
        <v>5164</v>
      </c>
      <c r="D45" s="215" t="s">
        <v>5501</v>
      </c>
      <c r="E45" s="215">
        <v>6201990000</v>
      </c>
      <c r="F45" s="223">
        <v>1000000</v>
      </c>
    </row>
    <row r="46" spans="1:6" ht="15.75" customHeight="1" thickBot="1" x14ac:dyDescent="0.4">
      <c r="A46" s="227" t="s">
        <v>5128</v>
      </c>
      <c r="B46" s="272" t="s">
        <v>783</v>
      </c>
      <c r="C46" s="213" t="s">
        <v>5502</v>
      </c>
      <c r="D46" s="215"/>
      <c r="E46" s="215">
        <v>6202000000</v>
      </c>
      <c r="F46" s="223">
        <v>1000000</v>
      </c>
    </row>
    <row r="47" spans="1:6" ht="15.75" customHeight="1" thickBot="1" x14ac:dyDescent="0.4">
      <c r="A47" s="227" t="s">
        <v>5128</v>
      </c>
      <c r="B47" s="272" t="s">
        <v>783</v>
      </c>
      <c r="C47" s="213" t="s">
        <v>5763</v>
      </c>
      <c r="D47" s="215"/>
      <c r="E47" s="215">
        <v>6900000000</v>
      </c>
      <c r="F47" s="223">
        <v>1000000</v>
      </c>
    </row>
    <row r="48" spans="1:6" ht="15.75" customHeight="1" thickBot="1" x14ac:dyDescent="0.4">
      <c r="A48" s="264" t="s">
        <v>5125</v>
      </c>
      <c r="B48" s="270" t="s">
        <v>5232</v>
      </c>
      <c r="C48" s="419" t="s">
        <v>5484</v>
      </c>
      <c r="D48" s="420"/>
      <c r="E48" s="218" t="s">
        <v>2</v>
      </c>
      <c r="F48" s="218" t="s">
        <v>5265</v>
      </c>
    </row>
    <row r="49" spans="1:6" ht="15.75" customHeight="1" thickBot="1" x14ac:dyDescent="0.4">
      <c r="A49" s="222" t="s">
        <v>5144</v>
      </c>
      <c r="B49" s="274"/>
      <c r="C49" s="202" t="s">
        <v>5485</v>
      </c>
      <c r="D49" s="204"/>
      <c r="E49" s="204"/>
      <c r="F49" s="204"/>
    </row>
    <row r="50" spans="1:6" ht="15.75" customHeight="1" thickBot="1" x14ac:dyDescent="0.4">
      <c r="A50" s="222" t="s">
        <v>5128</v>
      </c>
      <c r="B50" s="272" t="s">
        <v>30</v>
      </c>
      <c r="C50" s="204" t="s">
        <v>5146</v>
      </c>
      <c r="D50" s="204" t="s">
        <v>5486</v>
      </c>
      <c r="E50" s="204">
        <v>6101010000</v>
      </c>
      <c r="F50" s="223">
        <v>2000000</v>
      </c>
    </row>
    <row r="51" spans="1:6" ht="15.75" customHeight="1" thickBot="1" x14ac:dyDescent="0.4">
      <c r="A51" s="222" t="s">
        <v>5128</v>
      </c>
      <c r="B51" s="272" t="s">
        <v>30</v>
      </c>
      <c r="C51" s="204" t="s">
        <v>5149</v>
      </c>
      <c r="D51" s="204" t="s">
        <v>5487</v>
      </c>
      <c r="E51" s="204">
        <v>6101990000</v>
      </c>
      <c r="F51" s="223">
        <v>2000000</v>
      </c>
    </row>
    <row r="52" spans="1:6" ht="15.75" customHeight="1" thickBot="1" x14ac:dyDescent="0.4">
      <c r="A52" s="222" t="s">
        <v>5144</v>
      </c>
      <c r="B52" s="272" t="str">
        <f t="shared" ref="B52:B62" si="4">IF(A52="Y","'002","")</f>
        <v/>
      </c>
      <c r="C52" s="202" t="s">
        <v>5488</v>
      </c>
      <c r="D52" s="204"/>
      <c r="E52" s="204"/>
      <c r="F52" s="204"/>
    </row>
    <row r="53" spans="1:6" ht="15.75" customHeight="1" thickBot="1" x14ac:dyDescent="0.4">
      <c r="A53" s="222" t="s">
        <v>5128</v>
      </c>
      <c r="B53" s="272" t="s">
        <v>30</v>
      </c>
      <c r="C53" s="204" t="s">
        <v>5146</v>
      </c>
      <c r="D53" s="204" t="s">
        <v>5489</v>
      </c>
      <c r="E53" s="204">
        <v>6102010000</v>
      </c>
      <c r="F53" s="223">
        <v>2000000</v>
      </c>
    </row>
    <row r="54" spans="1:6" ht="15.75" customHeight="1" thickBot="1" x14ac:dyDescent="0.4">
      <c r="A54" s="222" t="s">
        <v>5128</v>
      </c>
      <c r="B54" s="272" t="s">
        <v>30</v>
      </c>
      <c r="C54" s="204" t="s">
        <v>5149</v>
      </c>
      <c r="D54" s="228" t="s">
        <v>5762</v>
      </c>
      <c r="E54" s="204">
        <v>6102020000</v>
      </c>
      <c r="F54" s="223">
        <v>2000000</v>
      </c>
    </row>
    <row r="55" spans="1:6" ht="15.75" customHeight="1" thickBot="1" x14ac:dyDescent="0.4">
      <c r="A55" s="222" t="s">
        <v>5128</v>
      </c>
      <c r="B55" s="272" t="s">
        <v>30</v>
      </c>
      <c r="C55" s="204" t="s">
        <v>5152</v>
      </c>
      <c r="D55" s="204" t="s">
        <v>5490</v>
      </c>
      <c r="E55" s="204">
        <v>6102990000</v>
      </c>
      <c r="F55" s="223">
        <v>2000000</v>
      </c>
    </row>
    <row r="56" spans="1:6" ht="15.75" customHeight="1" thickBot="1" x14ac:dyDescent="0.4">
      <c r="A56" s="222" t="s">
        <v>5144</v>
      </c>
      <c r="B56" s="272" t="str">
        <f t="shared" si="4"/>
        <v/>
      </c>
      <c r="C56" s="202" t="s">
        <v>5491</v>
      </c>
      <c r="D56" s="204"/>
      <c r="E56" s="204"/>
      <c r="F56" s="204"/>
    </row>
    <row r="57" spans="1:6" ht="15.75" customHeight="1" thickBot="1" x14ac:dyDescent="0.4">
      <c r="A57" s="222" t="s">
        <v>5144</v>
      </c>
      <c r="B57" s="272" t="str">
        <f t="shared" si="4"/>
        <v/>
      </c>
      <c r="C57" s="204" t="s">
        <v>5146</v>
      </c>
      <c r="D57" s="204" t="s">
        <v>5492</v>
      </c>
      <c r="E57" s="204"/>
      <c r="F57" s="204"/>
    </row>
    <row r="58" spans="1:6" ht="15.75" customHeight="1" thickBot="1" x14ac:dyDescent="0.4">
      <c r="A58" s="222" t="s">
        <v>5128</v>
      </c>
      <c r="B58" s="272" t="s">
        <v>30</v>
      </c>
      <c r="C58" s="204"/>
      <c r="D58" s="204" t="s">
        <v>5493</v>
      </c>
      <c r="E58" s="204">
        <v>6201010100</v>
      </c>
      <c r="F58" s="223">
        <v>600000</v>
      </c>
    </row>
    <row r="59" spans="1:6" ht="15.75" customHeight="1" thickBot="1" x14ac:dyDescent="0.4">
      <c r="A59" s="222" t="s">
        <v>5128</v>
      </c>
      <c r="B59" s="272" t="s">
        <v>30</v>
      </c>
      <c r="C59" s="204"/>
      <c r="D59" s="204" t="s">
        <v>5494</v>
      </c>
      <c r="E59" s="204">
        <v>6201010200</v>
      </c>
      <c r="F59" s="223">
        <v>10000</v>
      </c>
    </row>
    <row r="60" spans="1:6" ht="15.75" customHeight="1" thickBot="1" x14ac:dyDescent="0.4">
      <c r="A60" s="222" t="s">
        <v>5128</v>
      </c>
      <c r="B60" s="272" t="s">
        <v>30</v>
      </c>
      <c r="C60" s="204"/>
      <c r="D60" s="357" t="s">
        <v>6113</v>
      </c>
      <c r="E60" s="358">
        <v>6201010300</v>
      </c>
      <c r="F60" s="223">
        <v>0</v>
      </c>
    </row>
    <row r="61" spans="1:6" ht="15.75" customHeight="1" thickBot="1" x14ac:dyDescent="0.4">
      <c r="A61" s="222" t="s">
        <v>5128</v>
      </c>
      <c r="B61" s="272" t="s">
        <v>30</v>
      </c>
      <c r="C61" s="204"/>
      <c r="D61" s="357" t="s">
        <v>6114</v>
      </c>
      <c r="E61" s="358">
        <v>6201010900</v>
      </c>
      <c r="F61" s="223">
        <v>0</v>
      </c>
    </row>
    <row r="62" spans="1:6" ht="15.75" customHeight="1" thickBot="1" x14ac:dyDescent="0.4">
      <c r="A62" s="222" t="s">
        <v>5144</v>
      </c>
      <c r="B62" s="272" t="str">
        <f t="shared" si="4"/>
        <v/>
      </c>
      <c r="C62" s="204" t="s">
        <v>5149</v>
      </c>
      <c r="D62" s="204" t="s">
        <v>5495</v>
      </c>
      <c r="E62" s="204"/>
      <c r="F62" s="204"/>
    </row>
    <row r="63" spans="1:6" ht="15.75" customHeight="1" thickBot="1" x14ac:dyDescent="0.4">
      <c r="A63" s="222" t="s">
        <v>5128</v>
      </c>
      <c r="B63" s="272" t="s">
        <v>30</v>
      </c>
      <c r="C63" s="204"/>
      <c r="D63" s="204" t="s">
        <v>5496</v>
      </c>
      <c r="E63" s="204">
        <v>6201020100</v>
      </c>
      <c r="F63" s="223">
        <v>100000</v>
      </c>
    </row>
    <row r="64" spans="1:6" ht="15.75" customHeight="1" thickBot="1" x14ac:dyDescent="0.4">
      <c r="A64" s="222" t="s">
        <v>5128</v>
      </c>
      <c r="B64" s="272" t="s">
        <v>30</v>
      </c>
      <c r="C64" s="204"/>
      <c r="D64" s="204" t="s">
        <v>5497</v>
      </c>
      <c r="E64" s="204">
        <v>6201020200</v>
      </c>
      <c r="F64" s="223">
        <v>150000</v>
      </c>
    </row>
    <row r="65" spans="1:6" ht="15.75" customHeight="1" thickBot="1" x14ac:dyDescent="0.4">
      <c r="A65" s="222" t="s">
        <v>5128</v>
      </c>
      <c r="B65" s="272" t="s">
        <v>30</v>
      </c>
      <c r="C65" s="204"/>
      <c r="D65" s="204" t="s">
        <v>5498</v>
      </c>
      <c r="E65" s="204">
        <v>6201020300</v>
      </c>
      <c r="F65" s="223">
        <v>200000</v>
      </c>
    </row>
    <row r="66" spans="1:6" ht="15.75" customHeight="1" thickBot="1" x14ac:dyDescent="0.4">
      <c r="A66" s="222" t="s">
        <v>5128</v>
      </c>
      <c r="B66" s="272" t="s">
        <v>30</v>
      </c>
      <c r="C66" s="204"/>
      <c r="D66" s="204" t="s">
        <v>5499</v>
      </c>
      <c r="E66" s="203">
        <v>6201020400</v>
      </c>
      <c r="F66" s="223">
        <v>300000</v>
      </c>
    </row>
    <row r="67" spans="1:6" ht="15.75" customHeight="1" thickBot="1" x14ac:dyDescent="0.4">
      <c r="A67" s="222" t="s">
        <v>5128</v>
      </c>
      <c r="B67" s="272" t="s">
        <v>30</v>
      </c>
      <c r="C67" s="204" t="s">
        <v>5152</v>
      </c>
      <c r="D67" s="204" t="s">
        <v>5500</v>
      </c>
      <c r="E67" s="204">
        <v>6201030000</v>
      </c>
      <c r="F67" s="223">
        <v>2000000</v>
      </c>
    </row>
    <row r="68" spans="1:6" ht="15.75" customHeight="1" thickBot="1" x14ac:dyDescent="0.4">
      <c r="A68" s="222" t="s">
        <v>5128</v>
      </c>
      <c r="B68" s="272" t="s">
        <v>30</v>
      </c>
      <c r="C68" s="204" t="s">
        <v>5164</v>
      </c>
      <c r="D68" s="204" t="s">
        <v>5501</v>
      </c>
      <c r="E68" s="204">
        <v>6201990000</v>
      </c>
      <c r="F68" s="223">
        <v>2000000</v>
      </c>
    </row>
    <row r="69" spans="1:6" ht="15.75" customHeight="1" thickBot="1" x14ac:dyDescent="0.4">
      <c r="A69" s="222" t="s">
        <v>5128</v>
      </c>
      <c r="B69" s="272" t="s">
        <v>30</v>
      </c>
      <c r="C69" s="202" t="s">
        <v>5502</v>
      </c>
      <c r="D69" s="204"/>
      <c r="E69" s="204">
        <v>6202000000</v>
      </c>
      <c r="F69" s="223">
        <v>2000000</v>
      </c>
    </row>
    <row r="70" spans="1:6" ht="15.75" customHeight="1" thickBot="1" x14ac:dyDescent="0.4">
      <c r="A70" s="222" t="s">
        <v>5128</v>
      </c>
      <c r="B70" s="272" t="s">
        <v>30</v>
      </c>
      <c r="C70" s="202" t="s">
        <v>5763</v>
      </c>
      <c r="D70" s="204"/>
      <c r="E70" s="204">
        <v>6900000000</v>
      </c>
      <c r="F70" s="223">
        <v>2000000</v>
      </c>
    </row>
  </sheetData>
  <mergeCells count="3">
    <mergeCell ref="C2:D2"/>
    <mergeCell ref="C25:D25"/>
    <mergeCell ref="C48:D48"/>
  </mergeCells>
  <hyperlinks>
    <hyperlink ref="E1" location="Header!A1" display="Back to Header" xr:uid="{00000000-0004-0000-1900-000000000000}"/>
  </hyperlinks>
  <pageMargins left="0.7" right="0.7" top="0.75" bottom="0.75" header="0" footer="0"/>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orm_0200">
    <tabColor rgb="FF99FF33"/>
  </sheetPr>
  <dimension ref="A1:H367"/>
  <sheetViews>
    <sheetView showGridLines="0" topLeftCell="A75" zoomScale="99" zoomScaleNormal="99" workbookViewId="0">
      <selection activeCell="F86" sqref="F86"/>
    </sheetView>
  </sheetViews>
  <sheetFormatPr defaultColWidth="14.453125" defaultRowHeight="15" customHeight="1" x14ac:dyDescent="0.35"/>
  <cols>
    <col min="1" max="1" width="7.453125" customWidth="1"/>
    <col min="2" max="2" width="6.90625" customWidth="1"/>
    <col min="3" max="3" width="4.36328125" customWidth="1"/>
    <col min="4" max="4" width="5.453125" customWidth="1"/>
    <col min="5" max="5" width="52.453125" customWidth="1"/>
    <col min="6" max="6" width="16.90625" customWidth="1"/>
    <col min="7" max="7" width="13.453125" customWidth="1"/>
    <col min="8" max="8" width="15.54296875" customWidth="1"/>
    <col min="9" max="10" width="8.54296875" customWidth="1"/>
    <col min="11" max="11" width="18.453125" customWidth="1"/>
    <col min="12" max="23" width="8.54296875" customWidth="1"/>
  </cols>
  <sheetData>
    <row r="1" spans="1:7" thickBot="1" x14ac:dyDescent="0.4">
      <c r="A1" s="103" t="str">
        <f>CONCATENATE("FORM ",Header!A35," - ",Header!B35)</f>
        <v>FORM 0200 - LA{PORAN LABA RUGI DAN PENGHASILAN KOMPREHENSIF LAINNYA</v>
      </c>
      <c r="B1" s="134"/>
      <c r="G1" s="105" t="s">
        <v>5124</v>
      </c>
    </row>
    <row r="2" spans="1:7" ht="29.5" thickBot="1" x14ac:dyDescent="0.4">
      <c r="A2" s="232" t="s">
        <v>5125</v>
      </c>
      <c r="B2" s="219" t="s">
        <v>5232</v>
      </c>
      <c r="C2" s="419" t="s">
        <v>5764</v>
      </c>
      <c r="D2" s="421"/>
      <c r="E2" s="420"/>
      <c r="F2" s="219" t="s">
        <v>2</v>
      </c>
      <c r="G2" s="219" t="s">
        <v>5265</v>
      </c>
    </row>
    <row r="3" spans="1:7" thickBot="1" x14ac:dyDescent="0.4">
      <c r="A3" s="222" t="s">
        <v>5128</v>
      </c>
      <c r="B3" s="274" t="s">
        <v>1006</v>
      </c>
      <c r="C3" s="208" t="s">
        <v>5765</v>
      </c>
      <c r="D3" s="233"/>
      <c r="E3" s="204"/>
      <c r="F3" s="209">
        <v>4100000000</v>
      </c>
      <c r="G3" s="225">
        <f>G6+G8+G9+G10+G11+G13+G14+G16+G17-G19-G21-G22-G23+G25+G26+G27+G28+G29+G35+G30+G31+G32+G33+G34</f>
        <v>76150000</v>
      </c>
    </row>
    <row r="4" spans="1:7" thickBot="1" x14ac:dyDescent="0.4">
      <c r="A4" s="222" t="s">
        <v>5144</v>
      </c>
      <c r="B4" s="274" t="s">
        <v>5503</v>
      </c>
      <c r="C4" s="204">
        <v>1</v>
      </c>
      <c r="D4" s="202" t="s">
        <v>5766</v>
      </c>
      <c r="E4" s="204"/>
      <c r="F4" s="204"/>
      <c r="G4" s="204"/>
    </row>
    <row r="5" spans="1:7" thickBot="1" x14ac:dyDescent="0.4">
      <c r="A5" s="222" t="s">
        <v>5144</v>
      </c>
      <c r="B5" s="274" t="s">
        <v>5503</v>
      </c>
      <c r="C5" s="204"/>
      <c r="D5" s="204" t="s">
        <v>5458</v>
      </c>
      <c r="E5" s="204" t="s">
        <v>5767</v>
      </c>
      <c r="F5" s="204"/>
      <c r="G5" s="204"/>
    </row>
    <row r="6" spans="1:7" thickBot="1" x14ac:dyDescent="0.4">
      <c r="A6" s="222" t="s">
        <v>5128</v>
      </c>
      <c r="B6" s="274" t="s">
        <v>1006</v>
      </c>
      <c r="C6" s="204"/>
      <c r="D6" s="204"/>
      <c r="E6" s="204" t="s">
        <v>5768</v>
      </c>
      <c r="F6" s="204">
        <v>4101010100</v>
      </c>
      <c r="G6" s="223">
        <v>2000000</v>
      </c>
    </row>
    <row r="7" spans="1:7" thickBot="1" x14ac:dyDescent="0.4">
      <c r="A7" s="222" t="s">
        <v>5144</v>
      </c>
      <c r="B7" s="274" t="s">
        <v>5503</v>
      </c>
      <c r="C7" s="204"/>
      <c r="D7" s="204"/>
      <c r="E7" s="204" t="s">
        <v>5769</v>
      </c>
      <c r="F7" s="204"/>
      <c r="G7" s="204"/>
    </row>
    <row r="8" spans="1:7" thickBot="1" x14ac:dyDescent="0.4">
      <c r="A8" s="222" t="s">
        <v>5128</v>
      </c>
      <c r="B8" s="274" t="s">
        <v>1006</v>
      </c>
      <c r="C8" s="204"/>
      <c r="D8" s="204"/>
      <c r="E8" s="204" t="s">
        <v>2287</v>
      </c>
      <c r="F8" s="396">
        <v>4101010201</v>
      </c>
      <c r="G8" s="223">
        <v>2000000</v>
      </c>
    </row>
    <row r="9" spans="1:7" thickBot="1" x14ac:dyDescent="0.4">
      <c r="A9" s="222" t="s">
        <v>5128</v>
      </c>
      <c r="B9" s="274" t="s">
        <v>1006</v>
      </c>
      <c r="C9" s="204"/>
      <c r="D9" s="204"/>
      <c r="E9" s="204" t="s">
        <v>2635</v>
      </c>
      <c r="F9" s="396">
        <v>4101010202</v>
      </c>
      <c r="G9" s="223">
        <v>20000000</v>
      </c>
    </row>
    <row r="10" spans="1:7" thickBot="1" x14ac:dyDescent="0.4">
      <c r="A10" s="222" t="s">
        <v>5128</v>
      </c>
      <c r="B10" s="274" t="s">
        <v>1006</v>
      </c>
      <c r="C10" s="204"/>
      <c r="D10" s="204"/>
      <c r="E10" s="204" t="s">
        <v>2638</v>
      </c>
      <c r="F10" s="396">
        <v>4101010203</v>
      </c>
      <c r="G10" s="223">
        <v>20000000</v>
      </c>
    </row>
    <row r="11" spans="1:7" thickBot="1" x14ac:dyDescent="0.4">
      <c r="A11" s="222" t="s">
        <v>5128</v>
      </c>
      <c r="B11" s="274" t="s">
        <v>1006</v>
      </c>
      <c r="C11" s="204"/>
      <c r="D11" s="204"/>
      <c r="E11" s="204" t="s">
        <v>2302</v>
      </c>
      <c r="F11" s="204">
        <v>4101010204</v>
      </c>
      <c r="G11" s="223">
        <v>20000000</v>
      </c>
    </row>
    <row r="12" spans="1:7" thickBot="1" x14ac:dyDescent="0.4">
      <c r="A12" s="222" t="s">
        <v>5144</v>
      </c>
      <c r="B12" s="274" t="s">
        <v>5503</v>
      </c>
      <c r="C12" s="204"/>
      <c r="D12" s="204"/>
      <c r="E12" s="204" t="s">
        <v>5770</v>
      </c>
      <c r="F12" s="204"/>
      <c r="G12" s="204"/>
    </row>
    <row r="13" spans="1:7" thickBot="1" x14ac:dyDescent="0.4">
      <c r="A13" s="222" t="s">
        <v>5128</v>
      </c>
      <c r="B13" s="274" t="s">
        <v>1006</v>
      </c>
      <c r="C13" s="204"/>
      <c r="D13" s="204"/>
      <c r="E13" s="204" t="s">
        <v>5771</v>
      </c>
      <c r="F13" s="204">
        <v>4101010301</v>
      </c>
      <c r="G13" s="223">
        <v>2000000</v>
      </c>
    </row>
    <row r="14" spans="1:7" thickBot="1" x14ac:dyDescent="0.4">
      <c r="A14" s="222" t="s">
        <v>5128</v>
      </c>
      <c r="B14" s="274" t="s">
        <v>1006</v>
      </c>
      <c r="C14" s="204"/>
      <c r="D14" s="204"/>
      <c r="E14" s="204" t="s">
        <v>5772</v>
      </c>
      <c r="F14" s="396">
        <v>4101010302</v>
      </c>
      <c r="G14" s="223">
        <v>2000000</v>
      </c>
    </row>
    <row r="15" spans="1:7" thickBot="1" x14ac:dyDescent="0.4">
      <c r="A15" s="222" t="s">
        <v>5144</v>
      </c>
      <c r="B15" s="274" t="s">
        <v>5503</v>
      </c>
      <c r="C15" s="204"/>
      <c r="D15" s="204" t="s">
        <v>5460</v>
      </c>
      <c r="E15" s="204" t="s">
        <v>5773</v>
      </c>
      <c r="F15" s="204"/>
      <c r="G15" s="204"/>
    </row>
    <row r="16" spans="1:7" thickBot="1" x14ac:dyDescent="0.4">
      <c r="A16" s="222" t="s">
        <v>5128</v>
      </c>
      <c r="B16" s="274" t="s">
        <v>1006</v>
      </c>
      <c r="C16" s="204"/>
      <c r="D16" s="204"/>
      <c r="E16" s="204" t="s">
        <v>5774</v>
      </c>
      <c r="F16" s="204">
        <v>4101020100</v>
      </c>
      <c r="G16" s="223">
        <v>2000000</v>
      </c>
    </row>
    <row r="17" spans="1:7" thickBot="1" x14ac:dyDescent="0.4">
      <c r="A17" s="222" t="s">
        <v>5128</v>
      </c>
      <c r="B17" s="274" t="s">
        <v>1006</v>
      </c>
      <c r="C17" s="204"/>
      <c r="D17" s="204"/>
      <c r="E17" s="204" t="s">
        <v>5775</v>
      </c>
      <c r="F17" s="396">
        <v>4101020200</v>
      </c>
      <c r="G17" s="223">
        <v>2000000</v>
      </c>
    </row>
    <row r="18" spans="1:7" thickBot="1" x14ac:dyDescent="0.4">
      <c r="A18" s="222" t="s">
        <v>5144</v>
      </c>
      <c r="B18" s="274" t="s">
        <v>5503</v>
      </c>
      <c r="C18" s="204"/>
      <c r="D18" s="204" t="s">
        <v>5776</v>
      </c>
      <c r="E18" s="204" t="s">
        <v>5777</v>
      </c>
      <c r="F18" s="204"/>
      <c r="G18" s="204"/>
    </row>
    <row r="19" spans="1:7" thickBot="1" x14ac:dyDescent="0.4">
      <c r="A19" s="222" t="s">
        <v>5128</v>
      </c>
      <c r="B19" s="274" t="s">
        <v>1006</v>
      </c>
      <c r="C19" s="204"/>
      <c r="D19" s="204"/>
      <c r="E19" s="204" t="s">
        <v>5768</v>
      </c>
      <c r="F19" s="204">
        <v>4101030100</v>
      </c>
      <c r="G19" s="223">
        <v>2000000</v>
      </c>
    </row>
    <row r="20" spans="1:7" thickBot="1" x14ac:dyDescent="0.4">
      <c r="A20" s="222" t="s">
        <v>5144</v>
      </c>
      <c r="B20" s="274" t="s">
        <v>5503</v>
      </c>
      <c r="C20" s="204"/>
      <c r="D20" s="204"/>
      <c r="E20" s="204" t="s">
        <v>5778</v>
      </c>
      <c r="F20" s="204"/>
      <c r="G20" s="204"/>
    </row>
    <row r="21" spans="1:7" ht="15.75" customHeight="1" thickBot="1" x14ac:dyDescent="0.4">
      <c r="A21" s="222" t="s">
        <v>5128</v>
      </c>
      <c r="B21" s="274" t="s">
        <v>1006</v>
      </c>
      <c r="C21" s="204"/>
      <c r="D21" s="204"/>
      <c r="E21" s="204" t="s">
        <v>5771</v>
      </c>
      <c r="F21" s="204">
        <v>4101030201</v>
      </c>
      <c r="G21" s="223">
        <v>2000000</v>
      </c>
    </row>
    <row r="22" spans="1:7" ht="15.75" customHeight="1" thickBot="1" x14ac:dyDescent="0.4">
      <c r="A22" s="222" t="s">
        <v>5128</v>
      </c>
      <c r="B22" s="274" t="s">
        <v>1006</v>
      </c>
      <c r="C22" s="204"/>
      <c r="D22" s="204"/>
      <c r="E22" s="204" t="s">
        <v>5772</v>
      </c>
      <c r="F22" s="396">
        <v>4101030202</v>
      </c>
      <c r="G22" s="223">
        <v>2000000</v>
      </c>
    </row>
    <row r="23" spans="1:7" ht="15.75" customHeight="1" thickBot="1" x14ac:dyDescent="0.4">
      <c r="A23" s="222" t="s">
        <v>5128</v>
      </c>
      <c r="B23" s="274" t="s">
        <v>1006</v>
      </c>
      <c r="C23" s="204"/>
      <c r="D23" s="204" t="s">
        <v>5164</v>
      </c>
      <c r="E23" s="204" t="s">
        <v>5779</v>
      </c>
      <c r="F23" s="204">
        <v>4101040000</v>
      </c>
      <c r="G23" s="223">
        <v>2000000</v>
      </c>
    </row>
    <row r="24" spans="1:7" ht="15.75" customHeight="1" thickBot="1" x14ac:dyDescent="0.4">
      <c r="A24" s="222" t="s">
        <v>5144</v>
      </c>
      <c r="B24" s="274" t="s">
        <v>5503</v>
      </c>
      <c r="C24" s="204">
        <v>2</v>
      </c>
      <c r="D24" s="202" t="s">
        <v>5780</v>
      </c>
      <c r="E24" s="204"/>
      <c r="F24" s="204"/>
      <c r="G24" s="204"/>
    </row>
    <row r="25" spans="1:7" ht="15.75" customHeight="1" thickBot="1" x14ac:dyDescent="0.4">
      <c r="A25" s="222" t="s">
        <v>5128</v>
      </c>
      <c r="B25" s="274" t="s">
        <v>1006</v>
      </c>
      <c r="C25" s="204"/>
      <c r="D25" s="204" t="s">
        <v>5458</v>
      </c>
      <c r="E25" s="204" t="s">
        <v>5781</v>
      </c>
      <c r="F25" s="204">
        <v>4102010000</v>
      </c>
      <c r="G25" s="223">
        <v>2000000</v>
      </c>
    </row>
    <row r="26" spans="1:7" ht="15.75" customHeight="1" thickBot="1" x14ac:dyDescent="0.4">
      <c r="A26" s="222" t="s">
        <v>5128</v>
      </c>
      <c r="B26" s="274" t="s">
        <v>1006</v>
      </c>
      <c r="C26" s="204"/>
      <c r="D26" s="204" t="s">
        <v>5460</v>
      </c>
      <c r="E26" s="204" t="s">
        <v>5782</v>
      </c>
      <c r="F26" s="204">
        <v>4102020000</v>
      </c>
      <c r="G26" s="223">
        <v>2000000</v>
      </c>
    </row>
    <row r="27" spans="1:7" ht="15.75" customHeight="1" thickBot="1" x14ac:dyDescent="0.4">
      <c r="A27" s="222" t="s">
        <v>5128</v>
      </c>
      <c r="B27" s="274" t="s">
        <v>1006</v>
      </c>
      <c r="C27" s="204"/>
      <c r="D27" s="204" t="s">
        <v>5776</v>
      </c>
      <c r="E27" s="204" t="s">
        <v>5783</v>
      </c>
      <c r="F27" s="204">
        <v>4102030000</v>
      </c>
      <c r="G27" s="223">
        <v>2000000</v>
      </c>
    </row>
    <row r="28" spans="1:7" ht="15.75" customHeight="1" thickBot="1" x14ac:dyDescent="0.4">
      <c r="A28" s="222" t="s">
        <v>5128</v>
      </c>
      <c r="B28" s="274" t="s">
        <v>1006</v>
      </c>
      <c r="C28" s="204"/>
      <c r="D28" s="204" t="s">
        <v>5784</v>
      </c>
      <c r="E28" s="204" t="s">
        <v>5785</v>
      </c>
      <c r="F28" s="396">
        <v>4102040000</v>
      </c>
      <c r="G28" s="223">
        <v>2000000</v>
      </c>
    </row>
    <row r="29" spans="1:7" ht="15.75" customHeight="1" thickBot="1" x14ac:dyDescent="0.4">
      <c r="A29" s="222" t="s">
        <v>5128</v>
      </c>
      <c r="B29" s="274" t="s">
        <v>1006</v>
      </c>
      <c r="C29" s="204"/>
      <c r="D29" s="204" t="s">
        <v>5786</v>
      </c>
      <c r="E29" s="228" t="s">
        <v>5922</v>
      </c>
      <c r="F29" s="396">
        <v>4102050000</v>
      </c>
      <c r="G29" s="223">
        <v>2000000</v>
      </c>
    </row>
    <row r="30" spans="1:7" ht="15.75" customHeight="1" thickBot="1" x14ac:dyDescent="0.4">
      <c r="A30" s="224" t="s">
        <v>5128</v>
      </c>
      <c r="B30" s="274" t="s">
        <v>1006</v>
      </c>
      <c r="C30" s="207"/>
      <c r="D30" s="207" t="s">
        <v>5787</v>
      </c>
      <c r="E30" s="207" t="s">
        <v>5398</v>
      </c>
      <c r="F30" s="207">
        <v>4102060000</v>
      </c>
      <c r="G30" s="207">
        <v>10000</v>
      </c>
    </row>
    <row r="31" spans="1:7" ht="15.75" customHeight="1" thickBot="1" x14ac:dyDescent="0.4">
      <c r="A31" s="224" t="s">
        <v>5128</v>
      </c>
      <c r="B31" s="274" t="s">
        <v>1006</v>
      </c>
      <c r="C31" s="207"/>
      <c r="D31" s="207" t="s">
        <v>5788</v>
      </c>
      <c r="E31" s="207" t="s">
        <v>5789</v>
      </c>
      <c r="F31" s="207">
        <v>4102070000</v>
      </c>
      <c r="G31" s="207">
        <v>20000</v>
      </c>
    </row>
    <row r="32" spans="1:7" ht="15.75" customHeight="1" thickBot="1" x14ac:dyDescent="0.4">
      <c r="A32" s="224" t="s">
        <v>5128</v>
      </c>
      <c r="B32" s="274" t="s">
        <v>1006</v>
      </c>
      <c r="C32" s="207"/>
      <c r="D32" s="207" t="s">
        <v>5790</v>
      </c>
      <c r="E32" s="207" t="s">
        <v>5791</v>
      </c>
      <c r="F32" s="207">
        <v>4201020000</v>
      </c>
      <c r="G32" s="207">
        <v>30000</v>
      </c>
    </row>
    <row r="33" spans="1:7" ht="15.75" customHeight="1" thickBot="1" x14ac:dyDescent="0.4">
      <c r="A33" s="224" t="s">
        <v>5128</v>
      </c>
      <c r="B33" s="274" t="s">
        <v>1006</v>
      </c>
      <c r="C33" s="207"/>
      <c r="D33" s="207" t="s">
        <v>5792</v>
      </c>
      <c r="E33" s="207" t="s">
        <v>5793</v>
      </c>
      <c r="F33" s="207">
        <v>4203000000</v>
      </c>
      <c r="G33" s="207">
        <v>40000</v>
      </c>
    </row>
    <row r="34" spans="1:7" ht="15.75" customHeight="1" thickBot="1" x14ac:dyDescent="0.4">
      <c r="A34" s="224" t="s">
        <v>5128</v>
      </c>
      <c r="B34" s="274" t="s">
        <v>1006</v>
      </c>
      <c r="C34" s="207"/>
      <c r="D34" s="207" t="s">
        <v>5794</v>
      </c>
      <c r="E34" s="207" t="s">
        <v>5795</v>
      </c>
      <c r="F34" s="207">
        <v>4202020000</v>
      </c>
      <c r="G34" s="207">
        <v>50000</v>
      </c>
    </row>
    <row r="35" spans="1:7" ht="15.75" customHeight="1" thickBot="1" x14ac:dyDescent="0.4">
      <c r="A35" s="222" t="s">
        <v>5128</v>
      </c>
      <c r="B35" s="274" t="s">
        <v>1006</v>
      </c>
      <c r="C35" s="204"/>
      <c r="D35" s="336" t="s">
        <v>5832</v>
      </c>
      <c r="E35" s="204" t="s">
        <v>331</v>
      </c>
      <c r="F35" s="396">
        <v>4102990000</v>
      </c>
      <c r="G35" s="223">
        <v>2000000</v>
      </c>
    </row>
    <row r="36" spans="1:7" ht="15.75" customHeight="1" thickBot="1" x14ac:dyDescent="0.4">
      <c r="A36" s="222" t="s">
        <v>5128</v>
      </c>
      <c r="B36" s="274" t="s">
        <v>1006</v>
      </c>
      <c r="C36" s="208" t="s">
        <v>5796</v>
      </c>
      <c r="D36" s="233"/>
      <c r="E36" s="204"/>
      <c r="F36" s="209">
        <v>5100000000</v>
      </c>
      <c r="G36" s="225">
        <f>G39+G40+G41+G43+G44+G45+G46+G47+G49+G50+G51+G53+G54+G56+G57+G60+G61+G64+G65+G66+G67+G69+G70+G71+G72+G73+G74+G75+G80+G82+G83+G87+G58+G59+G76+G77+G78+G79+G84+G85+G86</f>
        <v>62000000</v>
      </c>
    </row>
    <row r="37" spans="1:7" ht="15.75" customHeight="1" thickBot="1" x14ac:dyDescent="0.4">
      <c r="A37" s="222" t="s">
        <v>5144</v>
      </c>
      <c r="B37" s="274" t="s">
        <v>5503</v>
      </c>
      <c r="C37" s="204">
        <v>1</v>
      </c>
      <c r="D37" s="202" t="s">
        <v>5797</v>
      </c>
      <c r="E37" s="204"/>
      <c r="F37" s="204"/>
      <c r="G37" s="204"/>
    </row>
    <row r="38" spans="1:7" ht="15.75" customHeight="1" thickBot="1" x14ac:dyDescent="0.4">
      <c r="A38" s="222" t="s">
        <v>5144</v>
      </c>
      <c r="B38" s="274" t="s">
        <v>5503</v>
      </c>
      <c r="C38" s="204"/>
      <c r="D38" s="204" t="s">
        <v>5458</v>
      </c>
      <c r="E38" s="204" t="s">
        <v>5798</v>
      </c>
      <c r="F38" s="204"/>
      <c r="G38" s="204"/>
    </row>
    <row r="39" spans="1:7" ht="15.75" customHeight="1" thickBot="1" x14ac:dyDescent="0.4">
      <c r="A39" s="222" t="s">
        <v>5128</v>
      </c>
      <c r="B39" s="274" t="s">
        <v>1006</v>
      </c>
      <c r="C39" s="204"/>
      <c r="D39" s="204"/>
      <c r="E39" s="204" t="s">
        <v>5799</v>
      </c>
      <c r="F39" s="396">
        <v>5101010100</v>
      </c>
      <c r="G39" s="223">
        <v>2000000</v>
      </c>
    </row>
    <row r="40" spans="1:7" ht="15.75" customHeight="1" thickBot="1" x14ac:dyDescent="0.4">
      <c r="A40" s="222" t="s">
        <v>5128</v>
      </c>
      <c r="B40" s="274" t="s">
        <v>1006</v>
      </c>
      <c r="C40" s="204"/>
      <c r="D40" s="204"/>
      <c r="E40" s="204" t="s">
        <v>5800</v>
      </c>
      <c r="F40" s="396">
        <v>5101010200</v>
      </c>
      <c r="G40" s="223">
        <v>2000000</v>
      </c>
    </row>
    <row r="41" spans="1:7" ht="15.75" customHeight="1" thickBot="1" x14ac:dyDescent="0.4">
      <c r="A41" s="222" t="s">
        <v>5128</v>
      </c>
      <c r="B41" s="274" t="s">
        <v>1006</v>
      </c>
      <c r="C41" s="204"/>
      <c r="D41" s="204"/>
      <c r="E41" s="228" t="s">
        <v>5801</v>
      </c>
      <c r="F41" s="396">
        <v>5101010300</v>
      </c>
      <c r="G41" s="223">
        <v>2000000</v>
      </c>
    </row>
    <row r="42" spans="1:7" ht="15.75" customHeight="1" thickBot="1" x14ac:dyDescent="0.4">
      <c r="A42" s="222" t="s">
        <v>5144</v>
      </c>
      <c r="B42" s="274" t="s">
        <v>5503</v>
      </c>
      <c r="C42" s="204"/>
      <c r="D42" s="204"/>
      <c r="E42" s="204" t="s">
        <v>5802</v>
      </c>
      <c r="F42" s="204"/>
      <c r="G42" s="204"/>
    </row>
    <row r="43" spans="1:7" ht="15.75" customHeight="1" thickBot="1" x14ac:dyDescent="0.4">
      <c r="A43" s="222" t="s">
        <v>5128</v>
      </c>
      <c r="B43" s="274" t="s">
        <v>1006</v>
      </c>
      <c r="C43" s="204"/>
      <c r="D43" s="204"/>
      <c r="E43" s="204" t="s">
        <v>5803</v>
      </c>
      <c r="F43" s="204">
        <v>5101010401</v>
      </c>
      <c r="G43" s="223">
        <v>2000000</v>
      </c>
    </row>
    <row r="44" spans="1:7" ht="15.75" customHeight="1" thickBot="1" x14ac:dyDescent="0.4">
      <c r="A44" s="222" t="s">
        <v>5128</v>
      </c>
      <c r="B44" s="274" t="s">
        <v>1006</v>
      </c>
      <c r="C44" s="204"/>
      <c r="D44" s="204"/>
      <c r="E44" s="204" t="s">
        <v>5804</v>
      </c>
      <c r="F44" s="396">
        <v>5101010402</v>
      </c>
      <c r="G44" s="223">
        <v>2000000</v>
      </c>
    </row>
    <row r="45" spans="1:7" ht="15.75" customHeight="1" thickBot="1" x14ac:dyDescent="0.4">
      <c r="A45" s="222" t="s">
        <v>5128</v>
      </c>
      <c r="B45" s="274" t="s">
        <v>1006</v>
      </c>
      <c r="C45" s="204"/>
      <c r="D45" s="204"/>
      <c r="E45" s="204" t="s">
        <v>5805</v>
      </c>
      <c r="F45" s="204">
        <v>5101010403</v>
      </c>
      <c r="G45" s="223">
        <v>2000000</v>
      </c>
    </row>
    <row r="46" spans="1:7" ht="15.75" customHeight="1" thickBot="1" x14ac:dyDescent="0.4">
      <c r="A46" s="222" t="s">
        <v>5128</v>
      </c>
      <c r="B46" s="274" t="s">
        <v>1006</v>
      </c>
      <c r="C46" s="204"/>
      <c r="D46" s="204"/>
      <c r="E46" s="204" t="s">
        <v>5806</v>
      </c>
      <c r="F46" s="204">
        <v>5101010404</v>
      </c>
      <c r="G46" s="223">
        <v>2000000</v>
      </c>
    </row>
    <row r="47" spans="1:7" ht="15.75" customHeight="1" thickBot="1" x14ac:dyDescent="0.4">
      <c r="A47" s="222" t="s">
        <v>5128</v>
      </c>
      <c r="B47" s="274" t="s">
        <v>1006</v>
      </c>
      <c r="C47" s="204"/>
      <c r="D47" s="204"/>
      <c r="E47" s="204" t="s">
        <v>5807</v>
      </c>
      <c r="F47" s="396">
        <v>5101019900</v>
      </c>
      <c r="G47" s="223">
        <v>2000000</v>
      </c>
    </row>
    <row r="48" spans="1:7" ht="15.75" customHeight="1" thickBot="1" x14ac:dyDescent="0.4">
      <c r="A48" s="222" t="s">
        <v>5144</v>
      </c>
      <c r="B48" s="274" t="s">
        <v>5503</v>
      </c>
      <c r="C48" s="204"/>
      <c r="D48" s="204" t="s">
        <v>5460</v>
      </c>
      <c r="E48" s="204" t="s">
        <v>5808</v>
      </c>
      <c r="F48" s="204"/>
      <c r="G48" s="204"/>
    </row>
    <row r="49" spans="1:7" ht="15.75" customHeight="1" thickBot="1" x14ac:dyDescent="0.4">
      <c r="A49" s="222" t="s">
        <v>5128</v>
      </c>
      <c r="B49" s="274" t="s">
        <v>1006</v>
      </c>
      <c r="C49" s="204"/>
      <c r="D49" s="204"/>
      <c r="E49" s="204" t="s">
        <v>5774</v>
      </c>
      <c r="F49" s="396">
        <v>5101020100</v>
      </c>
      <c r="G49" s="223">
        <v>2000000</v>
      </c>
    </row>
    <row r="50" spans="1:7" ht="15.75" customHeight="1" thickBot="1" x14ac:dyDescent="0.4">
      <c r="A50" s="222" t="s">
        <v>5128</v>
      </c>
      <c r="B50" s="274" t="s">
        <v>1006</v>
      </c>
      <c r="C50" s="204"/>
      <c r="D50" s="204"/>
      <c r="E50" s="204" t="s">
        <v>5775</v>
      </c>
      <c r="F50" s="204">
        <v>5101020200</v>
      </c>
      <c r="G50" s="223">
        <v>2000000</v>
      </c>
    </row>
    <row r="51" spans="1:7" ht="15.75" customHeight="1" thickBot="1" x14ac:dyDescent="0.4">
      <c r="A51" s="222" t="s">
        <v>5128</v>
      </c>
      <c r="B51" s="274" t="s">
        <v>1006</v>
      </c>
      <c r="C51" s="204">
        <v>2</v>
      </c>
      <c r="D51" s="202" t="s">
        <v>5809</v>
      </c>
      <c r="E51" s="204"/>
      <c r="F51" s="204">
        <v>5102000000</v>
      </c>
      <c r="G51" s="223">
        <v>2000000</v>
      </c>
    </row>
    <row r="52" spans="1:7" ht="15.75" customHeight="1" thickBot="1" x14ac:dyDescent="0.4">
      <c r="A52" s="222" t="s">
        <v>5144</v>
      </c>
      <c r="B52" s="274" t="s">
        <v>5503</v>
      </c>
      <c r="C52" s="204">
        <v>3</v>
      </c>
      <c r="D52" s="234" t="s">
        <v>6087</v>
      </c>
      <c r="E52" s="233"/>
      <c r="F52" s="204"/>
      <c r="G52" s="204"/>
    </row>
    <row r="53" spans="1:7" ht="15.75" customHeight="1" thickBot="1" x14ac:dyDescent="0.4">
      <c r="A53" s="222" t="s">
        <v>5128</v>
      </c>
      <c r="B53" s="274" t="s">
        <v>1006</v>
      </c>
      <c r="C53" s="204"/>
      <c r="D53" s="202" t="s">
        <v>5810</v>
      </c>
      <c r="E53" s="204"/>
      <c r="F53" s="204">
        <v>5103010000</v>
      </c>
      <c r="G53" s="223">
        <v>2000000</v>
      </c>
    </row>
    <row r="54" spans="1:7" ht="15.75" customHeight="1" thickBot="1" x14ac:dyDescent="0.4">
      <c r="A54" s="222" t="s">
        <v>5128</v>
      </c>
      <c r="B54" s="274" t="s">
        <v>1006</v>
      </c>
      <c r="C54" s="204"/>
      <c r="D54" s="204" t="s">
        <v>5149</v>
      </c>
      <c r="E54" s="204" t="s">
        <v>2284</v>
      </c>
      <c r="F54" s="204">
        <v>5103020000</v>
      </c>
      <c r="G54" s="223">
        <v>2000000</v>
      </c>
    </row>
    <row r="55" spans="1:7" ht="15.75" customHeight="1" thickBot="1" x14ac:dyDescent="0.4">
      <c r="A55" s="222" t="s">
        <v>5144</v>
      </c>
      <c r="B55" s="274" t="s">
        <v>5503</v>
      </c>
      <c r="C55" s="204"/>
      <c r="D55" s="202" t="s">
        <v>5811</v>
      </c>
      <c r="E55" s="204"/>
      <c r="F55" s="204"/>
      <c r="G55" s="204"/>
    </row>
    <row r="56" spans="1:7" ht="15.75" customHeight="1" thickBot="1" x14ac:dyDescent="0.4">
      <c r="A56" s="222" t="s">
        <v>5128</v>
      </c>
      <c r="B56" s="274" t="s">
        <v>1006</v>
      </c>
      <c r="C56" s="204"/>
      <c r="D56" s="204"/>
      <c r="E56" s="204" t="s">
        <v>5774</v>
      </c>
      <c r="F56" s="204">
        <v>5103030100</v>
      </c>
      <c r="G56" s="223">
        <v>2000000</v>
      </c>
    </row>
    <row r="57" spans="1:7" ht="15.75" customHeight="1" thickBot="1" x14ac:dyDescent="0.4">
      <c r="A57" s="222" t="s">
        <v>5128</v>
      </c>
      <c r="B57" s="274" t="s">
        <v>1006</v>
      </c>
      <c r="C57" s="204"/>
      <c r="D57" s="204"/>
      <c r="E57" s="204" t="s">
        <v>5775</v>
      </c>
      <c r="F57" s="396">
        <v>5103030200</v>
      </c>
      <c r="G57" s="223">
        <v>2000000</v>
      </c>
    </row>
    <row r="58" spans="1:7" ht="15.75" customHeight="1" thickBot="1" x14ac:dyDescent="0.4">
      <c r="A58" s="224" t="s">
        <v>5128</v>
      </c>
      <c r="B58" s="274" t="s">
        <v>1006</v>
      </c>
      <c r="C58" s="207"/>
      <c r="D58" s="207" t="s">
        <v>5784</v>
      </c>
      <c r="E58" s="207" t="s">
        <v>5445</v>
      </c>
      <c r="F58" s="207">
        <v>5103040000</v>
      </c>
      <c r="G58" s="207">
        <v>0</v>
      </c>
    </row>
    <row r="59" spans="1:7" ht="15.75" customHeight="1" thickBot="1" x14ac:dyDescent="0.4">
      <c r="A59" s="224" t="s">
        <v>5128</v>
      </c>
      <c r="B59" s="274" t="s">
        <v>1006</v>
      </c>
      <c r="C59" s="207"/>
      <c r="D59" s="207" t="s">
        <v>5786</v>
      </c>
      <c r="E59" s="207" t="s">
        <v>5452</v>
      </c>
      <c r="F59" s="207">
        <v>5103050000</v>
      </c>
      <c r="G59" s="207">
        <v>0</v>
      </c>
    </row>
    <row r="60" spans="1:7" ht="15.75" customHeight="1" thickBot="1" x14ac:dyDescent="0.4">
      <c r="A60" s="222" t="s">
        <v>5128</v>
      </c>
      <c r="B60" s="274" t="s">
        <v>1006</v>
      </c>
      <c r="C60" s="204">
        <v>4</v>
      </c>
      <c r="D60" s="202" t="s">
        <v>5812</v>
      </c>
      <c r="E60" s="204"/>
      <c r="F60" s="396">
        <v>5104000000</v>
      </c>
      <c r="G60" s="223">
        <v>2000000</v>
      </c>
    </row>
    <row r="61" spans="1:7" ht="15.75" customHeight="1" thickBot="1" x14ac:dyDescent="0.4">
      <c r="A61" s="222" t="s">
        <v>5128</v>
      </c>
      <c r="B61" s="274" t="s">
        <v>1006</v>
      </c>
      <c r="C61" s="204">
        <v>5</v>
      </c>
      <c r="D61" s="202" t="s">
        <v>5813</v>
      </c>
      <c r="E61" s="204"/>
      <c r="F61" s="204">
        <v>5105000000</v>
      </c>
      <c r="G61" s="223">
        <v>2000000</v>
      </c>
    </row>
    <row r="62" spans="1:7" ht="15.75" customHeight="1" thickBot="1" x14ac:dyDescent="0.4">
      <c r="A62" s="222" t="s">
        <v>5144</v>
      </c>
      <c r="B62" s="274" t="s">
        <v>5503</v>
      </c>
      <c r="C62" s="204">
        <v>6</v>
      </c>
      <c r="D62" s="202" t="s">
        <v>5814</v>
      </c>
      <c r="E62" s="204"/>
      <c r="F62" s="204"/>
      <c r="G62" s="204"/>
    </row>
    <row r="63" spans="1:7" ht="15.75" customHeight="1" thickBot="1" x14ac:dyDescent="0.4">
      <c r="A63" s="222" t="s">
        <v>5144</v>
      </c>
      <c r="B63" s="274" t="s">
        <v>5503</v>
      </c>
      <c r="C63" s="204"/>
      <c r="D63" s="204" t="s">
        <v>5458</v>
      </c>
      <c r="E63" s="204" t="s">
        <v>5815</v>
      </c>
      <c r="F63" s="204"/>
      <c r="G63" s="204"/>
    </row>
    <row r="64" spans="1:7" ht="15.75" customHeight="1" thickBot="1" x14ac:dyDescent="0.4">
      <c r="A64" s="222" t="s">
        <v>5128</v>
      </c>
      <c r="B64" s="274" t="s">
        <v>1006</v>
      </c>
      <c r="C64" s="204"/>
      <c r="D64" s="204"/>
      <c r="E64" s="204" t="s">
        <v>5816</v>
      </c>
      <c r="F64" s="396">
        <v>5106010100</v>
      </c>
      <c r="G64" s="223">
        <v>2000000</v>
      </c>
    </row>
    <row r="65" spans="1:7" ht="15.75" customHeight="1" thickBot="1" x14ac:dyDescent="0.4">
      <c r="A65" s="222" t="s">
        <v>5128</v>
      </c>
      <c r="B65" s="274" t="s">
        <v>1006</v>
      </c>
      <c r="C65" s="204"/>
      <c r="D65" s="204"/>
      <c r="E65" s="204" t="s">
        <v>5817</v>
      </c>
      <c r="F65" s="396">
        <v>5106010200</v>
      </c>
      <c r="G65" s="223">
        <v>2000000</v>
      </c>
    </row>
    <row r="66" spans="1:7" ht="15.75" customHeight="1" thickBot="1" x14ac:dyDescent="0.4">
      <c r="A66" s="222" t="s">
        <v>5128</v>
      </c>
      <c r="B66" s="274" t="s">
        <v>1006</v>
      </c>
      <c r="C66" s="204"/>
      <c r="D66" s="204"/>
      <c r="E66" s="204" t="s">
        <v>5818</v>
      </c>
      <c r="F66" s="204">
        <v>5106019900</v>
      </c>
      <c r="G66" s="223">
        <v>2000000</v>
      </c>
    </row>
    <row r="67" spans="1:7" ht="15.75" customHeight="1" thickBot="1" x14ac:dyDescent="0.4">
      <c r="A67" s="222" t="s">
        <v>5128</v>
      </c>
      <c r="B67" s="274" t="s">
        <v>1006</v>
      </c>
      <c r="C67" s="204"/>
      <c r="D67" s="204" t="s">
        <v>5460</v>
      </c>
      <c r="E67" s="204" t="s">
        <v>5819</v>
      </c>
      <c r="F67" s="396">
        <v>5106020000</v>
      </c>
      <c r="G67" s="223">
        <v>2000000</v>
      </c>
    </row>
    <row r="68" spans="1:7" ht="15.75" customHeight="1" thickBot="1" x14ac:dyDescent="0.4">
      <c r="A68" s="222" t="s">
        <v>5144</v>
      </c>
      <c r="B68" s="274" t="s">
        <v>5503</v>
      </c>
      <c r="C68" s="204"/>
      <c r="D68" s="204" t="s">
        <v>5776</v>
      </c>
      <c r="E68" s="204" t="s">
        <v>5820</v>
      </c>
      <c r="F68" s="204"/>
      <c r="G68" s="204"/>
    </row>
    <row r="69" spans="1:7" ht="15.75" customHeight="1" thickBot="1" x14ac:dyDescent="0.4">
      <c r="A69" s="222" t="s">
        <v>5128</v>
      </c>
      <c r="B69" s="274" t="s">
        <v>1006</v>
      </c>
      <c r="C69" s="204"/>
      <c r="D69" s="204"/>
      <c r="E69" s="204" t="s">
        <v>5821</v>
      </c>
      <c r="F69" s="204">
        <v>5106030100</v>
      </c>
      <c r="G69" s="223">
        <v>2000000</v>
      </c>
    </row>
    <row r="70" spans="1:7" ht="15.75" customHeight="1" thickBot="1" x14ac:dyDescent="0.4">
      <c r="A70" s="222" t="s">
        <v>5128</v>
      </c>
      <c r="B70" s="274" t="s">
        <v>1006</v>
      </c>
      <c r="C70" s="204"/>
      <c r="D70" s="204"/>
      <c r="E70" s="204" t="s">
        <v>5822</v>
      </c>
      <c r="F70" s="204">
        <v>5106039900</v>
      </c>
      <c r="G70" s="223">
        <v>2000000</v>
      </c>
    </row>
    <row r="71" spans="1:7" ht="15.75" customHeight="1" thickBot="1" x14ac:dyDescent="0.4">
      <c r="A71" s="222" t="s">
        <v>5128</v>
      </c>
      <c r="B71" s="274" t="s">
        <v>1006</v>
      </c>
      <c r="C71" s="229"/>
      <c r="D71" s="229" t="s">
        <v>5784</v>
      </c>
      <c r="E71" s="229" t="s">
        <v>5823</v>
      </c>
      <c r="F71" s="229">
        <v>5106040000</v>
      </c>
      <c r="G71" s="223">
        <v>2000000</v>
      </c>
    </row>
    <row r="72" spans="1:7" ht="15.75" customHeight="1" thickBot="1" x14ac:dyDescent="0.4">
      <c r="A72" s="222" t="s">
        <v>5128</v>
      </c>
      <c r="B72" s="274" t="s">
        <v>1006</v>
      </c>
      <c r="C72" s="204"/>
      <c r="D72" s="204" t="s">
        <v>5786</v>
      </c>
      <c r="E72" s="204" t="s">
        <v>5824</v>
      </c>
      <c r="F72" s="204">
        <v>5106050000</v>
      </c>
      <c r="G72" s="223">
        <v>2000000</v>
      </c>
    </row>
    <row r="73" spans="1:7" ht="15.75" customHeight="1" thickBot="1" x14ac:dyDescent="0.4">
      <c r="A73" s="222" t="s">
        <v>5128</v>
      </c>
      <c r="B73" s="274" t="s">
        <v>1006</v>
      </c>
      <c r="C73" s="204"/>
      <c r="D73" s="204" t="s">
        <v>5787</v>
      </c>
      <c r="E73" s="204" t="s">
        <v>5825</v>
      </c>
      <c r="F73" s="204">
        <v>5106060000</v>
      </c>
      <c r="G73" s="223">
        <v>2000000</v>
      </c>
    </row>
    <row r="74" spans="1:7" ht="15.75" customHeight="1" thickBot="1" x14ac:dyDescent="0.4">
      <c r="A74" s="222" t="s">
        <v>5128</v>
      </c>
      <c r="B74" s="274" t="s">
        <v>1006</v>
      </c>
      <c r="C74" s="204"/>
      <c r="D74" s="204" t="s">
        <v>5788</v>
      </c>
      <c r="E74" s="204" t="s">
        <v>5826</v>
      </c>
      <c r="F74" s="204">
        <v>5106070000</v>
      </c>
      <c r="G74" s="223">
        <v>2000000</v>
      </c>
    </row>
    <row r="75" spans="1:7" ht="15.75" customHeight="1" thickBot="1" x14ac:dyDescent="0.4">
      <c r="A75" s="222" t="s">
        <v>5128</v>
      </c>
      <c r="B75" s="274" t="s">
        <v>1006</v>
      </c>
      <c r="C75" s="204"/>
      <c r="D75" s="204" t="s">
        <v>5790</v>
      </c>
      <c r="E75" s="204" t="s">
        <v>5827</v>
      </c>
      <c r="F75" s="204">
        <v>5106080000</v>
      </c>
      <c r="G75" s="223">
        <v>0</v>
      </c>
    </row>
    <row r="76" spans="1:7" ht="15.75" customHeight="1" thickBot="1" x14ac:dyDescent="0.4">
      <c r="A76" s="224" t="s">
        <v>5128</v>
      </c>
      <c r="B76" s="274" t="s">
        <v>1006</v>
      </c>
      <c r="C76" s="207"/>
      <c r="D76" s="207" t="s">
        <v>5792</v>
      </c>
      <c r="E76" s="207" t="s">
        <v>5828</v>
      </c>
      <c r="F76" s="207">
        <v>5106100000</v>
      </c>
      <c r="G76" s="207">
        <v>0</v>
      </c>
    </row>
    <row r="77" spans="1:7" ht="15.75" customHeight="1" thickBot="1" x14ac:dyDescent="0.4">
      <c r="A77" s="296" t="s">
        <v>5144</v>
      </c>
      <c r="B77" s="274" t="s">
        <v>1006</v>
      </c>
      <c r="C77" s="207"/>
      <c r="D77" s="207" t="s">
        <v>5794</v>
      </c>
      <c r="E77" s="207" t="s">
        <v>5829</v>
      </c>
      <c r="F77" s="207"/>
      <c r="G77" s="207"/>
    </row>
    <row r="78" spans="1:7" ht="15.75" customHeight="1" thickBot="1" x14ac:dyDescent="0.4">
      <c r="A78" s="224" t="s">
        <v>5128</v>
      </c>
      <c r="B78" s="274" t="s">
        <v>1006</v>
      </c>
      <c r="C78" s="207"/>
      <c r="D78" s="207"/>
      <c r="E78" s="207" t="s">
        <v>5830</v>
      </c>
      <c r="F78" s="207">
        <v>5106110100</v>
      </c>
      <c r="G78" s="207">
        <v>0</v>
      </c>
    </row>
    <row r="79" spans="1:7" ht="15.75" customHeight="1" thickBot="1" x14ac:dyDescent="0.4">
      <c r="A79" s="224" t="s">
        <v>5128</v>
      </c>
      <c r="B79" s="274" t="s">
        <v>1006</v>
      </c>
      <c r="C79" s="207"/>
      <c r="D79" s="207"/>
      <c r="E79" s="207" t="s">
        <v>5831</v>
      </c>
      <c r="F79" s="207">
        <v>5106110200</v>
      </c>
      <c r="G79" s="207">
        <v>0</v>
      </c>
    </row>
    <row r="80" spans="1:7" ht="15.75" customHeight="1" thickBot="1" x14ac:dyDescent="0.4">
      <c r="A80" s="222" t="s">
        <v>5128</v>
      </c>
      <c r="B80" s="274" t="s">
        <v>1006</v>
      </c>
      <c r="C80" s="204"/>
      <c r="D80" s="204" t="s">
        <v>5832</v>
      </c>
      <c r="E80" s="204" t="s">
        <v>5833</v>
      </c>
      <c r="F80" s="204">
        <v>5106090000</v>
      </c>
      <c r="G80" s="223">
        <v>2000000</v>
      </c>
    </row>
    <row r="81" spans="1:7" ht="15.75" customHeight="1" thickBot="1" x14ac:dyDescent="0.4">
      <c r="A81" s="222" t="s">
        <v>5144</v>
      </c>
      <c r="B81" s="274" t="s">
        <v>5503</v>
      </c>
      <c r="C81" s="204">
        <v>7</v>
      </c>
      <c r="D81" s="202" t="s">
        <v>5834</v>
      </c>
      <c r="E81" s="204"/>
      <c r="F81" s="204"/>
      <c r="G81" s="204"/>
    </row>
    <row r="82" spans="1:7" ht="15.75" customHeight="1" thickBot="1" x14ac:dyDescent="0.4">
      <c r="A82" s="222" t="s">
        <v>5128</v>
      </c>
      <c r="B82" s="274" t="s">
        <v>1006</v>
      </c>
      <c r="C82" s="204"/>
      <c r="D82" s="204" t="s">
        <v>5458</v>
      </c>
      <c r="E82" s="204" t="s">
        <v>5835</v>
      </c>
      <c r="F82" s="204">
        <v>5199010000</v>
      </c>
      <c r="G82" s="223">
        <v>2000000</v>
      </c>
    </row>
    <row r="83" spans="1:7" ht="15.75" customHeight="1" thickBot="1" x14ac:dyDescent="0.4">
      <c r="A83" s="222" t="s">
        <v>5128</v>
      </c>
      <c r="B83" s="274" t="s">
        <v>1006</v>
      </c>
      <c r="C83" s="204"/>
      <c r="D83" s="204" t="s">
        <v>5460</v>
      </c>
      <c r="E83" s="204" t="s">
        <v>5836</v>
      </c>
      <c r="F83" s="204">
        <v>5199020000</v>
      </c>
      <c r="G83" s="223">
        <v>2000000</v>
      </c>
    </row>
    <row r="84" spans="1:7" ht="15.75" customHeight="1" thickBot="1" x14ac:dyDescent="0.4">
      <c r="A84" s="224" t="s">
        <v>5128</v>
      </c>
      <c r="B84" s="274" t="s">
        <v>1006</v>
      </c>
      <c r="C84" s="207"/>
      <c r="D84" s="207" t="s">
        <v>5776</v>
      </c>
      <c r="E84" s="207" t="s">
        <v>5837</v>
      </c>
      <c r="F84" s="207">
        <v>5199030000</v>
      </c>
      <c r="G84" s="207">
        <v>0</v>
      </c>
    </row>
    <row r="85" spans="1:7" ht="15.75" customHeight="1" thickBot="1" x14ac:dyDescent="0.4">
      <c r="A85" s="224" t="s">
        <v>5128</v>
      </c>
      <c r="B85" s="274" t="s">
        <v>1006</v>
      </c>
      <c r="C85" s="207"/>
      <c r="D85" s="207" t="s">
        <v>5784</v>
      </c>
      <c r="E85" s="207" t="s">
        <v>5838</v>
      </c>
      <c r="F85" s="207">
        <v>5201020000</v>
      </c>
      <c r="G85" s="207">
        <v>0</v>
      </c>
    </row>
    <row r="86" spans="1:7" ht="15.75" customHeight="1" thickBot="1" x14ac:dyDescent="0.4">
      <c r="A86" s="224" t="s">
        <v>5128</v>
      </c>
      <c r="B86" s="274" t="s">
        <v>1006</v>
      </c>
      <c r="C86" s="207"/>
      <c r="D86" s="207" t="s">
        <v>5786</v>
      </c>
      <c r="E86" s="207" t="s">
        <v>5839</v>
      </c>
      <c r="F86" s="396">
        <v>5202020000</v>
      </c>
      <c r="G86" s="207">
        <v>0</v>
      </c>
    </row>
    <row r="87" spans="1:7" ht="15.75" customHeight="1" thickBot="1" x14ac:dyDescent="0.4">
      <c r="A87" s="222" t="s">
        <v>5128</v>
      </c>
      <c r="B87" s="274" t="s">
        <v>1006</v>
      </c>
      <c r="C87" s="204"/>
      <c r="D87" s="204" t="s">
        <v>5787</v>
      </c>
      <c r="E87" s="204" t="s">
        <v>331</v>
      </c>
      <c r="F87" s="204">
        <v>5199990000</v>
      </c>
      <c r="G87" s="223">
        <v>2000000</v>
      </c>
    </row>
    <row r="88" spans="1:7" ht="15.75" customHeight="1" thickBot="1" x14ac:dyDescent="0.4">
      <c r="A88" s="222" t="s">
        <v>5128</v>
      </c>
      <c r="B88" s="274" t="s">
        <v>1006</v>
      </c>
      <c r="C88" s="208" t="s">
        <v>5840</v>
      </c>
      <c r="D88" s="233"/>
      <c r="E88" s="204"/>
      <c r="F88" s="209">
        <v>3104040100</v>
      </c>
      <c r="G88" s="225">
        <f>G3-G36</f>
        <v>14150000</v>
      </c>
    </row>
    <row r="89" spans="1:7" ht="15.75" customHeight="1" thickBot="1" x14ac:dyDescent="0.4">
      <c r="A89" s="222" t="s">
        <v>5128</v>
      </c>
      <c r="B89" s="274" t="s">
        <v>1006</v>
      </c>
      <c r="C89" s="208" t="s">
        <v>5841</v>
      </c>
      <c r="D89" s="233"/>
      <c r="E89" s="204"/>
      <c r="F89" s="209">
        <v>4200000000</v>
      </c>
      <c r="G89" s="225">
        <f>G91+G93+G94+G95+G96+G97</f>
        <v>30000000</v>
      </c>
    </row>
    <row r="90" spans="1:7" ht="15.75" customHeight="1" thickBot="1" x14ac:dyDescent="0.4">
      <c r="A90" s="222" t="s">
        <v>5144</v>
      </c>
      <c r="B90" s="274" t="s">
        <v>5503</v>
      </c>
      <c r="C90" s="204">
        <v>1</v>
      </c>
      <c r="D90" s="202" t="s">
        <v>5842</v>
      </c>
      <c r="E90" s="204"/>
      <c r="F90" s="204"/>
      <c r="G90" s="204"/>
    </row>
    <row r="91" spans="1:7" ht="15.75" customHeight="1" thickBot="1" x14ac:dyDescent="0.4">
      <c r="A91" s="222" t="s">
        <v>5128</v>
      </c>
      <c r="B91" s="274" t="s">
        <v>1006</v>
      </c>
      <c r="C91" s="204"/>
      <c r="D91" s="204" t="s">
        <v>5458</v>
      </c>
      <c r="E91" s="204" t="s">
        <v>5447</v>
      </c>
      <c r="F91" s="204">
        <v>4201010000</v>
      </c>
      <c r="G91" s="223">
        <v>20000000</v>
      </c>
    </row>
    <row r="92" spans="1:7" ht="15.75" customHeight="1" thickBot="1" x14ac:dyDescent="0.4">
      <c r="A92" s="222" t="s">
        <v>5144</v>
      </c>
      <c r="B92" s="274" t="s">
        <v>5503</v>
      </c>
      <c r="C92" s="204">
        <v>2</v>
      </c>
      <c r="D92" s="202" t="s">
        <v>5843</v>
      </c>
      <c r="E92" s="204"/>
      <c r="F92" s="204"/>
      <c r="G92" s="204"/>
    </row>
    <row r="93" spans="1:7" ht="15.75" customHeight="1" thickBot="1" x14ac:dyDescent="0.4">
      <c r="A93" s="222" t="s">
        <v>5128</v>
      </c>
      <c r="B93" s="274" t="s">
        <v>1006</v>
      </c>
      <c r="C93" s="204"/>
      <c r="D93" s="204" t="s">
        <v>5458</v>
      </c>
      <c r="E93" s="204" t="s">
        <v>5447</v>
      </c>
      <c r="F93" s="204">
        <v>4202010000</v>
      </c>
      <c r="G93" s="223">
        <v>2000000</v>
      </c>
    </row>
    <row r="94" spans="1:7" ht="15.75" customHeight="1" thickBot="1" x14ac:dyDescent="0.4">
      <c r="A94" s="224" t="s">
        <v>5128</v>
      </c>
      <c r="B94" s="274" t="s">
        <v>1006</v>
      </c>
      <c r="C94" s="207"/>
      <c r="D94" s="207" t="s">
        <v>5460</v>
      </c>
      <c r="E94" s="207" t="s">
        <v>331</v>
      </c>
      <c r="F94" s="207">
        <v>4202030000</v>
      </c>
      <c r="G94" s="207">
        <v>2000000</v>
      </c>
    </row>
    <row r="95" spans="1:7" ht="15.75" customHeight="1" thickBot="1" x14ac:dyDescent="0.4">
      <c r="A95" s="222" t="s">
        <v>5128</v>
      </c>
      <c r="B95" s="274" t="s">
        <v>1006</v>
      </c>
      <c r="C95" s="204">
        <v>3</v>
      </c>
      <c r="D95" s="202" t="s">
        <v>5844</v>
      </c>
      <c r="E95" s="204"/>
      <c r="F95" s="396">
        <v>4204000000</v>
      </c>
      <c r="G95" s="223">
        <v>2000000</v>
      </c>
    </row>
    <row r="96" spans="1:7" ht="15.75" customHeight="1" thickBot="1" x14ac:dyDescent="0.4">
      <c r="A96" s="222" t="s">
        <v>5128</v>
      </c>
      <c r="B96" s="274" t="s">
        <v>1006</v>
      </c>
      <c r="C96" s="204">
        <v>4</v>
      </c>
      <c r="D96" s="202" t="s">
        <v>5845</v>
      </c>
      <c r="E96" s="204"/>
      <c r="F96" s="204">
        <v>4205000000</v>
      </c>
      <c r="G96" s="223">
        <v>2000000</v>
      </c>
    </row>
    <row r="97" spans="1:7" ht="15.75" customHeight="1" thickBot="1" x14ac:dyDescent="0.4">
      <c r="A97" s="222" t="s">
        <v>5128</v>
      </c>
      <c r="B97" s="274" t="s">
        <v>1006</v>
      </c>
      <c r="C97" s="204">
        <v>5</v>
      </c>
      <c r="D97" s="202" t="s">
        <v>331</v>
      </c>
      <c r="E97" s="204"/>
      <c r="F97" s="204">
        <v>4299000000</v>
      </c>
      <c r="G97" s="223">
        <v>2000000</v>
      </c>
    </row>
    <row r="98" spans="1:7" ht="15.75" customHeight="1" thickBot="1" x14ac:dyDescent="0.4">
      <c r="A98" s="222" t="s">
        <v>5128</v>
      </c>
      <c r="B98" s="274" t="s">
        <v>1006</v>
      </c>
      <c r="C98" s="208" t="s">
        <v>5846</v>
      </c>
      <c r="D98" s="233"/>
      <c r="E98" s="204"/>
      <c r="F98" s="209">
        <v>5200000000</v>
      </c>
      <c r="G98" s="225">
        <f>G100+G102+G104+G105+G106+G103</f>
        <v>10000000</v>
      </c>
    </row>
    <row r="99" spans="1:7" ht="15.75" customHeight="1" thickBot="1" x14ac:dyDescent="0.4">
      <c r="A99" s="222" t="s">
        <v>5144</v>
      </c>
      <c r="B99" s="274" t="s">
        <v>5503</v>
      </c>
      <c r="C99" s="204">
        <v>1</v>
      </c>
      <c r="D99" s="202" t="s">
        <v>5847</v>
      </c>
      <c r="E99" s="204"/>
      <c r="F99" s="204"/>
      <c r="G99" s="204"/>
    </row>
    <row r="100" spans="1:7" ht="15.75" customHeight="1" thickBot="1" x14ac:dyDescent="0.4">
      <c r="A100" s="222" t="s">
        <v>5128</v>
      </c>
      <c r="B100" s="274" t="s">
        <v>1006</v>
      </c>
      <c r="C100" s="204"/>
      <c r="D100" s="204" t="s">
        <v>5458</v>
      </c>
      <c r="E100" s="204" t="s">
        <v>5447</v>
      </c>
      <c r="F100" s="204">
        <v>5201010000</v>
      </c>
      <c r="G100" s="223">
        <v>2000000</v>
      </c>
    </row>
    <row r="101" spans="1:7" ht="15.75" customHeight="1" thickBot="1" x14ac:dyDescent="0.4">
      <c r="A101" s="222" t="s">
        <v>5144</v>
      </c>
      <c r="B101" s="274" t="s">
        <v>5503</v>
      </c>
      <c r="C101" s="204">
        <v>2</v>
      </c>
      <c r="D101" s="202" t="s">
        <v>5848</v>
      </c>
      <c r="E101" s="204"/>
      <c r="F101" s="204"/>
      <c r="G101" s="204"/>
    </row>
    <row r="102" spans="1:7" ht="15.75" customHeight="1" thickBot="1" x14ac:dyDescent="0.4">
      <c r="A102" s="222" t="s">
        <v>5128</v>
      </c>
      <c r="B102" s="274" t="s">
        <v>1006</v>
      </c>
      <c r="C102" s="204"/>
      <c r="D102" s="204" t="s">
        <v>5458</v>
      </c>
      <c r="E102" s="204" t="s">
        <v>5447</v>
      </c>
      <c r="F102" s="204">
        <v>5202010000</v>
      </c>
      <c r="G102" s="223">
        <v>2000000</v>
      </c>
    </row>
    <row r="103" spans="1:7" ht="15.75" customHeight="1" thickBot="1" x14ac:dyDescent="0.4">
      <c r="A103" s="224" t="s">
        <v>5128</v>
      </c>
      <c r="B103" s="274" t="s">
        <v>1006</v>
      </c>
      <c r="C103" s="207"/>
      <c r="D103" s="207" t="s">
        <v>5460</v>
      </c>
      <c r="E103" s="207" t="s">
        <v>331</v>
      </c>
      <c r="F103" s="207">
        <v>5202030000</v>
      </c>
      <c r="G103" s="207">
        <v>2000000</v>
      </c>
    </row>
    <row r="104" spans="1:7" ht="15.75" customHeight="1" thickBot="1" x14ac:dyDescent="0.4">
      <c r="A104" s="222" t="s">
        <v>5128</v>
      </c>
      <c r="B104" s="274" t="s">
        <v>1006</v>
      </c>
      <c r="C104" s="204">
        <v>3</v>
      </c>
      <c r="D104" s="202" t="s">
        <v>5844</v>
      </c>
      <c r="E104" s="204"/>
      <c r="F104" s="204">
        <v>5203000000</v>
      </c>
      <c r="G104" s="223">
        <v>0</v>
      </c>
    </row>
    <row r="105" spans="1:7" ht="15.75" customHeight="1" thickBot="1" x14ac:dyDescent="0.4">
      <c r="A105" s="222" t="s">
        <v>5128</v>
      </c>
      <c r="B105" s="274" t="s">
        <v>1006</v>
      </c>
      <c r="C105" s="204">
        <v>4</v>
      </c>
      <c r="D105" s="202" t="s">
        <v>5849</v>
      </c>
      <c r="E105" s="204"/>
      <c r="F105" s="204">
        <v>5204000000</v>
      </c>
      <c r="G105" s="223">
        <v>2000000</v>
      </c>
    </row>
    <row r="106" spans="1:7" ht="15.75" customHeight="1" thickBot="1" x14ac:dyDescent="0.4">
      <c r="A106" s="222" t="s">
        <v>5128</v>
      </c>
      <c r="B106" s="274" t="s">
        <v>1006</v>
      </c>
      <c r="C106" s="204">
        <v>5</v>
      </c>
      <c r="D106" s="202" t="s">
        <v>331</v>
      </c>
      <c r="E106" s="204"/>
      <c r="F106" s="204">
        <v>5299000000</v>
      </c>
      <c r="G106" s="223">
        <v>2000000</v>
      </c>
    </row>
    <row r="107" spans="1:7" ht="15.75" customHeight="1" thickBot="1" x14ac:dyDescent="0.4">
      <c r="A107" s="222" t="s">
        <v>5128</v>
      </c>
      <c r="B107" s="274" t="s">
        <v>1006</v>
      </c>
      <c r="C107" s="208" t="s">
        <v>5850</v>
      </c>
      <c r="D107" s="233"/>
      <c r="E107" s="204"/>
      <c r="F107" s="209">
        <v>3104040200</v>
      </c>
      <c r="G107" s="225">
        <f>G89-G98</f>
        <v>20000000</v>
      </c>
    </row>
    <row r="108" spans="1:7" ht="15.75" customHeight="1" thickBot="1" x14ac:dyDescent="0.4">
      <c r="A108" s="222" t="s">
        <v>5128</v>
      </c>
      <c r="B108" s="274" t="s">
        <v>1006</v>
      </c>
      <c r="C108" s="208" t="s">
        <v>5851</v>
      </c>
      <c r="D108" s="233"/>
      <c r="E108" s="204"/>
      <c r="F108" s="209">
        <v>3104040300</v>
      </c>
      <c r="G108" s="225">
        <f>G88+G107</f>
        <v>34150000</v>
      </c>
    </row>
    <row r="109" spans="1:7" ht="15.75" customHeight="1" thickBot="1" x14ac:dyDescent="0.4">
      <c r="A109" s="222" t="s">
        <v>5128</v>
      </c>
      <c r="B109" s="274" t="s">
        <v>1006</v>
      </c>
      <c r="C109" s="202" t="s">
        <v>5852</v>
      </c>
      <c r="D109" s="233"/>
      <c r="E109" s="204"/>
      <c r="F109" s="204">
        <v>5300000000</v>
      </c>
      <c r="G109" s="223">
        <v>2000000</v>
      </c>
    </row>
    <row r="110" spans="1:7" ht="15.75" customHeight="1" thickBot="1" x14ac:dyDescent="0.4">
      <c r="A110" s="222" t="s">
        <v>5128</v>
      </c>
      <c r="B110" s="274" t="s">
        <v>1006</v>
      </c>
      <c r="C110" s="202" t="s">
        <v>5853</v>
      </c>
      <c r="D110" s="233"/>
      <c r="E110" s="204"/>
      <c r="F110" s="204">
        <v>4400000000</v>
      </c>
      <c r="G110" s="223">
        <v>2000000</v>
      </c>
    </row>
    <row r="111" spans="1:7" ht="15.75" customHeight="1" thickBot="1" x14ac:dyDescent="0.4">
      <c r="A111" s="222" t="s">
        <v>5128</v>
      </c>
      <c r="B111" s="274" t="s">
        <v>1006</v>
      </c>
      <c r="C111" s="202" t="s">
        <v>5854</v>
      </c>
      <c r="D111" s="233"/>
      <c r="E111" s="204"/>
      <c r="F111" s="204">
        <v>5400000000</v>
      </c>
      <c r="G111" s="223">
        <v>2000000</v>
      </c>
    </row>
    <row r="112" spans="1:7" ht="15.75" customHeight="1" thickBot="1" x14ac:dyDescent="0.4">
      <c r="A112" s="222" t="s">
        <v>5128</v>
      </c>
      <c r="B112" s="274" t="s">
        <v>1006</v>
      </c>
      <c r="C112" s="208" t="s">
        <v>5855</v>
      </c>
      <c r="D112" s="233"/>
      <c r="E112" s="204"/>
      <c r="F112" s="209">
        <v>3104040400</v>
      </c>
      <c r="G112" s="225">
        <f>G108-G109+G110-G111</f>
        <v>32150000</v>
      </c>
    </row>
    <row r="113" spans="1:7" ht="15.75" customHeight="1" thickBot="1" x14ac:dyDescent="0.4">
      <c r="A113" s="222" t="s">
        <v>5144</v>
      </c>
      <c r="B113" s="274" t="s">
        <v>5503</v>
      </c>
      <c r="C113" s="202" t="s">
        <v>5856</v>
      </c>
      <c r="D113" s="233"/>
      <c r="E113" s="204"/>
      <c r="F113" s="204"/>
      <c r="G113" s="204"/>
    </row>
    <row r="114" spans="1:7" ht="15.75" customHeight="1" thickBot="1" x14ac:dyDescent="0.4">
      <c r="A114" s="222" t="s">
        <v>5144</v>
      </c>
      <c r="B114" s="274" t="s">
        <v>5503</v>
      </c>
      <c r="C114" s="204">
        <v>1</v>
      </c>
      <c r="D114" s="202" t="s">
        <v>5857</v>
      </c>
      <c r="E114" s="204"/>
      <c r="F114" s="204"/>
      <c r="G114" s="204"/>
    </row>
    <row r="115" spans="1:7" ht="15.75" customHeight="1" thickBot="1" x14ac:dyDescent="0.4">
      <c r="A115" s="222" t="s">
        <v>5128</v>
      </c>
      <c r="B115" s="274" t="s">
        <v>1006</v>
      </c>
      <c r="C115" s="204"/>
      <c r="D115" s="204" t="s">
        <v>5146</v>
      </c>
      <c r="E115" s="204" t="s">
        <v>5474</v>
      </c>
      <c r="F115" s="204">
        <v>7101010000</v>
      </c>
      <c r="G115" s="223">
        <v>2000000</v>
      </c>
    </row>
    <row r="116" spans="1:7" ht="15.75" customHeight="1" thickBot="1" x14ac:dyDescent="0.4">
      <c r="A116" s="222" t="s">
        <v>5128</v>
      </c>
      <c r="B116" s="274" t="s">
        <v>1006</v>
      </c>
      <c r="C116" s="204"/>
      <c r="D116" s="204" t="s">
        <v>5149</v>
      </c>
      <c r="E116" s="204" t="s">
        <v>331</v>
      </c>
      <c r="F116" s="204">
        <v>7101990000</v>
      </c>
      <c r="G116" s="223">
        <v>2000000</v>
      </c>
    </row>
    <row r="117" spans="1:7" ht="15.75" customHeight="1" thickBot="1" x14ac:dyDescent="0.4">
      <c r="A117" s="222" t="s">
        <v>5128</v>
      </c>
      <c r="B117" s="274" t="s">
        <v>1006</v>
      </c>
      <c r="C117" s="204"/>
      <c r="D117" s="204" t="s">
        <v>5152</v>
      </c>
      <c r="E117" s="204" t="s">
        <v>5858</v>
      </c>
      <c r="F117" s="204">
        <v>7101980000</v>
      </c>
      <c r="G117" s="223">
        <v>2000000</v>
      </c>
    </row>
    <row r="118" spans="1:7" ht="15.75" customHeight="1" thickBot="1" x14ac:dyDescent="0.4">
      <c r="A118" s="222" t="s">
        <v>5144</v>
      </c>
      <c r="B118" s="274" t="s">
        <v>5503</v>
      </c>
      <c r="C118" s="204">
        <v>2</v>
      </c>
      <c r="D118" s="202" t="s">
        <v>5859</v>
      </c>
      <c r="E118" s="204"/>
      <c r="F118" s="204"/>
      <c r="G118" s="204"/>
    </row>
    <row r="119" spans="1:7" ht="15.75" customHeight="1" thickBot="1" x14ac:dyDescent="0.4">
      <c r="A119" s="222" t="s">
        <v>5128</v>
      </c>
      <c r="B119" s="274" t="s">
        <v>1006</v>
      </c>
      <c r="C119" s="203"/>
      <c r="D119" s="203" t="s">
        <v>5146</v>
      </c>
      <c r="E119" s="203" t="s">
        <v>5860</v>
      </c>
      <c r="F119" s="203">
        <v>7102010000</v>
      </c>
      <c r="G119" s="223">
        <v>2000000</v>
      </c>
    </row>
    <row r="120" spans="1:7" ht="15.75" customHeight="1" thickBot="1" x14ac:dyDescent="0.4">
      <c r="A120" s="222" t="s">
        <v>5128</v>
      </c>
      <c r="B120" s="274" t="s">
        <v>1006</v>
      </c>
      <c r="C120" s="204"/>
      <c r="D120" s="204" t="s">
        <v>5149</v>
      </c>
      <c r="E120" s="204" t="s">
        <v>331</v>
      </c>
      <c r="F120" s="203">
        <v>7102990000</v>
      </c>
      <c r="G120" s="223">
        <v>2000000</v>
      </c>
    </row>
    <row r="121" spans="1:7" ht="15.75" customHeight="1" thickBot="1" x14ac:dyDescent="0.4">
      <c r="A121" s="222" t="s">
        <v>5128</v>
      </c>
      <c r="B121" s="274" t="s">
        <v>1006</v>
      </c>
      <c r="C121" s="204"/>
      <c r="D121" s="204" t="s">
        <v>5152</v>
      </c>
      <c r="E121" s="204" t="s">
        <v>5858</v>
      </c>
      <c r="F121" s="203">
        <v>7102980000</v>
      </c>
      <c r="G121" s="223">
        <v>2000000</v>
      </c>
    </row>
    <row r="122" spans="1:7" ht="15.75" customHeight="1" thickBot="1" x14ac:dyDescent="0.4">
      <c r="A122" s="222" t="s">
        <v>5128</v>
      </c>
      <c r="B122" s="274" t="s">
        <v>1006</v>
      </c>
      <c r="C122" s="202" t="s">
        <v>5861</v>
      </c>
      <c r="D122" s="233"/>
      <c r="E122" s="204"/>
      <c r="F122" s="204">
        <v>3104040500</v>
      </c>
      <c r="G122" s="223">
        <v>2000000</v>
      </c>
    </row>
    <row r="123" spans="1:7" ht="15.75" customHeight="1" thickBot="1" x14ac:dyDescent="0.4">
      <c r="A123" s="222" t="s">
        <v>5128</v>
      </c>
      <c r="B123" s="274" t="s">
        <v>1006</v>
      </c>
      <c r="C123" s="335" t="s">
        <v>6088</v>
      </c>
      <c r="D123" s="233"/>
      <c r="E123" s="204"/>
      <c r="F123" s="204">
        <v>3104040600</v>
      </c>
      <c r="G123" s="223">
        <v>2000000</v>
      </c>
    </row>
    <row r="124" spans="1:7" ht="29.5" thickBot="1" x14ac:dyDescent="0.4">
      <c r="A124" s="211" t="s">
        <v>5125</v>
      </c>
      <c r="B124" s="267" t="s">
        <v>5232</v>
      </c>
      <c r="C124" s="481" t="s">
        <v>5764</v>
      </c>
      <c r="D124" s="484"/>
      <c r="E124" s="482"/>
      <c r="F124" s="212" t="s">
        <v>2</v>
      </c>
      <c r="G124" s="212" t="s">
        <v>5265</v>
      </c>
    </row>
    <row r="125" spans="1:7" ht="15.75" customHeight="1" thickBot="1" x14ac:dyDescent="0.4">
      <c r="A125" s="227" t="s">
        <v>5128</v>
      </c>
      <c r="B125" s="274" t="s">
        <v>783</v>
      </c>
      <c r="C125" s="216" t="s">
        <v>5765</v>
      </c>
      <c r="D125" s="235"/>
      <c r="E125" s="215"/>
      <c r="F125" s="217">
        <v>4100000000</v>
      </c>
      <c r="G125" s="225">
        <f>G128+G130+G131+G132+G133+G135+G136+G138+G139-G141-G143-G144-G145+G147+G148+G149+G150+G151+G152+G153+G154+G155+G156+G157</f>
        <v>38075000</v>
      </c>
    </row>
    <row r="126" spans="1:7" ht="15.75" customHeight="1" thickBot="1" x14ac:dyDescent="0.4">
      <c r="A126" s="227" t="s">
        <v>5144</v>
      </c>
      <c r="B126" s="274" t="s">
        <v>5503</v>
      </c>
      <c r="C126" s="215">
        <v>1</v>
      </c>
      <c r="D126" s="213" t="s">
        <v>5766</v>
      </c>
      <c r="E126" s="215"/>
      <c r="F126" s="215"/>
      <c r="G126" s="215"/>
    </row>
    <row r="127" spans="1:7" ht="15.75" customHeight="1" thickBot="1" x14ac:dyDescent="0.4">
      <c r="A127" s="227" t="s">
        <v>5144</v>
      </c>
      <c r="B127" s="274" t="s">
        <v>5503</v>
      </c>
      <c r="C127" s="215"/>
      <c r="D127" s="215" t="s">
        <v>5458</v>
      </c>
      <c r="E127" s="215" t="s">
        <v>5767</v>
      </c>
      <c r="F127" s="215"/>
      <c r="G127" s="215"/>
    </row>
    <row r="128" spans="1:7" ht="15.75" customHeight="1" thickBot="1" x14ac:dyDescent="0.4">
      <c r="A128" s="227" t="s">
        <v>5128</v>
      </c>
      <c r="B128" s="274" t="s">
        <v>783</v>
      </c>
      <c r="C128" s="215"/>
      <c r="D128" s="215"/>
      <c r="E128" s="215" t="s">
        <v>5768</v>
      </c>
      <c r="F128" s="215">
        <v>4101010100</v>
      </c>
      <c r="G128" s="223">
        <f>G6/2</f>
        <v>1000000</v>
      </c>
    </row>
    <row r="129" spans="1:7" ht="15.75" customHeight="1" thickBot="1" x14ac:dyDescent="0.4">
      <c r="A129" s="227" t="s">
        <v>5144</v>
      </c>
      <c r="B129" s="274" t="s">
        <v>5503</v>
      </c>
      <c r="C129" s="215"/>
      <c r="D129" s="215"/>
      <c r="E129" s="215" t="s">
        <v>5769</v>
      </c>
      <c r="F129" s="215"/>
      <c r="G129" s="215"/>
    </row>
    <row r="130" spans="1:7" ht="15.75" customHeight="1" thickBot="1" x14ac:dyDescent="0.4">
      <c r="A130" s="227" t="s">
        <v>5128</v>
      </c>
      <c r="B130" s="274" t="s">
        <v>783</v>
      </c>
      <c r="C130" s="215"/>
      <c r="D130" s="215"/>
      <c r="E130" s="215" t="s">
        <v>2287</v>
      </c>
      <c r="F130" s="215">
        <v>4101010201</v>
      </c>
      <c r="G130" s="223">
        <f>G8/2</f>
        <v>1000000</v>
      </c>
    </row>
    <row r="131" spans="1:7" ht="15.75" customHeight="1" thickBot="1" x14ac:dyDescent="0.4">
      <c r="A131" s="227" t="s">
        <v>5128</v>
      </c>
      <c r="B131" s="274" t="s">
        <v>783</v>
      </c>
      <c r="C131" s="215"/>
      <c r="D131" s="215"/>
      <c r="E131" s="215" t="s">
        <v>2635</v>
      </c>
      <c r="F131" s="215">
        <v>4101010202</v>
      </c>
      <c r="G131" s="223">
        <f>G9/2</f>
        <v>10000000</v>
      </c>
    </row>
    <row r="132" spans="1:7" ht="15.75" customHeight="1" thickBot="1" x14ac:dyDescent="0.4">
      <c r="A132" s="227" t="s">
        <v>5128</v>
      </c>
      <c r="B132" s="274" t="s">
        <v>783</v>
      </c>
      <c r="C132" s="215"/>
      <c r="D132" s="215"/>
      <c r="E132" s="215" t="s">
        <v>2638</v>
      </c>
      <c r="F132" s="215">
        <v>4101010203</v>
      </c>
      <c r="G132" s="223">
        <f>G10/2</f>
        <v>10000000</v>
      </c>
    </row>
    <row r="133" spans="1:7" ht="15.75" customHeight="1" thickBot="1" x14ac:dyDescent="0.4">
      <c r="A133" s="227" t="s">
        <v>5128</v>
      </c>
      <c r="B133" s="274" t="s">
        <v>783</v>
      </c>
      <c r="C133" s="215"/>
      <c r="D133" s="215"/>
      <c r="E133" s="215" t="s">
        <v>2302</v>
      </c>
      <c r="F133" s="215">
        <v>4101010204</v>
      </c>
      <c r="G133" s="223">
        <f>G11/2</f>
        <v>10000000</v>
      </c>
    </row>
    <row r="134" spans="1:7" ht="15.75" customHeight="1" thickBot="1" x14ac:dyDescent="0.4">
      <c r="A134" s="227" t="s">
        <v>5144</v>
      </c>
      <c r="B134" s="274" t="s">
        <v>5503</v>
      </c>
      <c r="C134" s="215"/>
      <c r="D134" s="215"/>
      <c r="E134" s="215" t="s">
        <v>5770</v>
      </c>
      <c r="F134" s="215"/>
      <c r="G134" s="215"/>
    </row>
    <row r="135" spans="1:7" ht="15.75" customHeight="1" thickBot="1" x14ac:dyDescent="0.4">
      <c r="A135" s="227" t="s">
        <v>5128</v>
      </c>
      <c r="B135" s="274" t="s">
        <v>783</v>
      </c>
      <c r="C135" s="215"/>
      <c r="D135" s="215"/>
      <c r="E135" s="215" t="s">
        <v>5771</v>
      </c>
      <c r="F135" s="215">
        <v>4101010301</v>
      </c>
      <c r="G135" s="223">
        <f>G13/2</f>
        <v>1000000</v>
      </c>
    </row>
    <row r="136" spans="1:7" ht="15.75" customHeight="1" thickBot="1" x14ac:dyDescent="0.4">
      <c r="A136" s="227" t="s">
        <v>5128</v>
      </c>
      <c r="B136" s="274" t="s">
        <v>783</v>
      </c>
      <c r="C136" s="215"/>
      <c r="D136" s="215"/>
      <c r="E136" s="215" t="s">
        <v>5772</v>
      </c>
      <c r="F136" s="215">
        <v>4101010302</v>
      </c>
      <c r="G136" s="223">
        <f>G14/2</f>
        <v>1000000</v>
      </c>
    </row>
    <row r="137" spans="1:7" ht="15.75" customHeight="1" thickBot="1" x14ac:dyDescent="0.4">
      <c r="A137" s="227" t="s">
        <v>5144</v>
      </c>
      <c r="B137" s="274" t="s">
        <v>5503</v>
      </c>
      <c r="C137" s="215"/>
      <c r="D137" s="215" t="s">
        <v>5460</v>
      </c>
      <c r="E137" s="215" t="s">
        <v>5773</v>
      </c>
      <c r="F137" s="215"/>
      <c r="G137" s="215"/>
    </row>
    <row r="138" spans="1:7" ht="15.75" customHeight="1" thickBot="1" x14ac:dyDescent="0.4">
      <c r="A138" s="227" t="s">
        <v>5128</v>
      </c>
      <c r="B138" s="274" t="s">
        <v>783</v>
      </c>
      <c r="C138" s="215"/>
      <c r="D138" s="215"/>
      <c r="E138" s="215" t="s">
        <v>5774</v>
      </c>
      <c r="F138" s="215">
        <v>4101020100</v>
      </c>
      <c r="G138" s="223">
        <f>G16/2</f>
        <v>1000000</v>
      </c>
    </row>
    <row r="139" spans="1:7" ht="15.75" customHeight="1" thickBot="1" x14ac:dyDescent="0.4">
      <c r="A139" s="227" t="s">
        <v>5128</v>
      </c>
      <c r="B139" s="274" t="s">
        <v>783</v>
      </c>
      <c r="C139" s="215"/>
      <c r="D139" s="215"/>
      <c r="E139" s="215" t="s">
        <v>5775</v>
      </c>
      <c r="F139" s="215">
        <v>4101020200</v>
      </c>
      <c r="G139" s="223">
        <f>G17/2</f>
        <v>1000000</v>
      </c>
    </row>
    <row r="140" spans="1:7" ht="15.75" customHeight="1" thickBot="1" x14ac:dyDescent="0.4">
      <c r="A140" s="227" t="s">
        <v>5144</v>
      </c>
      <c r="B140" s="274" t="s">
        <v>5503</v>
      </c>
      <c r="C140" s="215"/>
      <c r="D140" s="215" t="s">
        <v>5776</v>
      </c>
      <c r="E140" s="215" t="s">
        <v>5777</v>
      </c>
      <c r="F140" s="215"/>
      <c r="G140" s="215"/>
    </row>
    <row r="141" spans="1:7" ht="15.75" customHeight="1" thickBot="1" x14ac:dyDescent="0.4">
      <c r="A141" s="227" t="s">
        <v>5128</v>
      </c>
      <c r="B141" s="274" t="s">
        <v>783</v>
      </c>
      <c r="C141" s="215"/>
      <c r="D141" s="215"/>
      <c r="E141" s="215" t="s">
        <v>5768</v>
      </c>
      <c r="F141" s="215">
        <v>4101030100</v>
      </c>
      <c r="G141" s="223">
        <f>G19/2</f>
        <v>1000000</v>
      </c>
    </row>
    <row r="142" spans="1:7" ht="15.75" customHeight="1" thickBot="1" x14ac:dyDescent="0.4">
      <c r="A142" s="227" t="s">
        <v>5144</v>
      </c>
      <c r="B142" s="274" t="s">
        <v>5503</v>
      </c>
      <c r="C142" s="215"/>
      <c r="D142" s="215"/>
      <c r="E142" s="215" t="s">
        <v>5778</v>
      </c>
      <c r="F142" s="215"/>
      <c r="G142" s="215"/>
    </row>
    <row r="143" spans="1:7" ht="15.75" customHeight="1" thickBot="1" x14ac:dyDescent="0.4">
      <c r="A143" s="227" t="s">
        <v>5128</v>
      </c>
      <c r="B143" s="274" t="s">
        <v>783</v>
      </c>
      <c r="C143" s="215"/>
      <c r="D143" s="215"/>
      <c r="E143" s="215" t="s">
        <v>5771</v>
      </c>
      <c r="F143" s="215">
        <v>4101030201</v>
      </c>
      <c r="G143" s="223">
        <f>G21/2</f>
        <v>1000000</v>
      </c>
    </row>
    <row r="144" spans="1:7" ht="15.75" customHeight="1" thickBot="1" x14ac:dyDescent="0.4">
      <c r="A144" s="227" t="s">
        <v>5128</v>
      </c>
      <c r="B144" s="274" t="s">
        <v>783</v>
      </c>
      <c r="C144" s="215"/>
      <c r="D144" s="215"/>
      <c r="E144" s="215" t="s">
        <v>5772</v>
      </c>
      <c r="F144" s="215">
        <v>4101030202</v>
      </c>
      <c r="G144" s="223">
        <f>G22/2</f>
        <v>1000000</v>
      </c>
    </row>
    <row r="145" spans="1:7" ht="15.75" customHeight="1" thickBot="1" x14ac:dyDescent="0.4">
      <c r="A145" s="227" t="s">
        <v>5128</v>
      </c>
      <c r="B145" s="274" t="s">
        <v>783</v>
      </c>
      <c r="C145" s="215"/>
      <c r="D145" s="215" t="s">
        <v>5164</v>
      </c>
      <c r="E145" s="215" t="s">
        <v>5779</v>
      </c>
      <c r="F145" s="215">
        <v>4101040000</v>
      </c>
      <c r="G145" s="223">
        <f>G23/2</f>
        <v>1000000</v>
      </c>
    </row>
    <row r="146" spans="1:7" ht="15.75" customHeight="1" thickBot="1" x14ac:dyDescent="0.4">
      <c r="A146" s="227" t="s">
        <v>5144</v>
      </c>
      <c r="B146" s="274" t="s">
        <v>5503</v>
      </c>
      <c r="C146" s="215">
        <v>2</v>
      </c>
      <c r="D146" s="213" t="s">
        <v>5780</v>
      </c>
      <c r="E146" s="215"/>
      <c r="F146" s="215"/>
      <c r="G146" s="215"/>
    </row>
    <row r="147" spans="1:7" ht="15.75" customHeight="1" thickBot="1" x14ac:dyDescent="0.4">
      <c r="A147" s="227" t="s">
        <v>5128</v>
      </c>
      <c r="B147" s="274" t="s">
        <v>783</v>
      </c>
      <c r="C147" s="215"/>
      <c r="D147" s="215" t="s">
        <v>5458</v>
      </c>
      <c r="E147" s="215" t="s">
        <v>5781</v>
      </c>
      <c r="F147" s="215">
        <v>4102010000</v>
      </c>
      <c r="G147" s="223">
        <f t="shared" ref="G147:G157" si="0">G25/2</f>
        <v>1000000</v>
      </c>
    </row>
    <row r="148" spans="1:7" ht="15.75" customHeight="1" thickBot="1" x14ac:dyDescent="0.4">
      <c r="A148" s="227" t="s">
        <v>5128</v>
      </c>
      <c r="B148" s="274" t="s">
        <v>783</v>
      </c>
      <c r="C148" s="215"/>
      <c r="D148" s="215" t="s">
        <v>5460</v>
      </c>
      <c r="E148" s="215" t="s">
        <v>5782</v>
      </c>
      <c r="F148" s="215">
        <v>4102020000</v>
      </c>
      <c r="G148" s="223">
        <f t="shared" si="0"/>
        <v>1000000</v>
      </c>
    </row>
    <row r="149" spans="1:7" ht="15.75" customHeight="1" thickBot="1" x14ac:dyDescent="0.4">
      <c r="A149" s="227" t="s">
        <v>5128</v>
      </c>
      <c r="B149" s="274" t="s">
        <v>783</v>
      </c>
      <c r="C149" s="215"/>
      <c r="D149" s="215" t="s">
        <v>5776</v>
      </c>
      <c r="E149" s="215" t="s">
        <v>5783</v>
      </c>
      <c r="F149" s="215">
        <v>4102030000</v>
      </c>
      <c r="G149" s="223">
        <f t="shared" si="0"/>
        <v>1000000</v>
      </c>
    </row>
    <row r="150" spans="1:7" ht="15.75" customHeight="1" thickBot="1" x14ac:dyDescent="0.4">
      <c r="A150" s="227" t="s">
        <v>5128</v>
      </c>
      <c r="B150" s="274" t="s">
        <v>783</v>
      </c>
      <c r="C150" s="215"/>
      <c r="D150" s="215" t="s">
        <v>5784</v>
      </c>
      <c r="E150" s="215" t="s">
        <v>5785</v>
      </c>
      <c r="F150" s="215">
        <v>4102040000</v>
      </c>
      <c r="G150" s="223">
        <f t="shared" si="0"/>
        <v>1000000</v>
      </c>
    </row>
    <row r="151" spans="1:7" ht="15.75" customHeight="1" thickBot="1" x14ac:dyDescent="0.4">
      <c r="A151" s="227" t="s">
        <v>5128</v>
      </c>
      <c r="B151" s="274" t="s">
        <v>783</v>
      </c>
      <c r="C151" s="215"/>
      <c r="D151" s="215" t="s">
        <v>5786</v>
      </c>
      <c r="E151" s="215" t="s">
        <v>5862</v>
      </c>
      <c r="F151" s="215">
        <v>4102050000</v>
      </c>
      <c r="G151" s="223">
        <f t="shared" si="0"/>
        <v>1000000</v>
      </c>
    </row>
    <row r="152" spans="1:7" ht="15.75" customHeight="1" thickBot="1" x14ac:dyDescent="0.4">
      <c r="A152" s="227" t="s">
        <v>5128</v>
      </c>
      <c r="B152" s="274" t="s">
        <v>783</v>
      </c>
      <c r="C152" s="215"/>
      <c r="D152" s="290" t="s">
        <v>5787</v>
      </c>
      <c r="E152" s="290" t="s">
        <v>5398</v>
      </c>
      <c r="F152" s="290">
        <v>4102060000</v>
      </c>
      <c r="G152" s="223">
        <f t="shared" si="0"/>
        <v>5000</v>
      </c>
    </row>
    <row r="153" spans="1:7" ht="15.75" customHeight="1" thickBot="1" x14ac:dyDescent="0.4">
      <c r="A153" s="227" t="s">
        <v>5128</v>
      </c>
      <c r="B153" s="274" t="s">
        <v>783</v>
      </c>
      <c r="C153" s="215"/>
      <c r="D153" s="290" t="s">
        <v>5788</v>
      </c>
      <c r="E153" s="290" t="s">
        <v>5789</v>
      </c>
      <c r="F153" s="290">
        <v>4102070000</v>
      </c>
      <c r="G153" s="223">
        <f t="shared" si="0"/>
        <v>10000</v>
      </c>
    </row>
    <row r="154" spans="1:7" ht="15.75" customHeight="1" thickBot="1" x14ac:dyDescent="0.4">
      <c r="A154" s="227" t="s">
        <v>5128</v>
      </c>
      <c r="B154" s="274" t="s">
        <v>783</v>
      </c>
      <c r="C154" s="215"/>
      <c r="D154" s="290" t="s">
        <v>5790</v>
      </c>
      <c r="E154" s="290" t="s">
        <v>5791</v>
      </c>
      <c r="F154" s="290">
        <v>4201020000</v>
      </c>
      <c r="G154" s="223">
        <f t="shared" si="0"/>
        <v>15000</v>
      </c>
    </row>
    <row r="155" spans="1:7" ht="15.75" customHeight="1" thickBot="1" x14ac:dyDescent="0.4">
      <c r="A155" s="227" t="s">
        <v>5128</v>
      </c>
      <c r="B155" s="274" t="s">
        <v>783</v>
      </c>
      <c r="C155" s="215"/>
      <c r="D155" s="290" t="s">
        <v>5792</v>
      </c>
      <c r="E155" s="290" t="s">
        <v>5793</v>
      </c>
      <c r="F155" s="290">
        <v>4203000000</v>
      </c>
      <c r="G155" s="223">
        <f t="shared" si="0"/>
        <v>20000</v>
      </c>
    </row>
    <row r="156" spans="1:7" ht="15.75" customHeight="1" thickBot="1" x14ac:dyDescent="0.4">
      <c r="A156" s="227" t="s">
        <v>5128</v>
      </c>
      <c r="B156" s="274" t="s">
        <v>783</v>
      </c>
      <c r="C156" s="215"/>
      <c r="D156" s="290" t="s">
        <v>5794</v>
      </c>
      <c r="E156" s="290" t="s">
        <v>5795</v>
      </c>
      <c r="F156" s="290">
        <v>4202020000</v>
      </c>
      <c r="G156" s="223">
        <f t="shared" si="0"/>
        <v>25000</v>
      </c>
    </row>
    <row r="157" spans="1:7" ht="15.75" customHeight="1" thickBot="1" x14ac:dyDescent="0.4">
      <c r="A157" s="227" t="s">
        <v>5128</v>
      </c>
      <c r="B157" s="274" t="s">
        <v>783</v>
      </c>
      <c r="C157" s="215"/>
      <c r="D157" s="337" t="s">
        <v>5832</v>
      </c>
      <c r="E157" s="215" t="s">
        <v>331</v>
      </c>
      <c r="F157" s="215">
        <v>4102990000</v>
      </c>
      <c r="G157" s="223">
        <f t="shared" si="0"/>
        <v>1000000</v>
      </c>
    </row>
    <row r="158" spans="1:7" ht="15.75" customHeight="1" thickBot="1" x14ac:dyDescent="0.4">
      <c r="A158" s="227" t="s">
        <v>5128</v>
      </c>
      <c r="B158" s="274" t="s">
        <v>783</v>
      </c>
      <c r="C158" s="216" t="s">
        <v>5796</v>
      </c>
      <c r="D158" s="235"/>
      <c r="E158" s="215"/>
      <c r="F158" s="217">
        <v>5100000000</v>
      </c>
      <c r="G158" s="225">
        <f>G161+G162+G163+G165+G166+G167+G168+G169+G171+G172+G173+G175+G176+G178+G179+G180+G181+G182+G183+G186+G187+G188+G189+G191+G192+G193+G194+G195+G196+G197+G198+G200+G201+G202+G204+G205+G206+G207+G208+G209</f>
        <v>31000000</v>
      </c>
    </row>
    <row r="159" spans="1:7" ht="15.75" customHeight="1" thickBot="1" x14ac:dyDescent="0.4">
      <c r="A159" s="227" t="s">
        <v>5144</v>
      </c>
      <c r="B159" s="274" t="s">
        <v>5503</v>
      </c>
      <c r="C159" s="215">
        <v>1</v>
      </c>
      <c r="D159" s="213" t="s">
        <v>5797</v>
      </c>
      <c r="E159" s="215"/>
      <c r="F159" s="215"/>
      <c r="G159" s="215"/>
    </row>
    <row r="160" spans="1:7" ht="15.75" customHeight="1" thickBot="1" x14ac:dyDescent="0.4">
      <c r="A160" s="227" t="s">
        <v>5144</v>
      </c>
      <c r="B160" s="274" t="s">
        <v>5503</v>
      </c>
      <c r="C160" s="215"/>
      <c r="D160" s="215" t="s">
        <v>5458</v>
      </c>
      <c r="E160" s="215" t="s">
        <v>5798</v>
      </c>
      <c r="F160" s="215"/>
      <c r="G160" s="215"/>
    </row>
    <row r="161" spans="1:7" ht="15.75" customHeight="1" thickBot="1" x14ac:dyDescent="0.4">
      <c r="A161" s="227" t="s">
        <v>5128</v>
      </c>
      <c r="B161" s="274" t="s">
        <v>783</v>
      </c>
      <c r="C161" s="215"/>
      <c r="D161" s="215"/>
      <c r="E161" s="215" t="s">
        <v>5799</v>
      </c>
      <c r="F161" s="215">
        <v>5101010100</v>
      </c>
      <c r="G161" s="223">
        <f>G39/2</f>
        <v>1000000</v>
      </c>
    </row>
    <row r="162" spans="1:7" ht="15.75" customHeight="1" thickBot="1" x14ac:dyDescent="0.4">
      <c r="A162" s="227" t="s">
        <v>5128</v>
      </c>
      <c r="B162" s="274" t="s">
        <v>783</v>
      </c>
      <c r="C162" s="215"/>
      <c r="D162" s="215"/>
      <c r="E162" s="215" t="s">
        <v>5800</v>
      </c>
      <c r="F162" s="215">
        <v>5101010200</v>
      </c>
      <c r="G162" s="223">
        <f>G40/2</f>
        <v>1000000</v>
      </c>
    </row>
    <row r="163" spans="1:7" ht="15.75" customHeight="1" thickBot="1" x14ac:dyDescent="0.4">
      <c r="A163" s="227" t="s">
        <v>5128</v>
      </c>
      <c r="B163" s="274" t="s">
        <v>783</v>
      </c>
      <c r="C163" s="215"/>
      <c r="D163" s="215"/>
      <c r="E163" s="231" t="s">
        <v>5801</v>
      </c>
      <c r="F163" s="215">
        <v>5101010300</v>
      </c>
      <c r="G163" s="223">
        <f>G41/2</f>
        <v>1000000</v>
      </c>
    </row>
    <row r="164" spans="1:7" ht="15.75" customHeight="1" thickBot="1" x14ac:dyDescent="0.4">
      <c r="A164" s="227" t="s">
        <v>5144</v>
      </c>
      <c r="B164" s="274" t="s">
        <v>5503</v>
      </c>
      <c r="C164" s="215"/>
      <c r="D164" s="215"/>
      <c r="E164" s="215" t="s">
        <v>5802</v>
      </c>
      <c r="F164" s="215"/>
      <c r="G164" s="215"/>
    </row>
    <row r="165" spans="1:7" ht="15.75" customHeight="1" thickBot="1" x14ac:dyDescent="0.4">
      <c r="A165" s="227" t="s">
        <v>5128</v>
      </c>
      <c r="B165" s="274" t="s">
        <v>783</v>
      </c>
      <c r="C165" s="215"/>
      <c r="D165" s="215"/>
      <c r="E165" s="215" t="s">
        <v>5803</v>
      </c>
      <c r="F165" s="215">
        <v>5101010401</v>
      </c>
      <c r="G165" s="223">
        <f>G43/2</f>
        <v>1000000</v>
      </c>
    </row>
    <row r="166" spans="1:7" ht="15.75" customHeight="1" thickBot="1" x14ac:dyDescent="0.4">
      <c r="A166" s="227" t="s">
        <v>5128</v>
      </c>
      <c r="B166" s="274" t="s">
        <v>783</v>
      </c>
      <c r="C166" s="215"/>
      <c r="D166" s="215"/>
      <c r="E166" s="215" t="s">
        <v>5804</v>
      </c>
      <c r="F166" s="215">
        <v>5101010402</v>
      </c>
      <c r="G166" s="223">
        <f>G44/2</f>
        <v>1000000</v>
      </c>
    </row>
    <row r="167" spans="1:7" ht="15.75" customHeight="1" thickBot="1" x14ac:dyDescent="0.4">
      <c r="A167" s="227" t="s">
        <v>5128</v>
      </c>
      <c r="B167" s="274" t="s">
        <v>783</v>
      </c>
      <c r="C167" s="215"/>
      <c r="D167" s="215"/>
      <c r="E167" s="215" t="s">
        <v>5805</v>
      </c>
      <c r="F167" s="215">
        <v>5101010403</v>
      </c>
      <c r="G167" s="223">
        <f>G45/2</f>
        <v>1000000</v>
      </c>
    </row>
    <row r="168" spans="1:7" ht="15.75" customHeight="1" thickBot="1" x14ac:dyDescent="0.4">
      <c r="A168" s="227" t="s">
        <v>5128</v>
      </c>
      <c r="B168" s="274" t="s">
        <v>783</v>
      </c>
      <c r="C168" s="215"/>
      <c r="D168" s="215"/>
      <c r="E168" s="215" t="s">
        <v>5806</v>
      </c>
      <c r="F168" s="215">
        <v>5101010404</v>
      </c>
      <c r="G168" s="223">
        <f>G46/2</f>
        <v>1000000</v>
      </c>
    </row>
    <row r="169" spans="1:7" ht="15.75" customHeight="1" thickBot="1" x14ac:dyDescent="0.4">
      <c r="A169" s="227" t="s">
        <v>5128</v>
      </c>
      <c r="B169" s="274" t="s">
        <v>783</v>
      </c>
      <c r="C169" s="215"/>
      <c r="D169" s="215"/>
      <c r="E169" s="215" t="s">
        <v>5807</v>
      </c>
      <c r="F169" s="215">
        <v>5101019900</v>
      </c>
      <c r="G169" s="223">
        <v>1000000</v>
      </c>
    </row>
    <row r="170" spans="1:7" ht="15.75" customHeight="1" thickBot="1" x14ac:dyDescent="0.4">
      <c r="A170" s="227" t="s">
        <v>5144</v>
      </c>
      <c r="B170" s="274" t="s">
        <v>5503</v>
      </c>
      <c r="C170" s="215"/>
      <c r="D170" s="215" t="s">
        <v>5460</v>
      </c>
      <c r="E170" s="215" t="s">
        <v>5808</v>
      </c>
      <c r="F170" s="215"/>
      <c r="G170" s="215"/>
    </row>
    <row r="171" spans="1:7" ht="15.75" customHeight="1" thickBot="1" x14ac:dyDescent="0.4">
      <c r="A171" s="227" t="s">
        <v>5128</v>
      </c>
      <c r="B171" s="274" t="s">
        <v>783</v>
      </c>
      <c r="C171" s="215"/>
      <c r="D171" s="215"/>
      <c r="E171" s="215" t="s">
        <v>5774</v>
      </c>
      <c r="F171" s="215">
        <v>5101020100</v>
      </c>
      <c r="G171" s="223">
        <f>G49/2</f>
        <v>1000000</v>
      </c>
    </row>
    <row r="172" spans="1:7" ht="15.75" customHeight="1" thickBot="1" x14ac:dyDescent="0.4">
      <c r="A172" s="227" t="s">
        <v>5128</v>
      </c>
      <c r="B172" s="274" t="s">
        <v>783</v>
      </c>
      <c r="C172" s="215"/>
      <c r="D172" s="215"/>
      <c r="E172" s="215" t="s">
        <v>5775</v>
      </c>
      <c r="F172" s="215">
        <v>5101020200</v>
      </c>
      <c r="G172" s="223">
        <f>G50/2</f>
        <v>1000000</v>
      </c>
    </row>
    <row r="173" spans="1:7" ht="15.75" customHeight="1" thickBot="1" x14ac:dyDescent="0.4">
      <c r="A173" s="227" t="s">
        <v>5128</v>
      </c>
      <c r="B173" s="274" t="s">
        <v>783</v>
      </c>
      <c r="C173" s="215">
        <v>2</v>
      </c>
      <c r="D173" s="213" t="s">
        <v>5809</v>
      </c>
      <c r="E173" s="215"/>
      <c r="F173" s="215">
        <v>5102000000</v>
      </c>
      <c r="G173" s="223">
        <f>G51/2</f>
        <v>1000000</v>
      </c>
    </row>
    <row r="174" spans="1:7" ht="15.75" customHeight="1" thickBot="1" x14ac:dyDescent="0.4">
      <c r="A174" s="227" t="s">
        <v>5144</v>
      </c>
      <c r="B174" s="274" t="s">
        <v>5503</v>
      </c>
      <c r="C174" s="215">
        <v>3</v>
      </c>
      <c r="D174" s="334" t="s">
        <v>6087</v>
      </c>
      <c r="E174" s="215"/>
      <c r="F174" s="215"/>
      <c r="G174" s="215"/>
    </row>
    <row r="175" spans="1:7" ht="15.75" customHeight="1" thickBot="1" x14ac:dyDescent="0.4">
      <c r="A175" s="227" t="s">
        <v>5128</v>
      </c>
      <c r="B175" s="274" t="s">
        <v>783</v>
      </c>
      <c r="C175" s="215"/>
      <c r="D175" s="213" t="s">
        <v>5810</v>
      </c>
      <c r="E175" s="215"/>
      <c r="F175" s="215">
        <v>5103010000</v>
      </c>
      <c r="G175" s="223">
        <f>G53/2</f>
        <v>1000000</v>
      </c>
    </row>
    <row r="176" spans="1:7" ht="15.75" customHeight="1" thickBot="1" x14ac:dyDescent="0.4">
      <c r="A176" s="227" t="s">
        <v>5128</v>
      </c>
      <c r="B176" s="274" t="s">
        <v>783</v>
      </c>
      <c r="C176" s="215"/>
      <c r="D176" s="215" t="s">
        <v>5149</v>
      </c>
      <c r="E176" s="215" t="s">
        <v>2284</v>
      </c>
      <c r="F176" s="215">
        <v>5103020000</v>
      </c>
      <c r="G176" s="223">
        <f>G54/2</f>
        <v>1000000</v>
      </c>
    </row>
    <row r="177" spans="1:7" ht="15.75" customHeight="1" thickBot="1" x14ac:dyDescent="0.4">
      <c r="A177" s="227" t="s">
        <v>5144</v>
      </c>
      <c r="B177" s="274" t="s">
        <v>5503</v>
      </c>
      <c r="C177" s="215"/>
      <c r="D177" s="213" t="s">
        <v>5811</v>
      </c>
      <c r="E177" s="215"/>
      <c r="F177" s="215"/>
      <c r="G177" s="215"/>
    </row>
    <row r="178" spans="1:7" ht="15.75" customHeight="1" thickBot="1" x14ac:dyDescent="0.4">
      <c r="A178" s="227" t="s">
        <v>5128</v>
      </c>
      <c r="B178" s="274" t="s">
        <v>783</v>
      </c>
      <c r="C178" s="215"/>
      <c r="D178" s="215"/>
      <c r="E178" s="215" t="s">
        <v>5774</v>
      </c>
      <c r="F178" s="215">
        <v>5103030100</v>
      </c>
      <c r="G178" s="223">
        <f t="shared" ref="G178:G183" si="1">G56/2</f>
        <v>1000000</v>
      </c>
    </row>
    <row r="179" spans="1:7" ht="15.75" customHeight="1" thickBot="1" x14ac:dyDescent="0.4">
      <c r="A179" s="227" t="s">
        <v>5128</v>
      </c>
      <c r="B179" s="274" t="s">
        <v>783</v>
      </c>
      <c r="C179" s="215"/>
      <c r="D179" s="215"/>
      <c r="E179" s="215" t="s">
        <v>5775</v>
      </c>
      <c r="F179" s="215">
        <v>5103030200</v>
      </c>
      <c r="G179" s="223">
        <f t="shared" si="1"/>
        <v>1000000</v>
      </c>
    </row>
    <row r="180" spans="1:7" ht="15.75" customHeight="1" thickBot="1" x14ac:dyDescent="0.4">
      <c r="A180" s="294" t="s">
        <v>5128</v>
      </c>
      <c r="B180" s="274" t="s">
        <v>783</v>
      </c>
      <c r="C180" s="290"/>
      <c r="D180" s="290" t="s">
        <v>5784</v>
      </c>
      <c r="E180" s="290" t="s">
        <v>5445</v>
      </c>
      <c r="F180" s="290">
        <v>5103040000</v>
      </c>
      <c r="G180" s="223">
        <f t="shared" si="1"/>
        <v>0</v>
      </c>
    </row>
    <row r="181" spans="1:7" ht="15.75" customHeight="1" thickBot="1" x14ac:dyDescent="0.4">
      <c r="A181" s="294" t="s">
        <v>5128</v>
      </c>
      <c r="B181" s="274" t="s">
        <v>783</v>
      </c>
      <c r="C181" s="290"/>
      <c r="D181" s="290" t="s">
        <v>5786</v>
      </c>
      <c r="E181" s="290" t="s">
        <v>5452</v>
      </c>
      <c r="F181" s="290">
        <v>5103050000</v>
      </c>
      <c r="G181" s="223">
        <f t="shared" si="1"/>
        <v>0</v>
      </c>
    </row>
    <row r="182" spans="1:7" ht="15.75" customHeight="1" thickBot="1" x14ac:dyDescent="0.4">
      <c r="A182" s="227" t="s">
        <v>5128</v>
      </c>
      <c r="B182" s="274" t="s">
        <v>783</v>
      </c>
      <c r="C182" s="215">
        <v>4</v>
      </c>
      <c r="D182" s="213" t="s">
        <v>5812</v>
      </c>
      <c r="E182" s="215"/>
      <c r="F182" s="215">
        <v>5104000000</v>
      </c>
      <c r="G182" s="223">
        <f t="shared" si="1"/>
        <v>1000000</v>
      </c>
    </row>
    <row r="183" spans="1:7" ht="15.75" customHeight="1" thickBot="1" x14ac:dyDescent="0.4">
      <c r="A183" s="227" t="s">
        <v>5128</v>
      </c>
      <c r="B183" s="274" t="s">
        <v>783</v>
      </c>
      <c r="C183" s="215">
        <v>5</v>
      </c>
      <c r="D183" s="213" t="s">
        <v>5813</v>
      </c>
      <c r="E183" s="215"/>
      <c r="F183" s="215">
        <v>5105000000</v>
      </c>
      <c r="G183" s="223">
        <f t="shared" si="1"/>
        <v>1000000</v>
      </c>
    </row>
    <row r="184" spans="1:7" ht="15.75" customHeight="1" thickBot="1" x14ac:dyDescent="0.4">
      <c r="A184" s="227" t="s">
        <v>5144</v>
      </c>
      <c r="B184" s="274" t="s">
        <v>5503</v>
      </c>
      <c r="C184" s="215">
        <v>6</v>
      </c>
      <c r="D184" s="213" t="s">
        <v>5814</v>
      </c>
      <c r="E184" s="215"/>
      <c r="F184" s="215"/>
      <c r="G184" s="215"/>
    </row>
    <row r="185" spans="1:7" ht="15.75" customHeight="1" thickBot="1" x14ac:dyDescent="0.4">
      <c r="A185" s="227" t="s">
        <v>5144</v>
      </c>
      <c r="B185" s="274" t="s">
        <v>5503</v>
      </c>
      <c r="C185" s="215"/>
      <c r="D185" s="215" t="s">
        <v>5458</v>
      </c>
      <c r="E185" s="215" t="s">
        <v>5815</v>
      </c>
      <c r="F185" s="215"/>
      <c r="G185" s="215"/>
    </row>
    <row r="186" spans="1:7" ht="15.75" customHeight="1" thickBot="1" x14ac:dyDescent="0.4">
      <c r="A186" s="227" t="s">
        <v>5128</v>
      </c>
      <c r="B186" s="274" t="s">
        <v>783</v>
      </c>
      <c r="C186" s="215"/>
      <c r="D186" s="215"/>
      <c r="E186" s="215" t="s">
        <v>5816</v>
      </c>
      <c r="F186" s="215">
        <v>5106010100</v>
      </c>
      <c r="G186" s="223">
        <f>G64/2</f>
        <v>1000000</v>
      </c>
    </row>
    <row r="187" spans="1:7" ht="15.75" customHeight="1" thickBot="1" x14ac:dyDescent="0.4">
      <c r="A187" s="227" t="s">
        <v>5128</v>
      </c>
      <c r="B187" s="274" t="s">
        <v>783</v>
      </c>
      <c r="C187" s="215"/>
      <c r="D187" s="215"/>
      <c r="E187" s="215" t="s">
        <v>5817</v>
      </c>
      <c r="F187" s="215">
        <v>5106010200</v>
      </c>
      <c r="G187" s="223">
        <f>G65/2</f>
        <v>1000000</v>
      </c>
    </row>
    <row r="188" spans="1:7" ht="15.75" customHeight="1" thickBot="1" x14ac:dyDescent="0.4">
      <c r="A188" s="227" t="s">
        <v>5128</v>
      </c>
      <c r="B188" s="274" t="s">
        <v>783</v>
      </c>
      <c r="C188" s="215"/>
      <c r="D188" s="215"/>
      <c r="E188" s="215" t="s">
        <v>5818</v>
      </c>
      <c r="F188" s="215">
        <v>5106019900</v>
      </c>
      <c r="G188" s="223">
        <f>G66/2</f>
        <v>1000000</v>
      </c>
    </row>
    <row r="189" spans="1:7" ht="15.75" customHeight="1" thickBot="1" x14ac:dyDescent="0.4">
      <c r="A189" s="227" t="s">
        <v>5128</v>
      </c>
      <c r="B189" s="274" t="s">
        <v>783</v>
      </c>
      <c r="C189" s="215"/>
      <c r="D189" s="215" t="s">
        <v>5460</v>
      </c>
      <c r="E189" s="215" t="s">
        <v>5819</v>
      </c>
      <c r="F189" s="215">
        <v>5106020000</v>
      </c>
      <c r="G189" s="223">
        <f>G67/2</f>
        <v>1000000</v>
      </c>
    </row>
    <row r="190" spans="1:7" ht="15.75" customHeight="1" thickBot="1" x14ac:dyDescent="0.4">
      <c r="A190" s="227" t="s">
        <v>5144</v>
      </c>
      <c r="B190" s="274" t="s">
        <v>5503</v>
      </c>
      <c r="C190" s="215"/>
      <c r="D190" s="215" t="s">
        <v>5776</v>
      </c>
      <c r="E190" s="215" t="s">
        <v>5820</v>
      </c>
      <c r="F190" s="215"/>
      <c r="G190" s="215"/>
    </row>
    <row r="191" spans="1:7" ht="15.75" customHeight="1" thickBot="1" x14ac:dyDescent="0.4">
      <c r="A191" s="227" t="s">
        <v>5128</v>
      </c>
      <c r="B191" s="274" t="s">
        <v>783</v>
      </c>
      <c r="C191" s="215"/>
      <c r="D191" s="215"/>
      <c r="E191" s="215" t="s">
        <v>5821</v>
      </c>
      <c r="F191" s="215">
        <v>5106030100</v>
      </c>
      <c r="G191" s="223">
        <f t="shared" ref="G191:G198" si="2">G69/2</f>
        <v>1000000</v>
      </c>
    </row>
    <row r="192" spans="1:7" ht="15.75" customHeight="1" thickBot="1" x14ac:dyDescent="0.4">
      <c r="A192" s="227" t="s">
        <v>5128</v>
      </c>
      <c r="B192" s="274" t="s">
        <v>783</v>
      </c>
      <c r="C192" s="215"/>
      <c r="D192" s="215"/>
      <c r="E192" s="215" t="s">
        <v>5822</v>
      </c>
      <c r="F192" s="215">
        <v>5106039900</v>
      </c>
      <c r="G192" s="223">
        <f t="shared" si="2"/>
        <v>1000000</v>
      </c>
    </row>
    <row r="193" spans="1:7" ht="15.75" customHeight="1" thickBot="1" x14ac:dyDescent="0.4">
      <c r="A193" s="227" t="s">
        <v>5128</v>
      </c>
      <c r="B193" s="274" t="s">
        <v>783</v>
      </c>
      <c r="C193" s="230"/>
      <c r="D193" s="230" t="s">
        <v>5784</v>
      </c>
      <c r="E193" s="230" t="s">
        <v>5823</v>
      </c>
      <c r="F193" s="230">
        <v>5106040000</v>
      </c>
      <c r="G193" s="223">
        <f t="shared" si="2"/>
        <v>1000000</v>
      </c>
    </row>
    <row r="194" spans="1:7" ht="15.75" customHeight="1" thickBot="1" x14ac:dyDescent="0.4">
      <c r="A194" s="227" t="s">
        <v>5128</v>
      </c>
      <c r="B194" s="274" t="s">
        <v>783</v>
      </c>
      <c r="C194" s="215"/>
      <c r="D194" s="215" t="s">
        <v>5786</v>
      </c>
      <c r="E194" s="215" t="s">
        <v>5824</v>
      </c>
      <c r="F194" s="215">
        <v>5106050000</v>
      </c>
      <c r="G194" s="223">
        <f t="shared" si="2"/>
        <v>1000000</v>
      </c>
    </row>
    <row r="195" spans="1:7" ht="15.75" customHeight="1" thickBot="1" x14ac:dyDescent="0.4">
      <c r="A195" s="227" t="s">
        <v>5128</v>
      </c>
      <c r="B195" s="274" t="s">
        <v>783</v>
      </c>
      <c r="C195" s="215"/>
      <c r="D195" s="215" t="s">
        <v>5787</v>
      </c>
      <c r="E195" s="215" t="s">
        <v>5825</v>
      </c>
      <c r="F195" s="215">
        <v>5106060000</v>
      </c>
      <c r="G195" s="223">
        <f t="shared" si="2"/>
        <v>1000000</v>
      </c>
    </row>
    <row r="196" spans="1:7" ht="15.75" customHeight="1" thickBot="1" x14ac:dyDescent="0.4">
      <c r="A196" s="227" t="s">
        <v>5128</v>
      </c>
      <c r="B196" s="274" t="s">
        <v>783</v>
      </c>
      <c r="C196" s="215"/>
      <c r="D196" s="215" t="s">
        <v>5788</v>
      </c>
      <c r="E196" s="215" t="s">
        <v>5826</v>
      </c>
      <c r="F196" s="215">
        <v>5106070000</v>
      </c>
      <c r="G196" s="223">
        <f t="shared" si="2"/>
        <v>1000000</v>
      </c>
    </row>
    <row r="197" spans="1:7" ht="15.75" customHeight="1" thickBot="1" x14ac:dyDescent="0.4">
      <c r="A197" s="227" t="s">
        <v>5128</v>
      </c>
      <c r="B197" s="274" t="s">
        <v>783</v>
      </c>
      <c r="C197" s="215"/>
      <c r="D197" s="215" t="s">
        <v>5790</v>
      </c>
      <c r="E197" s="215" t="s">
        <v>5827</v>
      </c>
      <c r="F197" s="215">
        <v>5106080000</v>
      </c>
      <c r="G197" s="223">
        <f t="shared" si="2"/>
        <v>0</v>
      </c>
    </row>
    <row r="198" spans="1:7" ht="15.75" customHeight="1" thickBot="1" x14ac:dyDescent="0.4">
      <c r="A198" s="294" t="s">
        <v>5128</v>
      </c>
      <c r="B198" s="274" t="s">
        <v>783</v>
      </c>
      <c r="C198" s="290"/>
      <c r="D198" s="290" t="s">
        <v>5792</v>
      </c>
      <c r="E198" s="290" t="s">
        <v>5828</v>
      </c>
      <c r="F198" s="290">
        <v>5106100000</v>
      </c>
      <c r="G198" s="223">
        <f t="shared" si="2"/>
        <v>0</v>
      </c>
    </row>
    <row r="199" spans="1:7" ht="15.75" customHeight="1" thickBot="1" x14ac:dyDescent="0.4">
      <c r="A199" s="297" t="s">
        <v>5144</v>
      </c>
      <c r="B199" s="274" t="s">
        <v>783</v>
      </c>
      <c r="C199" s="290"/>
      <c r="D199" s="290" t="s">
        <v>5794</v>
      </c>
      <c r="E199" s="290" t="s">
        <v>5829</v>
      </c>
      <c r="F199" s="290"/>
      <c r="G199" s="215"/>
    </row>
    <row r="200" spans="1:7" ht="15.75" customHeight="1" thickBot="1" x14ac:dyDescent="0.4">
      <c r="A200" s="294" t="s">
        <v>5128</v>
      </c>
      <c r="B200" s="274" t="s">
        <v>783</v>
      </c>
      <c r="C200" s="290"/>
      <c r="D200" s="290"/>
      <c r="E200" s="290" t="s">
        <v>5830</v>
      </c>
      <c r="F200" s="290">
        <v>5106110100</v>
      </c>
      <c r="G200" s="223">
        <f>G78/2</f>
        <v>0</v>
      </c>
    </row>
    <row r="201" spans="1:7" ht="15.75" customHeight="1" thickBot="1" x14ac:dyDescent="0.4">
      <c r="A201" s="294" t="s">
        <v>5128</v>
      </c>
      <c r="B201" s="274" t="s">
        <v>783</v>
      </c>
      <c r="C201" s="290"/>
      <c r="D201" s="290"/>
      <c r="E201" s="290" t="s">
        <v>5831</v>
      </c>
      <c r="F201" s="290">
        <v>5106110200</v>
      </c>
      <c r="G201" s="223">
        <f>G79/2</f>
        <v>0</v>
      </c>
    </row>
    <row r="202" spans="1:7" ht="15.75" customHeight="1" thickBot="1" x14ac:dyDescent="0.4">
      <c r="A202" s="227" t="s">
        <v>5128</v>
      </c>
      <c r="B202" s="274" t="s">
        <v>783</v>
      </c>
      <c r="C202" s="215"/>
      <c r="D202" s="215" t="s">
        <v>5792</v>
      </c>
      <c r="E202" s="215" t="s">
        <v>5833</v>
      </c>
      <c r="F202" s="215">
        <v>5106090000</v>
      </c>
      <c r="G202" s="223">
        <f>G80/2</f>
        <v>1000000</v>
      </c>
    </row>
    <row r="203" spans="1:7" ht="15.75" customHeight="1" thickBot="1" x14ac:dyDescent="0.4">
      <c r="A203" s="227" t="s">
        <v>5144</v>
      </c>
      <c r="B203" s="274" t="s">
        <v>5503</v>
      </c>
      <c r="C203" s="215">
        <v>7</v>
      </c>
      <c r="D203" s="213" t="s">
        <v>5834</v>
      </c>
      <c r="E203" s="215"/>
      <c r="F203" s="215"/>
      <c r="G203" s="215"/>
    </row>
    <row r="204" spans="1:7" ht="15.75" customHeight="1" thickBot="1" x14ac:dyDescent="0.4">
      <c r="A204" s="227" t="s">
        <v>5128</v>
      </c>
      <c r="B204" s="274" t="s">
        <v>783</v>
      </c>
      <c r="C204" s="215"/>
      <c r="D204" s="215" t="s">
        <v>5458</v>
      </c>
      <c r="E204" s="215" t="s">
        <v>5835</v>
      </c>
      <c r="F204" s="215">
        <v>5199010000</v>
      </c>
      <c r="G204" s="223">
        <f t="shared" ref="G204:G209" si="3">G82/2</f>
        <v>1000000</v>
      </c>
    </row>
    <row r="205" spans="1:7" ht="15.75" customHeight="1" thickBot="1" x14ac:dyDescent="0.4">
      <c r="A205" s="227" t="s">
        <v>5128</v>
      </c>
      <c r="B205" s="274" t="s">
        <v>783</v>
      </c>
      <c r="C205" s="215"/>
      <c r="D205" s="215" t="s">
        <v>5460</v>
      </c>
      <c r="E205" s="215" t="s">
        <v>5836</v>
      </c>
      <c r="F205" s="215">
        <v>5199020000</v>
      </c>
      <c r="G205" s="223">
        <f t="shared" si="3"/>
        <v>1000000</v>
      </c>
    </row>
    <row r="206" spans="1:7" ht="15.75" customHeight="1" thickBot="1" x14ac:dyDescent="0.4">
      <c r="A206" s="294" t="s">
        <v>5128</v>
      </c>
      <c r="B206" s="274" t="s">
        <v>783</v>
      </c>
      <c r="C206" s="290"/>
      <c r="D206" s="290" t="s">
        <v>5776</v>
      </c>
      <c r="E206" s="290" t="s">
        <v>5837</v>
      </c>
      <c r="F206" s="290">
        <v>5199030000</v>
      </c>
      <c r="G206" s="223">
        <f t="shared" si="3"/>
        <v>0</v>
      </c>
    </row>
    <row r="207" spans="1:7" ht="15.75" customHeight="1" thickBot="1" x14ac:dyDescent="0.4">
      <c r="A207" s="294" t="s">
        <v>5128</v>
      </c>
      <c r="B207" s="274" t="s">
        <v>783</v>
      </c>
      <c r="C207" s="290"/>
      <c r="D207" s="290" t="s">
        <v>5784</v>
      </c>
      <c r="E207" s="290" t="s">
        <v>5838</v>
      </c>
      <c r="F207" s="290">
        <v>5201020000</v>
      </c>
      <c r="G207" s="223">
        <f t="shared" si="3"/>
        <v>0</v>
      </c>
    </row>
    <row r="208" spans="1:7" ht="15.75" customHeight="1" thickBot="1" x14ac:dyDescent="0.4">
      <c r="A208" s="294" t="s">
        <v>5128</v>
      </c>
      <c r="B208" s="274" t="s">
        <v>783</v>
      </c>
      <c r="C208" s="290"/>
      <c r="D208" s="290" t="s">
        <v>5786</v>
      </c>
      <c r="E208" s="290" t="s">
        <v>5839</v>
      </c>
      <c r="F208" s="290">
        <v>5202020000</v>
      </c>
      <c r="G208" s="223">
        <f t="shared" si="3"/>
        <v>0</v>
      </c>
    </row>
    <row r="209" spans="1:7" ht="15.75" customHeight="1" thickBot="1" x14ac:dyDescent="0.4">
      <c r="A209" s="227" t="s">
        <v>5128</v>
      </c>
      <c r="B209" s="274" t="s">
        <v>783</v>
      </c>
      <c r="C209" s="215"/>
      <c r="D209" s="215" t="s">
        <v>5776</v>
      </c>
      <c r="E209" s="215" t="s">
        <v>331</v>
      </c>
      <c r="F209" s="215">
        <v>5199990000</v>
      </c>
      <c r="G209" s="223">
        <f t="shared" si="3"/>
        <v>1000000</v>
      </c>
    </row>
    <row r="210" spans="1:7" ht="15.75" customHeight="1" thickBot="1" x14ac:dyDescent="0.4">
      <c r="A210" s="227" t="s">
        <v>5128</v>
      </c>
      <c r="B210" s="274" t="s">
        <v>783</v>
      </c>
      <c r="C210" s="216" t="s">
        <v>5840</v>
      </c>
      <c r="D210" s="235"/>
      <c r="E210" s="215"/>
      <c r="F210" s="217">
        <v>3104040100</v>
      </c>
      <c r="G210" s="225">
        <f>G125-G158</f>
        <v>7075000</v>
      </c>
    </row>
    <row r="211" spans="1:7" ht="15.75" customHeight="1" thickBot="1" x14ac:dyDescent="0.4">
      <c r="A211" s="227" t="s">
        <v>5128</v>
      </c>
      <c r="B211" s="274" t="s">
        <v>783</v>
      </c>
      <c r="C211" s="216" t="s">
        <v>5841</v>
      </c>
      <c r="D211" s="235"/>
      <c r="E211" s="215"/>
      <c r="F211" s="217">
        <v>4200000000</v>
      </c>
      <c r="G211" s="225">
        <f>G213+G215+G216+G217+G218+G219</f>
        <v>15000000</v>
      </c>
    </row>
    <row r="212" spans="1:7" ht="15.75" customHeight="1" thickBot="1" x14ac:dyDescent="0.4">
      <c r="A212" s="227" t="s">
        <v>5144</v>
      </c>
      <c r="B212" s="274" t="s">
        <v>5503</v>
      </c>
      <c r="C212" s="215">
        <v>1</v>
      </c>
      <c r="D212" s="213" t="s">
        <v>5842</v>
      </c>
      <c r="E212" s="215"/>
      <c r="F212" s="215"/>
      <c r="G212" s="215"/>
    </row>
    <row r="213" spans="1:7" ht="15.75" customHeight="1" thickBot="1" x14ac:dyDescent="0.4">
      <c r="A213" s="227" t="s">
        <v>5128</v>
      </c>
      <c r="B213" s="274" t="s">
        <v>783</v>
      </c>
      <c r="C213" s="215"/>
      <c r="D213" s="215" t="s">
        <v>5458</v>
      </c>
      <c r="E213" s="215" t="s">
        <v>5447</v>
      </c>
      <c r="F213" s="215">
        <v>4201010000</v>
      </c>
      <c r="G213" s="223">
        <f>G91/2</f>
        <v>10000000</v>
      </c>
    </row>
    <row r="214" spans="1:7" ht="15.75" customHeight="1" thickBot="1" x14ac:dyDescent="0.4">
      <c r="A214" s="227" t="s">
        <v>5144</v>
      </c>
      <c r="B214" s="274" t="s">
        <v>5503</v>
      </c>
      <c r="C214" s="215">
        <v>2</v>
      </c>
      <c r="D214" s="213" t="s">
        <v>5843</v>
      </c>
      <c r="E214" s="215"/>
      <c r="F214" s="215"/>
      <c r="G214" s="215"/>
    </row>
    <row r="215" spans="1:7" ht="15.75" customHeight="1" thickBot="1" x14ac:dyDescent="0.4">
      <c r="A215" s="227" t="s">
        <v>5128</v>
      </c>
      <c r="B215" s="274" t="s">
        <v>783</v>
      </c>
      <c r="C215" s="215"/>
      <c r="D215" s="215" t="s">
        <v>5458</v>
      </c>
      <c r="E215" s="215" t="s">
        <v>5447</v>
      </c>
      <c r="F215" s="215">
        <v>4202010000</v>
      </c>
      <c r="G215" s="223">
        <f>G93/2</f>
        <v>1000000</v>
      </c>
    </row>
    <row r="216" spans="1:7" ht="15.75" customHeight="1" thickBot="1" x14ac:dyDescent="0.4">
      <c r="A216" s="294" t="s">
        <v>5128</v>
      </c>
      <c r="B216" s="274" t="s">
        <v>783</v>
      </c>
      <c r="C216" s="290"/>
      <c r="D216" s="290" t="s">
        <v>5460</v>
      </c>
      <c r="E216" s="290" t="s">
        <v>331</v>
      </c>
      <c r="F216" s="290">
        <v>4202030000</v>
      </c>
      <c r="G216" s="223">
        <f>G94/2</f>
        <v>1000000</v>
      </c>
    </row>
    <row r="217" spans="1:7" ht="15.75" customHeight="1" thickBot="1" x14ac:dyDescent="0.4">
      <c r="A217" s="227" t="s">
        <v>5128</v>
      </c>
      <c r="B217" s="274" t="s">
        <v>783</v>
      </c>
      <c r="C217" s="215">
        <v>4</v>
      </c>
      <c r="D217" s="213" t="s">
        <v>5844</v>
      </c>
      <c r="E217" s="215"/>
      <c r="F217" s="215">
        <v>4204000000</v>
      </c>
      <c r="G217" s="223">
        <f>G95/2</f>
        <v>1000000</v>
      </c>
    </row>
    <row r="218" spans="1:7" ht="15.75" customHeight="1" thickBot="1" x14ac:dyDescent="0.4">
      <c r="A218" s="227" t="s">
        <v>5128</v>
      </c>
      <c r="B218" s="274" t="s">
        <v>783</v>
      </c>
      <c r="C218" s="215">
        <v>5</v>
      </c>
      <c r="D218" s="213" t="s">
        <v>5845</v>
      </c>
      <c r="E218" s="215"/>
      <c r="F218" s="215">
        <v>4205000000</v>
      </c>
      <c r="G218" s="223">
        <f>G96/2</f>
        <v>1000000</v>
      </c>
    </row>
    <row r="219" spans="1:7" ht="15.75" customHeight="1" thickBot="1" x14ac:dyDescent="0.4">
      <c r="A219" s="227" t="s">
        <v>5128</v>
      </c>
      <c r="B219" s="274" t="s">
        <v>783</v>
      </c>
      <c r="C219" s="215">
        <v>6</v>
      </c>
      <c r="D219" s="213" t="s">
        <v>331</v>
      </c>
      <c r="E219" s="215"/>
      <c r="F219" s="215">
        <v>4299000000</v>
      </c>
      <c r="G219" s="223">
        <f>G97/2</f>
        <v>1000000</v>
      </c>
    </row>
    <row r="220" spans="1:7" ht="15.75" customHeight="1" thickBot="1" x14ac:dyDescent="0.4">
      <c r="A220" s="227" t="s">
        <v>5128</v>
      </c>
      <c r="B220" s="274" t="s">
        <v>783</v>
      </c>
      <c r="C220" s="216" t="s">
        <v>5846</v>
      </c>
      <c r="D220" s="235"/>
      <c r="E220" s="215"/>
      <c r="F220" s="217">
        <v>5200000000</v>
      </c>
      <c r="G220" s="225">
        <f>G222+G224+G226+G227+G228+G225</f>
        <v>5000000</v>
      </c>
    </row>
    <row r="221" spans="1:7" ht="15.75" customHeight="1" thickBot="1" x14ac:dyDescent="0.4">
      <c r="A221" s="227" t="s">
        <v>5144</v>
      </c>
      <c r="B221" s="274" t="s">
        <v>5503</v>
      </c>
      <c r="C221" s="215">
        <v>1</v>
      </c>
      <c r="D221" s="213" t="s">
        <v>5847</v>
      </c>
      <c r="E221" s="215"/>
      <c r="F221" s="215"/>
      <c r="G221" s="215"/>
    </row>
    <row r="222" spans="1:7" ht="15.75" customHeight="1" thickBot="1" x14ac:dyDescent="0.4">
      <c r="A222" s="227" t="s">
        <v>5128</v>
      </c>
      <c r="B222" s="274" t="s">
        <v>783</v>
      </c>
      <c r="C222" s="215"/>
      <c r="D222" s="215" t="s">
        <v>5458</v>
      </c>
      <c r="E222" s="215" t="s">
        <v>5447</v>
      </c>
      <c r="F222" s="215">
        <v>5201010000</v>
      </c>
      <c r="G222" s="223">
        <f>G100/2</f>
        <v>1000000</v>
      </c>
    </row>
    <row r="223" spans="1:7" ht="15.75" customHeight="1" thickBot="1" x14ac:dyDescent="0.4">
      <c r="A223" s="227" t="s">
        <v>5144</v>
      </c>
      <c r="B223" s="274" t="s">
        <v>5503</v>
      </c>
      <c r="C223" s="215">
        <v>2</v>
      </c>
      <c r="D223" s="213" t="s">
        <v>5848</v>
      </c>
      <c r="E223" s="215"/>
      <c r="F223" s="215"/>
      <c r="G223" s="215"/>
    </row>
    <row r="224" spans="1:7" ht="15.75" customHeight="1" thickBot="1" x14ac:dyDescent="0.4">
      <c r="A224" s="227" t="s">
        <v>5128</v>
      </c>
      <c r="B224" s="274" t="s">
        <v>783</v>
      </c>
      <c r="C224" s="215"/>
      <c r="D224" s="215" t="s">
        <v>5458</v>
      </c>
      <c r="E224" s="215" t="s">
        <v>5447</v>
      </c>
      <c r="F224" s="215">
        <v>5202010000</v>
      </c>
      <c r="G224" s="223">
        <f>G102/2</f>
        <v>1000000</v>
      </c>
    </row>
    <row r="225" spans="1:7" ht="15.75" customHeight="1" thickBot="1" x14ac:dyDescent="0.4">
      <c r="A225" s="294" t="s">
        <v>5128</v>
      </c>
      <c r="B225" s="274" t="s">
        <v>783</v>
      </c>
      <c r="C225" s="290"/>
      <c r="D225" s="290" t="s">
        <v>5460</v>
      </c>
      <c r="E225" s="290" t="s">
        <v>331</v>
      </c>
      <c r="F225" s="290">
        <v>5202030000</v>
      </c>
      <c r="G225" s="223">
        <f>G103/2</f>
        <v>1000000</v>
      </c>
    </row>
    <row r="226" spans="1:7" ht="15.75" customHeight="1" thickBot="1" x14ac:dyDescent="0.4">
      <c r="A226" s="227" t="s">
        <v>5128</v>
      </c>
      <c r="B226" s="274" t="s">
        <v>783</v>
      </c>
      <c r="C226" s="215">
        <v>3</v>
      </c>
      <c r="D226" s="213" t="s">
        <v>5844</v>
      </c>
      <c r="E226" s="215"/>
      <c r="F226" s="215">
        <v>5203000000</v>
      </c>
      <c r="G226" s="223">
        <f>G104/2</f>
        <v>0</v>
      </c>
    </row>
    <row r="227" spans="1:7" ht="15.75" customHeight="1" thickBot="1" x14ac:dyDescent="0.4">
      <c r="A227" s="227" t="s">
        <v>5128</v>
      </c>
      <c r="B227" s="274" t="s">
        <v>783</v>
      </c>
      <c r="C227" s="215">
        <v>4</v>
      </c>
      <c r="D227" s="213" t="s">
        <v>5849</v>
      </c>
      <c r="E227" s="215"/>
      <c r="F227" s="215">
        <v>5204000000</v>
      </c>
      <c r="G227" s="223">
        <f>G105/2</f>
        <v>1000000</v>
      </c>
    </row>
    <row r="228" spans="1:7" ht="15.75" customHeight="1" thickBot="1" x14ac:dyDescent="0.4">
      <c r="A228" s="227" t="s">
        <v>5128</v>
      </c>
      <c r="B228" s="274" t="s">
        <v>783</v>
      </c>
      <c r="C228" s="215">
        <v>5</v>
      </c>
      <c r="D228" s="213" t="s">
        <v>331</v>
      </c>
      <c r="E228" s="215"/>
      <c r="F228" s="215">
        <v>5299000000</v>
      </c>
      <c r="G228" s="223">
        <f>G106/2</f>
        <v>1000000</v>
      </c>
    </row>
    <row r="229" spans="1:7" ht="15.75" customHeight="1" thickBot="1" x14ac:dyDescent="0.4">
      <c r="A229" s="227" t="s">
        <v>5128</v>
      </c>
      <c r="B229" s="274" t="s">
        <v>783</v>
      </c>
      <c r="C229" s="216" t="s">
        <v>5850</v>
      </c>
      <c r="D229" s="235"/>
      <c r="E229" s="215"/>
      <c r="F229" s="217">
        <v>3104040200</v>
      </c>
      <c r="G229" s="225">
        <f>G211-G220</f>
        <v>10000000</v>
      </c>
    </row>
    <row r="230" spans="1:7" ht="15.75" customHeight="1" thickBot="1" x14ac:dyDescent="0.4">
      <c r="A230" s="227" t="s">
        <v>5128</v>
      </c>
      <c r="B230" s="274" t="s">
        <v>783</v>
      </c>
      <c r="C230" s="216" t="s">
        <v>5851</v>
      </c>
      <c r="D230" s="235"/>
      <c r="E230" s="215"/>
      <c r="F230" s="217">
        <v>3104040300</v>
      </c>
      <c r="G230" s="225">
        <f>G210+G229</f>
        <v>17075000</v>
      </c>
    </row>
    <row r="231" spans="1:7" ht="15.75" customHeight="1" thickBot="1" x14ac:dyDescent="0.4">
      <c r="A231" s="227" t="s">
        <v>5128</v>
      </c>
      <c r="B231" s="274" t="s">
        <v>783</v>
      </c>
      <c r="C231" s="213" t="s">
        <v>5852</v>
      </c>
      <c r="D231" s="235"/>
      <c r="E231" s="215"/>
      <c r="F231" s="215">
        <v>5300000000</v>
      </c>
      <c r="G231" s="223">
        <f>G109/2</f>
        <v>1000000</v>
      </c>
    </row>
    <row r="232" spans="1:7" ht="15.75" customHeight="1" thickBot="1" x14ac:dyDescent="0.4">
      <c r="A232" s="227" t="s">
        <v>5128</v>
      </c>
      <c r="B232" s="274" t="s">
        <v>783</v>
      </c>
      <c r="C232" s="213" t="s">
        <v>5853</v>
      </c>
      <c r="D232" s="235"/>
      <c r="E232" s="215"/>
      <c r="F232" s="215">
        <v>4400000000</v>
      </c>
      <c r="G232" s="223">
        <f>G110/2</f>
        <v>1000000</v>
      </c>
    </row>
    <row r="233" spans="1:7" ht="15.75" customHeight="1" thickBot="1" x14ac:dyDescent="0.4">
      <c r="A233" s="227" t="s">
        <v>5128</v>
      </c>
      <c r="B233" s="274" t="s">
        <v>783</v>
      </c>
      <c r="C233" s="213" t="s">
        <v>5854</v>
      </c>
      <c r="D233" s="235"/>
      <c r="E233" s="215"/>
      <c r="F233" s="215">
        <v>5400000000</v>
      </c>
      <c r="G233" s="223">
        <f>G111/2</f>
        <v>1000000</v>
      </c>
    </row>
    <row r="234" spans="1:7" ht="15.75" customHeight="1" thickBot="1" x14ac:dyDescent="0.4">
      <c r="A234" s="227" t="s">
        <v>5128</v>
      </c>
      <c r="B234" s="274" t="s">
        <v>783</v>
      </c>
      <c r="C234" s="216" t="s">
        <v>5855</v>
      </c>
      <c r="D234" s="235"/>
      <c r="E234" s="215"/>
      <c r="F234" s="217">
        <v>3104040400</v>
      </c>
      <c r="G234" s="225">
        <f>G230-G231+G232-G233</f>
        <v>16075000</v>
      </c>
    </row>
    <row r="235" spans="1:7" ht="15.75" customHeight="1" thickBot="1" x14ac:dyDescent="0.4">
      <c r="A235" s="227" t="s">
        <v>5144</v>
      </c>
      <c r="B235" s="274" t="s">
        <v>5503</v>
      </c>
      <c r="C235" s="213" t="s">
        <v>5856</v>
      </c>
      <c r="D235" s="235"/>
      <c r="E235" s="215"/>
      <c r="F235" s="215"/>
      <c r="G235" s="215"/>
    </row>
    <row r="236" spans="1:7" ht="15.75" customHeight="1" thickBot="1" x14ac:dyDescent="0.4">
      <c r="A236" s="227" t="s">
        <v>5144</v>
      </c>
      <c r="B236" s="274" t="s">
        <v>5503</v>
      </c>
      <c r="C236" s="215">
        <v>1</v>
      </c>
      <c r="D236" s="213" t="s">
        <v>5857</v>
      </c>
      <c r="E236" s="215"/>
      <c r="F236" s="215"/>
      <c r="G236" s="215"/>
    </row>
    <row r="237" spans="1:7" ht="15.75" customHeight="1" thickBot="1" x14ac:dyDescent="0.4">
      <c r="A237" s="227" t="s">
        <v>5128</v>
      </c>
      <c r="B237" s="274" t="s">
        <v>783</v>
      </c>
      <c r="C237" s="215"/>
      <c r="D237" s="215" t="s">
        <v>5146</v>
      </c>
      <c r="E237" s="215" t="s">
        <v>5474</v>
      </c>
      <c r="F237" s="215">
        <v>7101010000</v>
      </c>
      <c r="G237" s="223">
        <f>G115/2</f>
        <v>1000000</v>
      </c>
    </row>
    <row r="238" spans="1:7" ht="15.75" customHeight="1" thickBot="1" x14ac:dyDescent="0.4">
      <c r="A238" s="227" t="s">
        <v>5128</v>
      </c>
      <c r="B238" s="274" t="s">
        <v>783</v>
      </c>
      <c r="C238" s="215"/>
      <c r="D238" s="215" t="s">
        <v>5149</v>
      </c>
      <c r="E238" s="215" t="s">
        <v>331</v>
      </c>
      <c r="F238" s="215">
        <v>7101990000</v>
      </c>
      <c r="G238" s="223">
        <f>G116/2</f>
        <v>1000000</v>
      </c>
    </row>
    <row r="239" spans="1:7" ht="15.75" customHeight="1" thickBot="1" x14ac:dyDescent="0.4">
      <c r="A239" s="227" t="s">
        <v>5128</v>
      </c>
      <c r="B239" s="274" t="s">
        <v>783</v>
      </c>
      <c r="C239" s="215"/>
      <c r="D239" s="215" t="s">
        <v>5152</v>
      </c>
      <c r="E239" s="215" t="s">
        <v>5858</v>
      </c>
      <c r="F239" s="215">
        <v>7101980000</v>
      </c>
      <c r="G239" s="223">
        <f>G117/2</f>
        <v>1000000</v>
      </c>
    </row>
    <row r="240" spans="1:7" ht="15.75" customHeight="1" thickBot="1" x14ac:dyDescent="0.4">
      <c r="A240" s="227" t="s">
        <v>5144</v>
      </c>
      <c r="B240" s="274" t="s">
        <v>5503</v>
      </c>
      <c r="C240" s="215">
        <v>2</v>
      </c>
      <c r="D240" s="213" t="s">
        <v>5859</v>
      </c>
      <c r="E240" s="215"/>
      <c r="F240" s="215"/>
      <c r="G240" s="215"/>
    </row>
    <row r="241" spans="1:7" ht="15.75" customHeight="1" thickBot="1" x14ac:dyDescent="0.4">
      <c r="A241" s="227" t="s">
        <v>5128</v>
      </c>
      <c r="B241" s="274" t="s">
        <v>783</v>
      </c>
      <c r="C241" s="214"/>
      <c r="D241" s="214" t="s">
        <v>5146</v>
      </c>
      <c r="E241" s="214" t="s">
        <v>5860</v>
      </c>
      <c r="F241" s="214">
        <v>7102010000</v>
      </c>
      <c r="G241" s="223">
        <f>G119/2</f>
        <v>1000000</v>
      </c>
    </row>
    <row r="242" spans="1:7" ht="15.75" customHeight="1" thickBot="1" x14ac:dyDescent="0.4">
      <c r="A242" s="227" t="s">
        <v>5128</v>
      </c>
      <c r="B242" s="274" t="s">
        <v>783</v>
      </c>
      <c r="C242" s="215"/>
      <c r="D242" s="215" t="s">
        <v>5149</v>
      </c>
      <c r="E242" s="215" t="s">
        <v>331</v>
      </c>
      <c r="F242" s="214">
        <v>7102990000</v>
      </c>
      <c r="G242" s="223">
        <f>G120/2</f>
        <v>1000000</v>
      </c>
    </row>
    <row r="243" spans="1:7" ht="15.75" customHeight="1" thickBot="1" x14ac:dyDescent="0.4">
      <c r="A243" s="227" t="s">
        <v>5128</v>
      </c>
      <c r="B243" s="274" t="s">
        <v>783</v>
      </c>
      <c r="C243" s="215"/>
      <c r="D243" s="215" t="s">
        <v>5152</v>
      </c>
      <c r="E243" s="215" t="s">
        <v>5858</v>
      </c>
      <c r="F243" s="214">
        <v>7102980000</v>
      </c>
      <c r="G243" s="223">
        <f>G121/2</f>
        <v>1000000</v>
      </c>
    </row>
    <row r="244" spans="1:7" ht="15.75" customHeight="1" thickBot="1" x14ac:dyDescent="0.4">
      <c r="A244" s="227" t="s">
        <v>5128</v>
      </c>
      <c r="B244" s="274" t="s">
        <v>783</v>
      </c>
      <c r="C244" s="213" t="s">
        <v>5861</v>
      </c>
      <c r="D244" s="235"/>
      <c r="E244" s="215"/>
      <c r="F244" s="215">
        <v>3104040500</v>
      </c>
      <c r="G244" s="223">
        <f>G122/2</f>
        <v>1000000</v>
      </c>
    </row>
    <row r="245" spans="1:7" ht="15.75" customHeight="1" thickBot="1" x14ac:dyDescent="0.4">
      <c r="A245" s="227" t="s">
        <v>5128</v>
      </c>
      <c r="B245" s="274" t="s">
        <v>783</v>
      </c>
      <c r="C245" s="334" t="s">
        <v>6088</v>
      </c>
      <c r="D245" s="235"/>
      <c r="E245" s="215"/>
      <c r="F245" s="215">
        <v>3104040600</v>
      </c>
      <c r="G245" s="223">
        <f>G123/2</f>
        <v>1000000</v>
      </c>
    </row>
    <row r="246" spans="1:7" ht="29.5" thickBot="1" x14ac:dyDescent="0.4">
      <c r="A246" s="264" t="s">
        <v>5125</v>
      </c>
      <c r="B246" s="270" t="s">
        <v>5232</v>
      </c>
      <c r="C246" s="419" t="s">
        <v>5764</v>
      </c>
      <c r="D246" s="421"/>
      <c r="E246" s="420"/>
      <c r="F246" s="218" t="s">
        <v>2</v>
      </c>
      <c r="G246" s="218" t="s">
        <v>5265</v>
      </c>
    </row>
    <row r="247" spans="1:7" ht="15.75" customHeight="1" thickBot="1" x14ac:dyDescent="0.4">
      <c r="A247" s="222" t="s">
        <v>5128</v>
      </c>
      <c r="B247" s="274" t="s">
        <v>30</v>
      </c>
      <c r="C247" s="208" t="s">
        <v>5765</v>
      </c>
      <c r="D247" s="233"/>
      <c r="E247" s="204"/>
      <c r="F247" s="209">
        <v>4100000000</v>
      </c>
      <c r="G247" s="225">
        <f>G250+G252+G253+G254+G255+G257+G258+G260+G261-G263-G265-G266-G267+G269+G270+G271+G272+G273+G279+G274+G275+G276+G277+G278</f>
        <v>38075000</v>
      </c>
    </row>
    <row r="248" spans="1:7" ht="15.75" customHeight="1" thickBot="1" x14ac:dyDescent="0.4">
      <c r="A248" s="222" t="s">
        <v>5144</v>
      </c>
      <c r="B248" s="274" t="s">
        <v>5503</v>
      </c>
      <c r="C248" s="204">
        <v>1</v>
      </c>
      <c r="D248" s="202" t="s">
        <v>5766</v>
      </c>
      <c r="E248" s="204"/>
      <c r="F248" s="204"/>
      <c r="G248" s="204"/>
    </row>
    <row r="249" spans="1:7" ht="15.75" customHeight="1" thickBot="1" x14ac:dyDescent="0.4">
      <c r="A249" s="222" t="s">
        <v>5144</v>
      </c>
      <c r="B249" s="274" t="s">
        <v>5503</v>
      </c>
      <c r="C249" s="204"/>
      <c r="D249" s="204" t="s">
        <v>5458</v>
      </c>
      <c r="E249" s="204" t="s">
        <v>5767</v>
      </c>
      <c r="F249" s="204"/>
      <c r="G249" s="204"/>
    </row>
    <row r="250" spans="1:7" ht="15.75" customHeight="1" thickBot="1" x14ac:dyDescent="0.4">
      <c r="A250" s="222" t="s">
        <v>5128</v>
      </c>
      <c r="B250" s="274" t="s">
        <v>30</v>
      </c>
      <c r="C250" s="204"/>
      <c r="D250" s="204"/>
      <c r="E250" s="204" t="s">
        <v>5768</v>
      </c>
      <c r="F250" s="204">
        <v>4101010100</v>
      </c>
      <c r="G250" s="223">
        <f>G128</f>
        <v>1000000</v>
      </c>
    </row>
    <row r="251" spans="1:7" ht="15.75" customHeight="1" thickBot="1" x14ac:dyDescent="0.4">
      <c r="A251" s="222" t="s">
        <v>5144</v>
      </c>
      <c r="B251" s="274" t="s">
        <v>5503</v>
      </c>
      <c r="C251" s="204"/>
      <c r="D251" s="204"/>
      <c r="E251" s="204" t="s">
        <v>5769</v>
      </c>
      <c r="F251" s="204"/>
      <c r="G251" s="204"/>
    </row>
    <row r="252" spans="1:7" ht="15.75" customHeight="1" thickBot="1" x14ac:dyDescent="0.4">
      <c r="A252" s="222" t="s">
        <v>5128</v>
      </c>
      <c r="B252" s="274" t="s">
        <v>30</v>
      </c>
      <c r="C252" s="204"/>
      <c r="D252" s="204"/>
      <c r="E252" s="204" t="s">
        <v>2287</v>
      </c>
      <c r="F252" s="204">
        <v>4101010201</v>
      </c>
      <c r="G252" s="223">
        <f t="shared" ref="G252:G255" si="4">G130</f>
        <v>1000000</v>
      </c>
    </row>
    <row r="253" spans="1:7" ht="15.75" customHeight="1" thickBot="1" x14ac:dyDescent="0.4">
      <c r="A253" s="222" t="s">
        <v>5128</v>
      </c>
      <c r="B253" s="274" t="s">
        <v>30</v>
      </c>
      <c r="C253" s="204"/>
      <c r="D253" s="204"/>
      <c r="E253" s="204" t="s">
        <v>2635</v>
      </c>
      <c r="F253" s="204">
        <v>4101010202</v>
      </c>
      <c r="G253" s="223">
        <f t="shared" si="4"/>
        <v>10000000</v>
      </c>
    </row>
    <row r="254" spans="1:7" ht="15.75" customHeight="1" thickBot="1" x14ac:dyDescent="0.4">
      <c r="A254" s="222" t="s">
        <v>5128</v>
      </c>
      <c r="B254" s="274" t="s">
        <v>30</v>
      </c>
      <c r="C254" s="204"/>
      <c r="D254" s="204"/>
      <c r="E254" s="204" t="s">
        <v>2638</v>
      </c>
      <c r="F254" s="204">
        <v>4101010203</v>
      </c>
      <c r="G254" s="223">
        <f t="shared" si="4"/>
        <v>10000000</v>
      </c>
    </row>
    <row r="255" spans="1:7" ht="15.75" customHeight="1" thickBot="1" x14ac:dyDescent="0.4">
      <c r="A255" s="222" t="s">
        <v>5128</v>
      </c>
      <c r="B255" s="274" t="s">
        <v>30</v>
      </c>
      <c r="C255" s="204"/>
      <c r="D255" s="204"/>
      <c r="E255" s="204" t="s">
        <v>2302</v>
      </c>
      <c r="F255" s="204">
        <v>4101010204</v>
      </c>
      <c r="G255" s="223">
        <f t="shared" si="4"/>
        <v>10000000</v>
      </c>
    </row>
    <row r="256" spans="1:7" ht="15.75" customHeight="1" thickBot="1" x14ac:dyDescent="0.4">
      <c r="A256" s="222" t="s">
        <v>5144</v>
      </c>
      <c r="B256" s="274" t="s">
        <v>5503</v>
      </c>
      <c r="C256" s="204"/>
      <c r="D256" s="204"/>
      <c r="E256" s="204" t="s">
        <v>5770</v>
      </c>
      <c r="F256" s="204"/>
      <c r="G256" s="204"/>
    </row>
    <row r="257" spans="1:7" ht="15.75" customHeight="1" thickBot="1" x14ac:dyDescent="0.4">
      <c r="A257" s="222" t="s">
        <v>5128</v>
      </c>
      <c r="B257" s="274" t="s">
        <v>30</v>
      </c>
      <c r="C257" s="204"/>
      <c r="D257" s="204"/>
      <c r="E257" s="204" t="s">
        <v>5771</v>
      </c>
      <c r="F257" s="204">
        <v>4101010301</v>
      </c>
      <c r="G257" s="223">
        <f>G135</f>
        <v>1000000</v>
      </c>
    </row>
    <row r="258" spans="1:7" ht="15.75" customHeight="1" thickBot="1" x14ac:dyDescent="0.4">
      <c r="A258" s="222" t="s">
        <v>5128</v>
      </c>
      <c r="B258" s="274" t="s">
        <v>30</v>
      </c>
      <c r="C258" s="204"/>
      <c r="D258" s="204"/>
      <c r="E258" s="204" t="s">
        <v>5772</v>
      </c>
      <c r="F258" s="204">
        <v>4101010302</v>
      </c>
      <c r="G258" s="223">
        <f>G136</f>
        <v>1000000</v>
      </c>
    </row>
    <row r="259" spans="1:7" ht="15.75" customHeight="1" thickBot="1" x14ac:dyDescent="0.4">
      <c r="A259" s="222" t="s">
        <v>5144</v>
      </c>
      <c r="B259" s="274" t="s">
        <v>5503</v>
      </c>
      <c r="C259" s="204"/>
      <c r="D259" s="204" t="s">
        <v>5460</v>
      </c>
      <c r="E259" s="204" t="s">
        <v>5773</v>
      </c>
      <c r="F259" s="204"/>
      <c r="G259" s="204"/>
    </row>
    <row r="260" spans="1:7" ht="15.75" customHeight="1" thickBot="1" x14ac:dyDescent="0.4">
      <c r="A260" s="222" t="s">
        <v>5128</v>
      </c>
      <c r="B260" s="274" t="s">
        <v>30</v>
      </c>
      <c r="C260" s="204"/>
      <c r="D260" s="204"/>
      <c r="E260" s="204" t="s">
        <v>5774</v>
      </c>
      <c r="F260" s="204">
        <v>4101020100</v>
      </c>
      <c r="G260" s="223">
        <f>G138</f>
        <v>1000000</v>
      </c>
    </row>
    <row r="261" spans="1:7" ht="15.75" customHeight="1" thickBot="1" x14ac:dyDescent="0.4">
      <c r="A261" s="222" t="s">
        <v>5128</v>
      </c>
      <c r="B261" s="274" t="s">
        <v>30</v>
      </c>
      <c r="C261" s="204"/>
      <c r="D261" s="204"/>
      <c r="E261" s="204" t="s">
        <v>5775</v>
      </c>
      <c r="F261" s="204">
        <v>4101020200</v>
      </c>
      <c r="G261" s="223">
        <f>G139</f>
        <v>1000000</v>
      </c>
    </row>
    <row r="262" spans="1:7" ht="15.75" customHeight="1" thickBot="1" x14ac:dyDescent="0.4">
      <c r="A262" s="222" t="s">
        <v>5144</v>
      </c>
      <c r="B262" s="274" t="s">
        <v>5503</v>
      </c>
      <c r="C262" s="204"/>
      <c r="D262" s="204" t="s">
        <v>5776</v>
      </c>
      <c r="E262" s="204" t="s">
        <v>5777</v>
      </c>
      <c r="F262" s="204"/>
      <c r="G262" s="204"/>
    </row>
    <row r="263" spans="1:7" ht="15.75" customHeight="1" thickBot="1" x14ac:dyDescent="0.4">
      <c r="A263" s="222" t="s">
        <v>5128</v>
      </c>
      <c r="B263" s="274" t="s">
        <v>30</v>
      </c>
      <c r="C263" s="204"/>
      <c r="D263" s="204"/>
      <c r="E263" s="204" t="s">
        <v>5768</v>
      </c>
      <c r="F263" s="204">
        <v>4101030100</v>
      </c>
      <c r="G263" s="223">
        <f>G141</f>
        <v>1000000</v>
      </c>
    </row>
    <row r="264" spans="1:7" ht="15.75" customHeight="1" thickBot="1" x14ac:dyDescent="0.4">
      <c r="A264" s="222" t="s">
        <v>5144</v>
      </c>
      <c r="B264" s="274" t="s">
        <v>5503</v>
      </c>
      <c r="C264" s="204"/>
      <c r="D264" s="204"/>
      <c r="E264" s="204" t="s">
        <v>5778</v>
      </c>
      <c r="F264" s="204"/>
      <c r="G264" s="204"/>
    </row>
    <row r="265" spans="1:7" ht="15.75" customHeight="1" thickBot="1" x14ac:dyDescent="0.4">
      <c r="A265" s="222" t="s">
        <v>5128</v>
      </c>
      <c r="B265" s="274" t="s">
        <v>30</v>
      </c>
      <c r="C265" s="204"/>
      <c r="D265" s="204"/>
      <c r="E265" s="204" t="s">
        <v>5771</v>
      </c>
      <c r="F265" s="204">
        <v>4101030201</v>
      </c>
      <c r="G265" s="223">
        <f t="shared" ref="G265:G267" si="5">G143</f>
        <v>1000000</v>
      </c>
    </row>
    <row r="266" spans="1:7" ht="15.75" customHeight="1" thickBot="1" x14ac:dyDescent="0.4">
      <c r="A266" s="222" t="s">
        <v>5128</v>
      </c>
      <c r="B266" s="274" t="s">
        <v>30</v>
      </c>
      <c r="C266" s="204"/>
      <c r="D266" s="204"/>
      <c r="E266" s="204" t="s">
        <v>5772</v>
      </c>
      <c r="F266" s="204">
        <v>4101030202</v>
      </c>
      <c r="G266" s="223">
        <f t="shared" si="5"/>
        <v>1000000</v>
      </c>
    </row>
    <row r="267" spans="1:7" ht="15.75" customHeight="1" thickBot="1" x14ac:dyDescent="0.4">
      <c r="A267" s="222" t="s">
        <v>5128</v>
      </c>
      <c r="B267" s="274" t="s">
        <v>30</v>
      </c>
      <c r="C267" s="204"/>
      <c r="D267" s="204" t="s">
        <v>5164</v>
      </c>
      <c r="E267" s="204" t="s">
        <v>5779</v>
      </c>
      <c r="F267" s="204">
        <v>4101040000</v>
      </c>
      <c r="G267" s="223">
        <f t="shared" si="5"/>
        <v>1000000</v>
      </c>
    </row>
    <row r="268" spans="1:7" ht="15.75" customHeight="1" thickBot="1" x14ac:dyDescent="0.4">
      <c r="A268" s="222" t="s">
        <v>5144</v>
      </c>
      <c r="B268" s="274" t="s">
        <v>5503</v>
      </c>
      <c r="C268" s="204">
        <v>2</v>
      </c>
      <c r="D268" s="202" t="s">
        <v>5780</v>
      </c>
      <c r="E268" s="204"/>
      <c r="F268" s="204"/>
      <c r="G268" s="204"/>
    </row>
    <row r="269" spans="1:7" ht="15.75" customHeight="1" thickBot="1" x14ac:dyDescent="0.4">
      <c r="A269" s="222" t="s">
        <v>5128</v>
      </c>
      <c r="B269" s="274" t="s">
        <v>30</v>
      </c>
      <c r="C269" s="204"/>
      <c r="D269" s="204" t="s">
        <v>5458</v>
      </c>
      <c r="E269" s="204" t="s">
        <v>5781</v>
      </c>
      <c r="F269" s="204">
        <v>4102010000</v>
      </c>
      <c r="G269" s="223">
        <f>G147</f>
        <v>1000000</v>
      </c>
    </row>
    <row r="270" spans="1:7" ht="15.75" customHeight="1" thickBot="1" x14ac:dyDescent="0.4">
      <c r="A270" s="222" t="s">
        <v>5128</v>
      </c>
      <c r="B270" s="274" t="s">
        <v>30</v>
      </c>
      <c r="C270" s="204"/>
      <c r="D270" s="204" t="s">
        <v>5460</v>
      </c>
      <c r="E270" s="204" t="s">
        <v>5782</v>
      </c>
      <c r="F270" s="204">
        <v>4102020000</v>
      </c>
      <c r="G270" s="223">
        <f t="shared" ref="G270:G279" si="6">G148</f>
        <v>1000000</v>
      </c>
    </row>
    <row r="271" spans="1:7" ht="15.75" customHeight="1" thickBot="1" x14ac:dyDescent="0.4">
      <c r="A271" s="222" t="s">
        <v>5128</v>
      </c>
      <c r="B271" s="274" t="s">
        <v>30</v>
      </c>
      <c r="C271" s="204"/>
      <c r="D271" s="204" t="s">
        <v>5776</v>
      </c>
      <c r="E271" s="204" t="s">
        <v>5783</v>
      </c>
      <c r="F271" s="204">
        <v>4102030000</v>
      </c>
      <c r="G271" s="223">
        <f t="shared" si="6"/>
        <v>1000000</v>
      </c>
    </row>
    <row r="272" spans="1:7" ht="15.75" customHeight="1" thickBot="1" x14ac:dyDescent="0.4">
      <c r="A272" s="222" t="s">
        <v>5128</v>
      </c>
      <c r="B272" s="274" t="s">
        <v>30</v>
      </c>
      <c r="C272" s="204"/>
      <c r="D272" s="204" t="s">
        <v>5784</v>
      </c>
      <c r="E272" s="204" t="s">
        <v>5785</v>
      </c>
      <c r="F272" s="204">
        <v>4102040000</v>
      </c>
      <c r="G272" s="223">
        <f t="shared" si="6"/>
        <v>1000000</v>
      </c>
    </row>
    <row r="273" spans="1:7" ht="15.75" customHeight="1" thickBot="1" x14ac:dyDescent="0.4">
      <c r="A273" s="222" t="s">
        <v>5128</v>
      </c>
      <c r="B273" s="274" t="s">
        <v>30</v>
      </c>
      <c r="C273" s="204"/>
      <c r="D273" s="204" t="s">
        <v>5786</v>
      </c>
      <c r="E273" s="204" t="s">
        <v>5862</v>
      </c>
      <c r="F273" s="204">
        <v>4102050000</v>
      </c>
      <c r="G273" s="223">
        <f t="shared" si="6"/>
        <v>1000000</v>
      </c>
    </row>
    <row r="274" spans="1:7" ht="15.75" customHeight="1" thickBot="1" x14ac:dyDescent="0.4">
      <c r="A274" s="291" t="s">
        <v>5128</v>
      </c>
      <c r="B274" s="274" t="s">
        <v>30</v>
      </c>
      <c r="C274" s="293"/>
      <c r="D274" s="293" t="s">
        <v>5787</v>
      </c>
      <c r="E274" s="293" t="s">
        <v>5398</v>
      </c>
      <c r="F274" s="293">
        <v>4102060000</v>
      </c>
      <c r="G274" s="223">
        <f t="shared" si="6"/>
        <v>5000</v>
      </c>
    </row>
    <row r="275" spans="1:7" ht="15.75" customHeight="1" thickBot="1" x14ac:dyDescent="0.4">
      <c r="A275" s="291" t="s">
        <v>5128</v>
      </c>
      <c r="B275" s="274" t="s">
        <v>30</v>
      </c>
      <c r="C275" s="293"/>
      <c r="D275" s="293" t="s">
        <v>5788</v>
      </c>
      <c r="E275" s="293" t="s">
        <v>5789</v>
      </c>
      <c r="F275" s="293">
        <v>4102070000</v>
      </c>
      <c r="G275" s="223">
        <f t="shared" si="6"/>
        <v>10000</v>
      </c>
    </row>
    <row r="276" spans="1:7" ht="15.75" customHeight="1" thickBot="1" x14ac:dyDescent="0.4">
      <c r="A276" s="291" t="s">
        <v>5128</v>
      </c>
      <c r="B276" s="274" t="s">
        <v>30</v>
      </c>
      <c r="C276" s="293"/>
      <c r="D276" s="293" t="s">
        <v>5790</v>
      </c>
      <c r="E276" s="293" t="s">
        <v>5791</v>
      </c>
      <c r="F276" s="293">
        <v>4201020000</v>
      </c>
      <c r="G276" s="223">
        <f t="shared" si="6"/>
        <v>15000</v>
      </c>
    </row>
    <row r="277" spans="1:7" ht="15.75" customHeight="1" thickBot="1" x14ac:dyDescent="0.4">
      <c r="A277" s="291" t="s">
        <v>5128</v>
      </c>
      <c r="B277" s="274" t="s">
        <v>30</v>
      </c>
      <c r="C277" s="293"/>
      <c r="D277" s="293" t="s">
        <v>5792</v>
      </c>
      <c r="E277" s="293" t="s">
        <v>5793</v>
      </c>
      <c r="F277" s="293">
        <v>4203000000</v>
      </c>
      <c r="G277" s="223">
        <f t="shared" si="6"/>
        <v>20000</v>
      </c>
    </row>
    <row r="278" spans="1:7" ht="15.75" customHeight="1" thickBot="1" x14ac:dyDescent="0.4">
      <c r="A278" s="291" t="s">
        <v>5128</v>
      </c>
      <c r="B278" s="274" t="s">
        <v>30</v>
      </c>
      <c r="C278" s="293"/>
      <c r="D278" s="293" t="s">
        <v>5794</v>
      </c>
      <c r="E278" s="293" t="s">
        <v>5795</v>
      </c>
      <c r="F278" s="293">
        <v>4202020000</v>
      </c>
      <c r="G278" s="223">
        <f t="shared" si="6"/>
        <v>25000</v>
      </c>
    </row>
    <row r="279" spans="1:7" ht="15.75" customHeight="1" thickBot="1" x14ac:dyDescent="0.4">
      <c r="A279" s="222" t="s">
        <v>5128</v>
      </c>
      <c r="B279" s="274" t="s">
        <v>30</v>
      </c>
      <c r="C279" s="204"/>
      <c r="D279" s="336" t="s">
        <v>5832</v>
      </c>
      <c r="E279" s="204" t="s">
        <v>331</v>
      </c>
      <c r="F279" s="204">
        <v>4102990000</v>
      </c>
      <c r="G279" s="223">
        <f t="shared" si="6"/>
        <v>1000000</v>
      </c>
    </row>
    <row r="280" spans="1:7" ht="15.75" customHeight="1" thickBot="1" x14ac:dyDescent="0.4">
      <c r="A280" s="222" t="s">
        <v>5128</v>
      </c>
      <c r="B280" s="274" t="s">
        <v>30</v>
      </c>
      <c r="C280" s="208" t="s">
        <v>5796</v>
      </c>
      <c r="D280" s="233"/>
      <c r="E280" s="204"/>
      <c r="F280" s="209">
        <v>5100000000</v>
      </c>
      <c r="G280" s="225">
        <f>G283+G284+G285+G287+G288+G289+G290+G291+G293+G294+G295+G297+G298+G300+G301+G302+G303+G304+G305+G308+G309+G310+G311+G313+G314+G315+G316+G317+G318+G319+G320+G322+G323+G324+G326+G327+G328+G329+G330+G331</f>
        <v>31000000</v>
      </c>
    </row>
    <row r="281" spans="1:7" ht="15.75" customHeight="1" thickBot="1" x14ac:dyDescent="0.4">
      <c r="A281" s="222" t="s">
        <v>5144</v>
      </c>
      <c r="B281" s="274" t="s">
        <v>5503</v>
      </c>
      <c r="C281" s="204">
        <v>1</v>
      </c>
      <c r="D281" s="202" t="s">
        <v>5797</v>
      </c>
      <c r="E281" s="204"/>
      <c r="F281" s="204"/>
      <c r="G281" s="204"/>
    </row>
    <row r="282" spans="1:7" ht="15.75" customHeight="1" thickBot="1" x14ac:dyDescent="0.4">
      <c r="A282" s="222" t="s">
        <v>5144</v>
      </c>
      <c r="B282" s="274" t="s">
        <v>5503</v>
      </c>
      <c r="C282" s="204"/>
      <c r="D282" s="204" t="s">
        <v>5458</v>
      </c>
      <c r="E282" s="204" t="s">
        <v>5798</v>
      </c>
      <c r="F282" s="204"/>
      <c r="G282" s="204"/>
    </row>
    <row r="283" spans="1:7" ht="15.75" customHeight="1" thickBot="1" x14ac:dyDescent="0.4">
      <c r="A283" s="222" t="s">
        <v>5128</v>
      </c>
      <c r="B283" s="274" t="s">
        <v>30</v>
      </c>
      <c r="C283" s="204"/>
      <c r="D283" s="204"/>
      <c r="E283" s="204" t="s">
        <v>5799</v>
      </c>
      <c r="F283" s="204">
        <v>5101010100</v>
      </c>
      <c r="G283" s="223">
        <f>G161</f>
        <v>1000000</v>
      </c>
    </row>
    <row r="284" spans="1:7" ht="15.75" customHeight="1" thickBot="1" x14ac:dyDescent="0.4">
      <c r="A284" s="222" t="s">
        <v>5128</v>
      </c>
      <c r="B284" s="274" t="s">
        <v>30</v>
      </c>
      <c r="C284" s="204"/>
      <c r="D284" s="204"/>
      <c r="E284" s="204" t="s">
        <v>5800</v>
      </c>
      <c r="F284" s="204">
        <v>5101010200</v>
      </c>
      <c r="G284" s="223">
        <f>G162</f>
        <v>1000000</v>
      </c>
    </row>
    <row r="285" spans="1:7" ht="15.75" customHeight="1" thickBot="1" x14ac:dyDescent="0.4">
      <c r="A285" s="222" t="s">
        <v>5128</v>
      </c>
      <c r="B285" s="274" t="s">
        <v>30</v>
      </c>
      <c r="C285" s="204"/>
      <c r="D285" s="204"/>
      <c r="E285" s="228" t="s">
        <v>5801</v>
      </c>
      <c r="F285" s="204">
        <v>5101010300</v>
      </c>
      <c r="G285" s="223">
        <f>G163</f>
        <v>1000000</v>
      </c>
    </row>
    <row r="286" spans="1:7" ht="15.75" customHeight="1" thickBot="1" x14ac:dyDescent="0.4">
      <c r="A286" s="222" t="s">
        <v>5144</v>
      </c>
      <c r="B286" s="274" t="s">
        <v>5503</v>
      </c>
      <c r="C286" s="204"/>
      <c r="D286" s="204"/>
      <c r="E286" s="204" t="s">
        <v>5802</v>
      </c>
      <c r="F286" s="204"/>
      <c r="G286" s="204"/>
    </row>
    <row r="287" spans="1:7" ht="15.75" customHeight="1" thickBot="1" x14ac:dyDescent="0.4">
      <c r="A287" s="222" t="s">
        <v>5128</v>
      </c>
      <c r="B287" s="274" t="s">
        <v>30</v>
      </c>
      <c r="C287" s="204"/>
      <c r="D287" s="204"/>
      <c r="E287" s="204" t="s">
        <v>5803</v>
      </c>
      <c r="F287" s="204">
        <v>5101010401</v>
      </c>
      <c r="G287" s="223">
        <f t="shared" ref="G287:G290" si="7">G165</f>
        <v>1000000</v>
      </c>
    </row>
    <row r="288" spans="1:7" ht="15.75" customHeight="1" thickBot="1" x14ac:dyDescent="0.4">
      <c r="A288" s="222" t="s">
        <v>5128</v>
      </c>
      <c r="B288" s="274" t="s">
        <v>30</v>
      </c>
      <c r="C288" s="204"/>
      <c r="D288" s="204"/>
      <c r="E288" s="204" t="s">
        <v>5804</v>
      </c>
      <c r="F288" s="204">
        <v>5101010402</v>
      </c>
      <c r="G288" s="223">
        <f t="shared" si="7"/>
        <v>1000000</v>
      </c>
    </row>
    <row r="289" spans="1:7" ht="15.75" customHeight="1" thickBot="1" x14ac:dyDescent="0.4">
      <c r="A289" s="222" t="s">
        <v>5128</v>
      </c>
      <c r="B289" s="274" t="s">
        <v>30</v>
      </c>
      <c r="C289" s="204"/>
      <c r="D289" s="204"/>
      <c r="E289" s="204" t="s">
        <v>5805</v>
      </c>
      <c r="F289" s="204">
        <v>5101010403</v>
      </c>
      <c r="G289" s="223">
        <f t="shared" si="7"/>
        <v>1000000</v>
      </c>
    </row>
    <row r="290" spans="1:7" ht="15.75" customHeight="1" thickBot="1" x14ac:dyDescent="0.4">
      <c r="A290" s="222" t="s">
        <v>5128</v>
      </c>
      <c r="B290" s="274" t="s">
        <v>30</v>
      </c>
      <c r="C290" s="204"/>
      <c r="D290" s="204"/>
      <c r="E290" s="204" t="s">
        <v>5806</v>
      </c>
      <c r="F290" s="204">
        <v>5101010404</v>
      </c>
      <c r="G290" s="223">
        <f t="shared" si="7"/>
        <v>1000000</v>
      </c>
    </row>
    <row r="291" spans="1:7" ht="15.75" customHeight="1" thickBot="1" x14ac:dyDescent="0.4">
      <c r="A291" s="222" t="s">
        <v>5128</v>
      </c>
      <c r="B291" s="274" t="s">
        <v>30</v>
      </c>
      <c r="C291" s="204"/>
      <c r="D291" s="204"/>
      <c r="E291" s="204" t="s">
        <v>5807</v>
      </c>
      <c r="F291" s="204">
        <v>5101019900</v>
      </c>
      <c r="G291" s="223">
        <v>1000000</v>
      </c>
    </row>
    <row r="292" spans="1:7" ht="15.75" customHeight="1" thickBot="1" x14ac:dyDescent="0.4">
      <c r="A292" s="222" t="s">
        <v>5144</v>
      </c>
      <c r="B292" s="274" t="s">
        <v>5503</v>
      </c>
      <c r="C292" s="204"/>
      <c r="D292" s="204" t="s">
        <v>5460</v>
      </c>
      <c r="E292" s="204" t="s">
        <v>5808</v>
      </c>
      <c r="F292" s="204"/>
      <c r="G292" s="204"/>
    </row>
    <row r="293" spans="1:7" ht="15.75" customHeight="1" thickBot="1" x14ac:dyDescent="0.4">
      <c r="A293" s="222" t="s">
        <v>5128</v>
      </c>
      <c r="B293" s="274" t="s">
        <v>30</v>
      </c>
      <c r="C293" s="204"/>
      <c r="D293" s="204"/>
      <c r="E293" s="204" t="s">
        <v>5774</v>
      </c>
      <c r="F293" s="204">
        <v>5101020100</v>
      </c>
      <c r="G293" s="223">
        <f t="shared" ref="G293:G295" si="8">G171</f>
        <v>1000000</v>
      </c>
    </row>
    <row r="294" spans="1:7" ht="15.75" customHeight="1" thickBot="1" x14ac:dyDescent="0.4">
      <c r="A294" s="222" t="s">
        <v>5128</v>
      </c>
      <c r="B294" s="274" t="s">
        <v>30</v>
      </c>
      <c r="C294" s="204"/>
      <c r="D294" s="204"/>
      <c r="E294" s="204" t="s">
        <v>5775</v>
      </c>
      <c r="F294" s="204">
        <v>5101020200</v>
      </c>
      <c r="G294" s="223">
        <f t="shared" si="8"/>
        <v>1000000</v>
      </c>
    </row>
    <row r="295" spans="1:7" ht="15.75" customHeight="1" thickBot="1" x14ac:dyDescent="0.4">
      <c r="A295" s="222" t="s">
        <v>5128</v>
      </c>
      <c r="B295" s="274" t="s">
        <v>30</v>
      </c>
      <c r="C295" s="204">
        <v>2</v>
      </c>
      <c r="D295" s="202" t="s">
        <v>5809</v>
      </c>
      <c r="E295" s="204"/>
      <c r="F295" s="204">
        <v>5102000000</v>
      </c>
      <c r="G295" s="223">
        <f t="shared" si="8"/>
        <v>1000000</v>
      </c>
    </row>
    <row r="296" spans="1:7" ht="15.75" customHeight="1" thickBot="1" x14ac:dyDescent="0.4">
      <c r="A296" s="222" t="s">
        <v>5144</v>
      </c>
      <c r="B296" s="274" t="s">
        <v>5503</v>
      </c>
      <c r="C296" s="204">
        <v>3</v>
      </c>
      <c r="D296" s="335" t="s">
        <v>6087</v>
      </c>
      <c r="E296" s="204"/>
      <c r="F296" s="204"/>
      <c r="G296" s="204"/>
    </row>
    <row r="297" spans="1:7" ht="15.75" customHeight="1" thickBot="1" x14ac:dyDescent="0.4">
      <c r="A297" s="222" t="s">
        <v>5128</v>
      </c>
      <c r="B297" s="274" t="s">
        <v>30</v>
      </c>
      <c r="C297" s="204"/>
      <c r="D297" s="202" t="s">
        <v>5810</v>
      </c>
      <c r="E297" s="204"/>
      <c r="F297" s="204">
        <v>5103010000</v>
      </c>
      <c r="G297" s="223">
        <f t="shared" ref="G297:G298" si="9">G175</f>
        <v>1000000</v>
      </c>
    </row>
    <row r="298" spans="1:7" ht="15.75" customHeight="1" thickBot="1" x14ac:dyDescent="0.4">
      <c r="A298" s="222" t="s">
        <v>5128</v>
      </c>
      <c r="B298" s="274" t="s">
        <v>30</v>
      </c>
      <c r="C298" s="204"/>
      <c r="D298" s="204" t="s">
        <v>5149</v>
      </c>
      <c r="E298" s="204" t="s">
        <v>2284</v>
      </c>
      <c r="F298" s="204">
        <v>5103020000</v>
      </c>
      <c r="G298" s="223">
        <f t="shared" si="9"/>
        <v>1000000</v>
      </c>
    </row>
    <row r="299" spans="1:7" ht="15.75" customHeight="1" thickBot="1" x14ac:dyDescent="0.4">
      <c r="A299" s="222" t="s">
        <v>5144</v>
      </c>
      <c r="B299" s="274" t="s">
        <v>5503</v>
      </c>
      <c r="C299" s="204"/>
      <c r="D299" s="202" t="s">
        <v>5811</v>
      </c>
      <c r="E299" s="204"/>
      <c r="F299" s="204"/>
      <c r="G299" s="204"/>
    </row>
    <row r="300" spans="1:7" ht="15.75" customHeight="1" thickBot="1" x14ac:dyDescent="0.4">
      <c r="A300" s="222" t="s">
        <v>5128</v>
      </c>
      <c r="B300" s="274" t="s">
        <v>30</v>
      </c>
      <c r="C300" s="204"/>
      <c r="D300" s="204"/>
      <c r="E300" s="204" t="s">
        <v>5774</v>
      </c>
      <c r="F300" s="204">
        <v>5103030100</v>
      </c>
      <c r="G300" s="223">
        <f t="shared" ref="G300:G305" si="10">G178</f>
        <v>1000000</v>
      </c>
    </row>
    <row r="301" spans="1:7" ht="15.75" customHeight="1" thickBot="1" x14ac:dyDescent="0.4">
      <c r="A301" s="222" t="s">
        <v>5128</v>
      </c>
      <c r="B301" s="274" t="s">
        <v>30</v>
      </c>
      <c r="C301" s="204"/>
      <c r="D301" s="204"/>
      <c r="E301" s="204" t="s">
        <v>5775</v>
      </c>
      <c r="F301" s="204">
        <v>5103030200</v>
      </c>
      <c r="G301" s="223">
        <f t="shared" si="10"/>
        <v>1000000</v>
      </c>
    </row>
    <row r="302" spans="1:7" ht="15.75" customHeight="1" thickBot="1" x14ac:dyDescent="0.4">
      <c r="A302" s="291" t="s">
        <v>5128</v>
      </c>
      <c r="B302" s="292" t="s">
        <v>30</v>
      </c>
      <c r="C302" s="293"/>
      <c r="D302" s="293" t="s">
        <v>5784</v>
      </c>
      <c r="E302" s="293" t="s">
        <v>5445</v>
      </c>
      <c r="F302" s="293">
        <v>5103040000</v>
      </c>
      <c r="G302" s="223">
        <f t="shared" si="10"/>
        <v>0</v>
      </c>
    </row>
    <row r="303" spans="1:7" ht="15.75" customHeight="1" thickBot="1" x14ac:dyDescent="0.4">
      <c r="A303" s="291" t="s">
        <v>5128</v>
      </c>
      <c r="B303" s="292" t="s">
        <v>30</v>
      </c>
      <c r="C303" s="293"/>
      <c r="D303" s="293" t="s">
        <v>5786</v>
      </c>
      <c r="E303" s="293" t="s">
        <v>5452</v>
      </c>
      <c r="F303" s="293">
        <v>5103050000</v>
      </c>
      <c r="G303" s="223">
        <f t="shared" si="10"/>
        <v>0</v>
      </c>
    </row>
    <row r="304" spans="1:7" ht="15.75" customHeight="1" thickBot="1" x14ac:dyDescent="0.4">
      <c r="A304" s="222" t="s">
        <v>5128</v>
      </c>
      <c r="B304" s="274" t="s">
        <v>30</v>
      </c>
      <c r="C304" s="204">
        <v>4</v>
      </c>
      <c r="D304" s="202" t="s">
        <v>5812</v>
      </c>
      <c r="E304" s="204"/>
      <c r="F304" s="204">
        <v>5104000000</v>
      </c>
      <c r="G304" s="223">
        <f t="shared" si="10"/>
        <v>1000000</v>
      </c>
    </row>
    <row r="305" spans="1:7" ht="15.75" customHeight="1" thickBot="1" x14ac:dyDescent="0.4">
      <c r="A305" s="222" t="s">
        <v>5128</v>
      </c>
      <c r="B305" s="274" t="s">
        <v>30</v>
      </c>
      <c r="C305" s="204">
        <v>5</v>
      </c>
      <c r="D305" s="202" t="s">
        <v>5813</v>
      </c>
      <c r="E305" s="204"/>
      <c r="F305" s="204">
        <v>5105000000</v>
      </c>
      <c r="G305" s="223">
        <f t="shared" si="10"/>
        <v>1000000</v>
      </c>
    </row>
    <row r="306" spans="1:7" ht="15.75" customHeight="1" thickBot="1" x14ac:dyDescent="0.4">
      <c r="A306" s="222" t="s">
        <v>5144</v>
      </c>
      <c r="B306" s="274" t="s">
        <v>5503</v>
      </c>
      <c r="C306" s="204">
        <v>6</v>
      </c>
      <c r="D306" s="202" t="s">
        <v>5814</v>
      </c>
      <c r="E306" s="204"/>
      <c r="F306" s="204"/>
      <c r="G306" s="204"/>
    </row>
    <row r="307" spans="1:7" ht="15.75" customHeight="1" thickBot="1" x14ac:dyDescent="0.4">
      <c r="A307" s="222" t="s">
        <v>5144</v>
      </c>
      <c r="B307" s="274" t="s">
        <v>5503</v>
      </c>
      <c r="C307" s="204"/>
      <c r="D307" s="204" t="s">
        <v>5458</v>
      </c>
      <c r="E307" s="204" t="s">
        <v>5815</v>
      </c>
      <c r="F307" s="204"/>
      <c r="G307" s="204"/>
    </row>
    <row r="308" spans="1:7" ht="15.75" customHeight="1" thickBot="1" x14ac:dyDescent="0.4">
      <c r="A308" s="222" t="s">
        <v>5128</v>
      </c>
      <c r="B308" s="274" t="s">
        <v>30</v>
      </c>
      <c r="C308" s="204"/>
      <c r="D308" s="204"/>
      <c r="E308" s="204" t="s">
        <v>5816</v>
      </c>
      <c r="F308" s="204">
        <v>5106010100</v>
      </c>
      <c r="G308" s="223">
        <f t="shared" ref="G308:G311" si="11">G186</f>
        <v>1000000</v>
      </c>
    </row>
    <row r="309" spans="1:7" ht="15.75" customHeight="1" thickBot="1" x14ac:dyDescent="0.4">
      <c r="A309" s="222" t="s">
        <v>5128</v>
      </c>
      <c r="B309" s="274" t="s">
        <v>30</v>
      </c>
      <c r="C309" s="204"/>
      <c r="D309" s="204"/>
      <c r="E309" s="204" t="s">
        <v>5817</v>
      </c>
      <c r="F309" s="204">
        <v>5106010200</v>
      </c>
      <c r="G309" s="223">
        <f t="shared" si="11"/>
        <v>1000000</v>
      </c>
    </row>
    <row r="310" spans="1:7" ht="15.75" customHeight="1" thickBot="1" x14ac:dyDescent="0.4">
      <c r="A310" s="222" t="s">
        <v>5128</v>
      </c>
      <c r="B310" s="274" t="s">
        <v>30</v>
      </c>
      <c r="C310" s="204"/>
      <c r="D310" s="204"/>
      <c r="E310" s="204" t="s">
        <v>5818</v>
      </c>
      <c r="F310" s="204">
        <v>5106019900</v>
      </c>
      <c r="G310" s="223">
        <f t="shared" si="11"/>
        <v>1000000</v>
      </c>
    </row>
    <row r="311" spans="1:7" ht="15.75" customHeight="1" thickBot="1" x14ac:dyDescent="0.4">
      <c r="A311" s="222" t="s">
        <v>5128</v>
      </c>
      <c r="B311" s="274" t="s">
        <v>30</v>
      </c>
      <c r="C311" s="204"/>
      <c r="D311" s="204" t="s">
        <v>5460</v>
      </c>
      <c r="E311" s="204" t="s">
        <v>5819</v>
      </c>
      <c r="F311" s="204">
        <v>5106020000</v>
      </c>
      <c r="G311" s="223">
        <f t="shared" si="11"/>
        <v>1000000</v>
      </c>
    </row>
    <row r="312" spans="1:7" ht="15.75" customHeight="1" thickBot="1" x14ac:dyDescent="0.4">
      <c r="A312" s="222" t="s">
        <v>5144</v>
      </c>
      <c r="B312" s="274" t="s">
        <v>5503</v>
      </c>
      <c r="C312" s="204"/>
      <c r="D312" s="204" t="s">
        <v>5776</v>
      </c>
      <c r="E312" s="204" t="s">
        <v>5820</v>
      </c>
      <c r="F312" s="204"/>
      <c r="G312" s="204"/>
    </row>
    <row r="313" spans="1:7" ht="15.75" customHeight="1" thickBot="1" x14ac:dyDescent="0.4">
      <c r="A313" s="222" t="s">
        <v>5128</v>
      </c>
      <c r="B313" s="274" t="s">
        <v>30</v>
      </c>
      <c r="C313" s="204"/>
      <c r="D313" s="204"/>
      <c r="E313" s="204" t="s">
        <v>5821</v>
      </c>
      <c r="F313" s="204">
        <v>5106030100</v>
      </c>
      <c r="G313" s="223">
        <f t="shared" ref="G313:G320" si="12">G191</f>
        <v>1000000</v>
      </c>
    </row>
    <row r="314" spans="1:7" ht="15.75" customHeight="1" thickBot="1" x14ac:dyDescent="0.4">
      <c r="A314" s="222" t="s">
        <v>5128</v>
      </c>
      <c r="B314" s="274" t="s">
        <v>30</v>
      </c>
      <c r="C314" s="204"/>
      <c r="D314" s="204"/>
      <c r="E314" s="204" t="s">
        <v>5822</v>
      </c>
      <c r="F314" s="204">
        <v>5106039900</v>
      </c>
      <c r="G314" s="223">
        <f t="shared" si="12"/>
        <v>1000000</v>
      </c>
    </row>
    <row r="315" spans="1:7" ht="15.75" customHeight="1" thickBot="1" x14ac:dyDescent="0.4">
      <c r="A315" s="222" t="s">
        <v>5128</v>
      </c>
      <c r="B315" s="274" t="s">
        <v>30</v>
      </c>
      <c r="C315" s="229"/>
      <c r="D315" s="229" t="s">
        <v>5784</v>
      </c>
      <c r="E315" s="229" t="s">
        <v>5823</v>
      </c>
      <c r="F315" s="229">
        <v>5106040000</v>
      </c>
      <c r="G315" s="223">
        <f t="shared" si="12"/>
        <v>1000000</v>
      </c>
    </row>
    <row r="316" spans="1:7" ht="15.75" customHeight="1" thickBot="1" x14ac:dyDescent="0.4">
      <c r="A316" s="222" t="s">
        <v>5128</v>
      </c>
      <c r="B316" s="274" t="s">
        <v>30</v>
      </c>
      <c r="C316" s="204"/>
      <c r="D316" s="204" t="s">
        <v>5786</v>
      </c>
      <c r="E316" s="204" t="s">
        <v>5824</v>
      </c>
      <c r="F316" s="204">
        <v>5106050000</v>
      </c>
      <c r="G316" s="223">
        <f t="shared" si="12"/>
        <v>1000000</v>
      </c>
    </row>
    <row r="317" spans="1:7" ht="15.75" customHeight="1" thickBot="1" x14ac:dyDescent="0.4">
      <c r="A317" s="222" t="s">
        <v>5128</v>
      </c>
      <c r="B317" s="274" t="s">
        <v>30</v>
      </c>
      <c r="C317" s="204"/>
      <c r="D317" s="204" t="s">
        <v>5787</v>
      </c>
      <c r="E317" s="204" t="s">
        <v>5825</v>
      </c>
      <c r="F317" s="204">
        <v>5106060000</v>
      </c>
      <c r="G317" s="223">
        <f t="shared" si="12"/>
        <v>1000000</v>
      </c>
    </row>
    <row r="318" spans="1:7" ht="15.75" customHeight="1" thickBot="1" x14ac:dyDescent="0.4">
      <c r="A318" s="222" t="s">
        <v>5128</v>
      </c>
      <c r="B318" s="274" t="s">
        <v>30</v>
      </c>
      <c r="C318" s="204"/>
      <c r="D318" s="204" t="s">
        <v>5788</v>
      </c>
      <c r="E318" s="204" t="s">
        <v>5826</v>
      </c>
      <c r="F318" s="204">
        <v>5106070000</v>
      </c>
      <c r="G318" s="223">
        <f t="shared" si="12"/>
        <v>1000000</v>
      </c>
    </row>
    <row r="319" spans="1:7" ht="15.75" customHeight="1" thickBot="1" x14ac:dyDescent="0.4">
      <c r="A319" s="222" t="s">
        <v>5128</v>
      </c>
      <c r="B319" s="274" t="s">
        <v>30</v>
      </c>
      <c r="C319" s="204"/>
      <c r="D319" s="204" t="s">
        <v>5790</v>
      </c>
      <c r="E319" s="204" t="s">
        <v>5827</v>
      </c>
      <c r="F319" s="204">
        <v>5106080000</v>
      </c>
      <c r="G319" s="223">
        <f t="shared" si="12"/>
        <v>0</v>
      </c>
    </row>
    <row r="320" spans="1:7" ht="15.75" customHeight="1" thickBot="1" x14ac:dyDescent="0.4">
      <c r="A320" s="291" t="s">
        <v>5128</v>
      </c>
      <c r="B320" s="292" t="s">
        <v>30</v>
      </c>
      <c r="C320" s="293"/>
      <c r="D320" s="293" t="s">
        <v>5792</v>
      </c>
      <c r="E320" s="293" t="s">
        <v>5828</v>
      </c>
      <c r="F320" s="293">
        <v>5106100000</v>
      </c>
      <c r="G320" s="223">
        <f t="shared" si="12"/>
        <v>0</v>
      </c>
    </row>
    <row r="321" spans="1:7" ht="15.75" customHeight="1" thickBot="1" x14ac:dyDescent="0.4">
      <c r="A321" s="298" t="s">
        <v>5144</v>
      </c>
      <c r="B321" s="292" t="s">
        <v>30</v>
      </c>
      <c r="C321" s="293"/>
      <c r="D321" s="293" t="s">
        <v>5794</v>
      </c>
      <c r="E321" s="293" t="s">
        <v>5829</v>
      </c>
      <c r="F321" s="293"/>
      <c r="G321" s="293"/>
    </row>
    <row r="322" spans="1:7" ht="15.75" customHeight="1" thickBot="1" x14ac:dyDescent="0.4">
      <c r="A322" s="291" t="s">
        <v>5128</v>
      </c>
      <c r="B322" s="292" t="s">
        <v>30</v>
      </c>
      <c r="C322" s="293"/>
      <c r="D322" s="293"/>
      <c r="E322" s="293" t="s">
        <v>5830</v>
      </c>
      <c r="F322" s="293">
        <v>5106110100</v>
      </c>
      <c r="G322" s="223">
        <f t="shared" ref="G322:G324" si="13">G200</f>
        <v>0</v>
      </c>
    </row>
    <row r="323" spans="1:7" ht="15.75" customHeight="1" thickBot="1" x14ac:dyDescent="0.4">
      <c r="A323" s="291" t="s">
        <v>5128</v>
      </c>
      <c r="B323" s="292" t="s">
        <v>30</v>
      </c>
      <c r="C323" s="293"/>
      <c r="D323" s="293"/>
      <c r="E323" s="293" t="s">
        <v>5831</v>
      </c>
      <c r="F323" s="293">
        <v>5106110200</v>
      </c>
      <c r="G323" s="223">
        <f t="shared" si="13"/>
        <v>0</v>
      </c>
    </row>
    <row r="324" spans="1:7" ht="15.75" customHeight="1" thickBot="1" x14ac:dyDescent="0.4">
      <c r="A324" s="222" t="s">
        <v>5128</v>
      </c>
      <c r="B324" s="274" t="s">
        <v>30</v>
      </c>
      <c r="C324" s="204"/>
      <c r="D324" s="204" t="s">
        <v>5792</v>
      </c>
      <c r="E324" s="204" t="s">
        <v>5833</v>
      </c>
      <c r="F324" s="204">
        <v>5106090000</v>
      </c>
      <c r="G324" s="223">
        <f t="shared" si="13"/>
        <v>1000000</v>
      </c>
    </row>
    <row r="325" spans="1:7" ht="15.75" customHeight="1" thickBot="1" x14ac:dyDescent="0.4">
      <c r="A325" s="222" t="s">
        <v>5144</v>
      </c>
      <c r="B325" s="274" t="s">
        <v>5503</v>
      </c>
      <c r="C325" s="204">
        <v>7</v>
      </c>
      <c r="D325" s="202" t="s">
        <v>5834</v>
      </c>
      <c r="E325" s="204"/>
      <c r="F325" s="204"/>
      <c r="G325" s="204"/>
    </row>
    <row r="326" spans="1:7" ht="15.75" customHeight="1" thickBot="1" x14ac:dyDescent="0.4">
      <c r="A326" s="222" t="s">
        <v>5128</v>
      </c>
      <c r="B326" s="274" t="s">
        <v>30</v>
      </c>
      <c r="C326" s="204"/>
      <c r="D326" s="204" t="s">
        <v>5458</v>
      </c>
      <c r="E326" s="204" t="s">
        <v>5835</v>
      </c>
      <c r="F326" s="204">
        <v>5199010000</v>
      </c>
      <c r="G326" s="223">
        <f t="shared" ref="G326:G331" si="14">G204</f>
        <v>1000000</v>
      </c>
    </row>
    <row r="327" spans="1:7" ht="15.75" customHeight="1" thickBot="1" x14ac:dyDescent="0.4">
      <c r="A327" s="222" t="s">
        <v>5128</v>
      </c>
      <c r="B327" s="274" t="s">
        <v>30</v>
      </c>
      <c r="C327" s="204"/>
      <c r="D327" s="204" t="s">
        <v>5460</v>
      </c>
      <c r="E327" s="204" t="s">
        <v>5836</v>
      </c>
      <c r="F327" s="204">
        <v>5199020000</v>
      </c>
      <c r="G327" s="223">
        <f t="shared" si="14"/>
        <v>1000000</v>
      </c>
    </row>
    <row r="328" spans="1:7" ht="15.75" customHeight="1" thickBot="1" x14ac:dyDescent="0.4">
      <c r="A328" s="291" t="s">
        <v>5128</v>
      </c>
      <c r="B328" s="292" t="s">
        <v>30</v>
      </c>
      <c r="C328" s="293"/>
      <c r="D328" s="293" t="s">
        <v>5776</v>
      </c>
      <c r="E328" s="293" t="s">
        <v>5837</v>
      </c>
      <c r="F328" s="293">
        <v>5199030000</v>
      </c>
      <c r="G328" s="223">
        <f t="shared" si="14"/>
        <v>0</v>
      </c>
    </row>
    <row r="329" spans="1:7" ht="15.75" customHeight="1" thickBot="1" x14ac:dyDescent="0.4">
      <c r="A329" s="291" t="s">
        <v>5128</v>
      </c>
      <c r="B329" s="292" t="s">
        <v>30</v>
      </c>
      <c r="C329" s="293"/>
      <c r="D329" s="293" t="s">
        <v>5784</v>
      </c>
      <c r="E329" s="293" t="s">
        <v>5838</v>
      </c>
      <c r="F329" s="293">
        <v>5201020000</v>
      </c>
      <c r="G329" s="223">
        <f t="shared" si="14"/>
        <v>0</v>
      </c>
    </row>
    <row r="330" spans="1:7" ht="15.75" customHeight="1" thickBot="1" x14ac:dyDescent="0.4">
      <c r="A330" s="291" t="s">
        <v>5128</v>
      </c>
      <c r="B330" s="292" t="s">
        <v>30</v>
      </c>
      <c r="C330" s="293"/>
      <c r="D330" s="293" t="s">
        <v>5786</v>
      </c>
      <c r="E330" s="293" t="s">
        <v>5839</v>
      </c>
      <c r="F330" s="293">
        <v>5202020000</v>
      </c>
      <c r="G330" s="223">
        <f t="shared" si="14"/>
        <v>0</v>
      </c>
    </row>
    <row r="331" spans="1:7" ht="15.75" customHeight="1" thickBot="1" x14ac:dyDescent="0.4">
      <c r="A331" s="222" t="s">
        <v>5128</v>
      </c>
      <c r="B331" s="274" t="s">
        <v>30</v>
      </c>
      <c r="C331" s="204"/>
      <c r="D331" s="204" t="s">
        <v>5776</v>
      </c>
      <c r="E331" s="204" t="s">
        <v>331</v>
      </c>
      <c r="F331" s="204">
        <v>5199990000</v>
      </c>
      <c r="G331" s="223">
        <f t="shared" si="14"/>
        <v>1000000</v>
      </c>
    </row>
    <row r="332" spans="1:7" ht="15.75" customHeight="1" thickBot="1" x14ac:dyDescent="0.4">
      <c r="A332" s="222" t="s">
        <v>5128</v>
      </c>
      <c r="B332" s="274" t="s">
        <v>30</v>
      </c>
      <c r="C332" s="208" t="s">
        <v>5840</v>
      </c>
      <c r="D332" s="233"/>
      <c r="E332" s="204"/>
      <c r="F332" s="209">
        <v>3104040100</v>
      </c>
      <c r="G332" s="225">
        <f>G247-G280</f>
        <v>7075000</v>
      </c>
    </row>
    <row r="333" spans="1:7" ht="15.75" customHeight="1" thickBot="1" x14ac:dyDescent="0.4">
      <c r="A333" s="222" t="s">
        <v>5128</v>
      </c>
      <c r="B333" s="274" t="s">
        <v>30</v>
      </c>
      <c r="C333" s="208" t="s">
        <v>5841</v>
      </c>
      <c r="D333" s="233"/>
      <c r="E333" s="204"/>
      <c r="F333" s="209">
        <v>4200000000</v>
      </c>
      <c r="G333" s="225">
        <f>G335+G337+G338+G339+G340+G341</f>
        <v>15000000</v>
      </c>
    </row>
    <row r="334" spans="1:7" ht="15.75" customHeight="1" thickBot="1" x14ac:dyDescent="0.4">
      <c r="A334" s="222" t="s">
        <v>5144</v>
      </c>
      <c r="B334" s="274" t="s">
        <v>5503</v>
      </c>
      <c r="C334" s="204">
        <v>1</v>
      </c>
      <c r="D334" s="202" t="s">
        <v>5842</v>
      </c>
      <c r="E334" s="204"/>
      <c r="F334" s="204"/>
      <c r="G334" s="204"/>
    </row>
    <row r="335" spans="1:7" ht="15.75" customHeight="1" thickBot="1" x14ac:dyDescent="0.4">
      <c r="A335" s="222" t="s">
        <v>5128</v>
      </c>
      <c r="B335" s="274" t="s">
        <v>30</v>
      </c>
      <c r="C335" s="204"/>
      <c r="D335" s="204" t="s">
        <v>5458</v>
      </c>
      <c r="E335" s="204" t="s">
        <v>5447</v>
      </c>
      <c r="F335" s="204">
        <v>4201010000</v>
      </c>
      <c r="G335" s="223">
        <f>G213</f>
        <v>10000000</v>
      </c>
    </row>
    <row r="336" spans="1:7" ht="15.75" customHeight="1" thickBot="1" x14ac:dyDescent="0.4">
      <c r="A336" s="222" t="s">
        <v>5144</v>
      </c>
      <c r="B336" s="274" t="s">
        <v>5503</v>
      </c>
      <c r="C336" s="204">
        <v>2</v>
      </c>
      <c r="D336" s="202" t="s">
        <v>5843</v>
      </c>
      <c r="E336" s="204"/>
      <c r="F336" s="204"/>
      <c r="G336" s="204"/>
    </row>
    <row r="337" spans="1:7" ht="15.75" customHeight="1" thickBot="1" x14ac:dyDescent="0.4">
      <c r="A337" s="222" t="s">
        <v>5128</v>
      </c>
      <c r="B337" s="274" t="s">
        <v>30</v>
      </c>
      <c r="C337" s="204"/>
      <c r="D337" s="204" t="s">
        <v>5458</v>
      </c>
      <c r="E337" s="204" t="s">
        <v>5447</v>
      </c>
      <c r="F337" s="204">
        <v>4202010000</v>
      </c>
      <c r="G337" s="223">
        <f t="shared" ref="G337:G341" si="15">G215</f>
        <v>1000000</v>
      </c>
    </row>
    <row r="338" spans="1:7" ht="15.75" customHeight="1" thickBot="1" x14ac:dyDescent="0.4">
      <c r="A338" s="291" t="s">
        <v>5128</v>
      </c>
      <c r="B338" s="292" t="s">
        <v>30</v>
      </c>
      <c r="C338" s="293"/>
      <c r="D338" s="293" t="s">
        <v>5460</v>
      </c>
      <c r="E338" s="293" t="s">
        <v>331</v>
      </c>
      <c r="F338" s="293">
        <v>4202030000</v>
      </c>
      <c r="G338" s="223">
        <f t="shared" si="15"/>
        <v>1000000</v>
      </c>
    </row>
    <row r="339" spans="1:7" ht="15.75" customHeight="1" thickBot="1" x14ac:dyDescent="0.4">
      <c r="A339" s="222" t="s">
        <v>5128</v>
      </c>
      <c r="B339" s="274" t="s">
        <v>30</v>
      </c>
      <c r="C339" s="204">
        <v>4</v>
      </c>
      <c r="D339" s="202" t="s">
        <v>5844</v>
      </c>
      <c r="E339" s="204"/>
      <c r="F339" s="204">
        <v>4204000000</v>
      </c>
      <c r="G339" s="223">
        <f t="shared" si="15"/>
        <v>1000000</v>
      </c>
    </row>
    <row r="340" spans="1:7" ht="15.75" customHeight="1" thickBot="1" x14ac:dyDescent="0.4">
      <c r="A340" s="222" t="s">
        <v>5128</v>
      </c>
      <c r="B340" s="274" t="s">
        <v>30</v>
      </c>
      <c r="C340" s="204">
        <v>5</v>
      </c>
      <c r="D340" s="202" t="s">
        <v>5845</v>
      </c>
      <c r="E340" s="204"/>
      <c r="F340" s="204">
        <v>4205000000</v>
      </c>
      <c r="G340" s="223">
        <f t="shared" si="15"/>
        <v>1000000</v>
      </c>
    </row>
    <row r="341" spans="1:7" ht="15.75" customHeight="1" thickBot="1" x14ac:dyDescent="0.4">
      <c r="A341" s="222" t="s">
        <v>5128</v>
      </c>
      <c r="B341" s="274" t="s">
        <v>30</v>
      </c>
      <c r="C341" s="204">
        <v>6</v>
      </c>
      <c r="D341" s="202" t="s">
        <v>331</v>
      </c>
      <c r="E341" s="204"/>
      <c r="F341" s="204">
        <v>4299000000</v>
      </c>
      <c r="G341" s="223">
        <f t="shared" si="15"/>
        <v>1000000</v>
      </c>
    </row>
    <row r="342" spans="1:7" ht="15.75" customHeight="1" thickBot="1" x14ac:dyDescent="0.4">
      <c r="A342" s="222" t="s">
        <v>5128</v>
      </c>
      <c r="B342" s="274" t="s">
        <v>30</v>
      </c>
      <c r="C342" s="208" t="s">
        <v>5846</v>
      </c>
      <c r="D342" s="233"/>
      <c r="E342" s="204"/>
      <c r="F342" s="209">
        <v>5200000000</v>
      </c>
      <c r="G342" s="225">
        <f>G344+G346+G348+G349+G350+G347</f>
        <v>5000000</v>
      </c>
    </row>
    <row r="343" spans="1:7" ht="15.75" customHeight="1" thickBot="1" x14ac:dyDescent="0.4">
      <c r="A343" s="222" t="s">
        <v>5144</v>
      </c>
      <c r="B343" s="274" t="s">
        <v>5503</v>
      </c>
      <c r="C343" s="204">
        <v>1</v>
      </c>
      <c r="D343" s="202" t="s">
        <v>5847</v>
      </c>
      <c r="E343" s="204"/>
      <c r="F343" s="204"/>
      <c r="G343" s="204"/>
    </row>
    <row r="344" spans="1:7" ht="15.75" customHeight="1" thickBot="1" x14ac:dyDescent="0.4">
      <c r="A344" s="222" t="s">
        <v>5128</v>
      </c>
      <c r="B344" s="274" t="s">
        <v>30</v>
      </c>
      <c r="C344" s="204"/>
      <c r="D344" s="204" t="s">
        <v>5458</v>
      </c>
      <c r="E344" s="204" t="s">
        <v>5447</v>
      </c>
      <c r="F344" s="204">
        <v>5201010000</v>
      </c>
      <c r="G344" s="223">
        <f>G222</f>
        <v>1000000</v>
      </c>
    </row>
    <row r="345" spans="1:7" ht="15.75" customHeight="1" thickBot="1" x14ac:dyDescent="0.4">
      <c r="A345" s="222" t="s">
        <v>5144</v>
      </c>
      <c r="B345" s="274" t="s">
        <v>5503</v>
      </c>
      <c r="C345" s="204">
        <v>2</v>
      </c>
      <c r="D345" s="202" t="s">
        <v>5848</v>
      </c>
      <c r="E345" s="204"/>
      <c r="F345" s="204"/>
      <c r="G345" s="204"/>
    </row>
    <row r="346" spans="1:7" ht="15.75" customHeight="1" thickBot="1" x14ac:dyDescent="0.4">
      <c r="A346" s="222" t="s">
        <v>5128</v>
      </c>
      <c r="B346" s="274" t="s">
        <v>30</v>
      </c>
      <c r="C346" s="204"/>
      <c r="D346" s="204" t="s">
        <v>5458</v>
      </c>
      <c r="E346" s="204" t="s">
        <v>5447</v>
      </c>
      <c r="F346" s="204">
        <v>5202010000</v>
      </c>
      <c r="G346" s="223">
        <f>G224</f>
        <v>1000000</v>
      </c>
    </row>
    <row r="347" spans="1:7" ht="15.75" customHeight="1" thickBot="1" x14ac:dyDescent="0.4">
      <c r="A347" s="291" t="s">
        <v>5128</v>
      </c>
      <c r="B347" s="274" t="s">
        <v>30</v>
      </c>
      <c r="C347" s="293"/>
      <c r="D347" s="293" t="s">
        <v>5460</v>
      </c>
      <c r="E347" s="293" t="s">
        <v>331</v>
      </c>
      <c r="F347" s="293">
        <v>5202030000</v>
      </c>
      <c r="G347" s="223">
        <f>G225</f>
        <v>1000000</v>
      </c>
    </row>
    <row r="348" spans="1:7" ht="15.75" customHeight="1" thickBot="1" x14ac:dyDescent="0.4">
      <c r="A348" s="222" t="s">
        <v>5128</v>
      </c>
      <c r="B348" s="274" t="s">
        <v>30</v>
      </c>
      <c r="C348" s="204">
        <v>3</v>
      </c>
      <c r="D348" s="202" t="s">
        <v>5844</v>
      </c>
      <c r="E348" s="204"/>
      <c r="F348" s="204">
        <v>5203000000</v>
      </c>
      <c r="G348" s="223">
        <f>G226</f>
        <v>0</v>
      </c>
    </row>
    <row r="349" spans="1:7" ht="15.75" customHeight="1" thickBot="1" x14ac:dyDescent="0.4">
      <c r="A349" s="222" t="s">
        <v>5128</v>
      </c>
      <c r="B349" s="274" t="s">
        <v>30</v>
      </c>
      <c r="C349" s="204">
        <v>4</v>
      </c>
      <c r="D349" s="202" t="s">
        <v>5849</v>
      </c>
      <c r="E349" s="204"/>
      <c r="F349" s="204">
        <v>5204000000</v>
      </c>
      <c r="G349" s="223">
        <f>G227</f>
        <v>1000000</v>
      </c>
    </row>
    <row r="350" spans="1:7" ht="15.75" customHeight="1" thickBot="1" x14ac:dyDescent="0.4">
      <c r="A350" s="222" t="s">
        <v>5128</v>
      </c>
      <c r="B350" s="274" t="s">
        <v>30</v>
      </c>
      <c r="C350" s="204">
        <v>5</v>
      </c>
      <c r="D350" s="202" t="s">
        <v>331</v>
      </c>
      <c r="E350" s="204"/>
      <c r="F350" s="204">
        <v>5299000000</v>
      </c>
      <c r="G350" s="223">
        <f>G228</f>
        <v>1000000</v>
      </c>
    </row>
    <row r="351" spans="1:7" ht="15.75" customHeight="1" thickBot="1" x14ac:dyDescent="0.4">
      <c r="A351" s="222" t="s">
        <v>5128</v>
      </c>
      <c r="B351" s="274" t="s">
        <v>30</v>
      </c>
      <c r="C351" s="208" t="s">
        <v>5850</v>
      </c>
      <c r="D351" s="233"/>
      <c r="E351" s="204"/>
      <c r="F351" s="209">
        <v>3104040200</v>
      </c>
      <c r="G351" s="225">
        <f>G333-G342</f>
        <v>10000000</v>
      </c>
    </row>
    <row r="352" spans="1:7" ht="15.75" customHeight="1" thickBot="1" x14ac:dyDescent="0.4">
      <c r="A352" s="222" t="s">
        <v>5128</v>
      </c>
      <c r="B352" s="274" t="s">
        <v>30</v>
      </c>
      <c r="C352" s="208" t="s">
        <v>5851</v>
      </c>
      <c r="D352" s="233"/>
      <c r="E352" s="204"/>
      <c r="F352" s="209">
        <v>3104040300</v>
      </c>
      <c r="G352" s="225">
        <f>G332+G351</f>
        <v>17075000</v>
      </c>
    </row>
    <row r="353" spans="1:8" ht="15.75" customHeight="1" thickBot="1" x14ac:dyDescent="0.4">
      <c r="A353" s="222" t="s">
        <v>5128</v>
      </c>
      <c r="B353" s="274" t="s">
        <v>30</v>
      </c>
      <c r="C353" s="202" t="s">
        <v>5852</v>
      </c>
      <c r="D353" s="233"/>
      <c r="E353" s="204"/>
      <c r="F353" s="204">
        <v>5300000000</v>
      </c>
      <c r="G353" s="223">
        <v>1000000</v>
      </c>
    </row>
    <row r="354" spans="1:8" ht="15.75" customHeight="1" thickBot="1" x14ac:dyDescent="0.4">
      <c r="A354" s="222" t="s">
        <v>5128</v>
      </c>
      <c r="B354" s="274" t="s">
        <v>30</v>
      </c>
      <c r="C354" s="202" t="s">
        <v>5853</v>
      </c>
      <c r="D354" s="233"/>
      <c r="E354" s="204"/>
      <c r="F354" s="204">
        <v>4400000000</v>
      </c>
      <c r="G354" s="223">
        <v>1000000</v>
      </c>
    </row>
    <row r="355" spans="1:8" ht="15.75" customHeight="1" thickBot="1" x14ac:dyDescent="0.4">
      <c r="A355" s="222" t="s">
        <v>5128</v>
      </c>
      <c r="B355" s="274" t="s">
        <v>30</v>
      </c>
      <c r="C355" s="202" t="s">
        <v>5854</v>
      </c>
      <c r="D355" s="233"/>
      <c r="E355" s="204"/>
      <c r="F355" s="204">
        <v>5400000000</v>
      </c>
      <c r="G355" s="223">
        <v>1000000</v>
      </c>
    </row>
    <row r="356" spans="1:8" ht="15.75" customHeight="1" thickBot="1" x14ac:dyDescent="0.4">
      <c r="A356" s="222" t="s">
        <v>5128</v>
      </c>
      <c r="B356" s="274" t="s">
        <v>30</v>
      </c>
      <c r="C356" s="208" t="s">
        <v>5855</v>
      </c>
      <c r="D356" s="233"/>
      <c r="E356" s="204"/>
      <c r="F356" s="209">
        <v>3104040400</v>
      </c>
      <c r="G356" s="225">
        <f>G352-G353+G354-G355</f>
        <v>16075000</v>
      </c>
    </row>
    <row r="357" spans="1:8" ht="15.75" customHeight="1" thickBot="1" x14ac:dyDescent="0.4">
      <c r="A357" s="222" t="s">
        <v>5144</v>
      </c>
      <c r="B357" s="274" t="s">
        <v>5503</v>
      </c>
      <c r="C357" s="202" t="s">
        <v>5856</v>
      </c>
      <c r="D357" s="233"/>
      <c r="E357" s="204"/>
      <c r="F357" s="204"/>
      <c r="G357" s="204"/>
    </row>
    <row r="358" spans="1:8" ht="15.75" customHeight="1" thickBot="1" x14ac:dyDescent="0.4">
      <c r="A358" s="222" t="s">
        <v>5144</v>
      </c>
      <c r="B358" s="274" t="s">
        <v>5503</v>
      </c>
      <c r="C358" s="204">
        <v>1</v>
      </c>
      <c r="D358" s="202" t="s">
        <v>5857</v>
      </c>
      <c r="E358" s="204"/>
      <c r="F358" s="204"/>
      <c r="G358" s="204"/>
    </row>
    <row r="359" spans="1:8" ht="15.75" customHeight="1" thickBot="1" x14ac:dyDescent="0.4">
      <c r="A359" s="222" t="s">
        <v>5128</v>
      </c>
      <c r="B359" s="274" t="s">
        <v>30</v>
      </c>
      <c r="C359" s="204"/>
      <c r="D359" s="204" t="s">
        <v>5146</v>
      </c>
      <c r="E359" s="204" t="s">
        <v>5474</v>
      </c>
      <c r="F359" s="204">
        <v>7101010000</v>
      </c>
      <c r="G359" s="223">
        <f>G237</f>
        <v>1000000</v>
      </c>
    </row>
    <row r="360" spans="1:8" ht="15.75" customHeight="1" thickBot="1" x14ac:dyDescent="0.4">
      <c r="A360" s="222" t="s">
        <v>5128</v>
      </c>
      <c r="B360" s="274" t="s">
        <v>30</v>
      </c>
      <c r="C360" s="204"/>
      <c r="D360" s="204" t="s">
        <v>5149</v>
      </c>
      <c r="E360" s="204" t="s">
        <v>331</v>
      </c>
      <c r="F360" s="204">
        <v>7101990000</v>
      </c>
      <c r="G360" s="223">
        <f>G238</f>
        <v>1000000</v>
      </c>
    </row>
    <row r="361" spans="1:8" ht="15.75" customHeight="1" thickBot="1" x14ac:dyDescent="0.4">
      <c r="A361" s="222" t="s">
        <v>5128</v>
      </c>
      <c r="B361" s="274" t="s">
        <v>30</v>
      </c>
      <c r="C361" s="204"/>
      <c r="D361" s="204" t="s">
        <v>5152</v>
      </c>
      <c r="E361" s="204" t="s">
        <v>5858</v>
      </c>
      <c r="F361" s="204">
        <v>7101980000</v>
      </c>
      <c r="G361" s="223">
        <f>G239</f>
        <v>1000000</v>
      </c>
    </row>
    <row r="362" spans="1:8" ht="15.75" customHeight="1" thickBot="1" x14ac:dyDescent="0.4">
      <c r="A362" s="222" t="s">
        <v>5144</v>
      </c>
      <c r="B362" s="274" t="s">
        <v>5503</v>
      </c>
      <c r="C362" s="204">
        <v>2</v>
      </c>
      <c r="D362" s="202" t="s">
        <v>5859</v>
      </c>
      <c r="E362" s="204"/>
      <c r="F362" s="204"/>
      <c r="G362" s="204"/>
    </row>
    <row r="363" spans="1:8" ht="15.75" customHeight="1" thickBot="1" x14ac:dyDescent="0.4">
      <c r="A363" s="222" t="s">
        <v>5128</v>
      </c>
      <c r="B363" s="295" t="s">
        <v>30</v>
      </c>
      <c r="C363" s="203"/>
      <c r="D363" s="203" t="s">
        <v>5146</v>
      </c>
      <c r="E363" s="203" t="s">
        <v>5860</v>
      </c>
      <c r="F363" s="203">
        <v>7102010000</v>
      </c>
      <c r="G363" s="223">
        <f>G241</f>
        <v>1000000</v>
      </c>
    </row>
    <row r="364" spans="1:8" ht="15.75" customHeight="1" thickBot="1" x14ac:dyDescent="0.4">
      <c r="A364" s="222" t="s">
        <v>5128</v>
      </c>
      <c r="B364" s="274" t="s">
        <v>30</v>
      </c>
      <c r="C364" s="204"/>
      <c r="D364" s="204" t="s">
        <v>5149</v>
      </c>
      <c r="E364" s="204" t="s">
        <v>331</v>
      </c>
      <c r="F364" s="203">
        <v>7102990000</v>
      </c>
      <c r="G364" s="223">
        <f>G242</f>
        <v>1000000</v>
      </c>
    </row>
    <row r="365" spans="1:8" ht="15.75" customHeight="1" thickBot="1" x14ac:dyDescent="0.4">
      <c r="A365" s="222" t="s">
        <v>5128</v>
      </c>
      <c r="B365" s="274" t="s">
        <v>30</v>
      </c>
      <c r="C365" s="204"/>
      <c r="D365" s="204" t="s">
        <v>5152</v>
      </c>
      <c r="E365" s="204" t="s">
        <v>5858</v>
      </c>
      <c r="F365" s="203">
        <v>7102980000</v>
      </c>
      <c r="G365" s="223">
        <f>G243</f>
        <v>1000000</v>
      </c>
    </row>
    <row r="366" spans="1:8" ht="15.75" customHeight="1" thickBot="1" x14ac:dyDescent="0.4">
      <c r="A366" s="222" t="s">
        <v>5128</v>
      </c>
      <c r="B366" s="274" t="s">
        <v>30</v>
      </c>
      <c r="C366" s="202" t="s">
        <v>5861</v>
      </c>
      <c r="D366" s="233"/>
      <c r="E366" s="204"/>
      <c r="F366" s="204">
        <v>3104040500</v>
      </c>
      <c r="G366" s="223">
        <f>G244</f>
        <v>1000000</v>
      </c>
    </row>
    <row r="367" spans="1:8" ht="15.75" customHeight="1" thickBot="1" x14ac:dyDescent="0.4">
      <c r="A367" s="222" t="s">
        <v>5128</v>
      </c>
      <c r="B367" s="274" t="s">
        <v>30</v>
      </c>
      <c r="C367" s="335" t="s">
        <v>6088</v>
      </c>
      <c r="D367" s="233"/>
      <c r="E367" s="204"/>
      <c r="F367" s="204">
        <v>3104040600</v>
      </c>
      <c r="G367" s="223">
        <f>G245</f>
        <v>1000000</v>
      </c>
      <c r="H367" s="299"/>
    </row>
  </sheetData>
  <mergeCells count="3">
    <mergeCell ref="C2:E2"/>
    <mergeCell ref="C124:E124"/>
    <mergeCell ref="C246:E246"/>
  </mergeCells>
  <hyperlinks>
    <hyperlink ref="G1" location="Header!A1" display="Back to Header" xr:uid="{00000000-0004-0000-1A00-000000000000}"/>
  </hyperlinks>
  <pageMargins left="0.7" right="0.7" top="0.75" bottom="0.75" header="0" footer="0"/>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orm_0300"/>
  <dimension ref="A1:F18"/>
  <sheetViews>
    <sheetView showGridLines="0" workbookViewId="0">
      <selection activeCell="H8" sqref="H8"/>
    </sheetView>
  </sheetViews>
  <sheetFormatPr defaultColWidth="14.453125" defaultRowHeight="15" customHeight="1" x14ac:dyDescent="0.35"/>
  <cols>
    <col min="1" max="1" width="8.08984375" customWidth="1"/>
    <col min="2" max="2" width="22.54296875" customWidth="1"/>
    <col min="3" max="5" width="20.54296875" customWidth="1"/>
    <col min="6" max="26" width="8.54296875" customWidth="1"/>
  </cols>
  <sheetData>
    <row r="1" spans="1:6" ht="14.5" x14ac:dyDescent="0.35">
      <c r="A1" s="103" t="str">
        <f>CONCATENATE("FORM ",Header!A36," - ",Header!B36)</f>
        <v>FORM 0300 - DAFTAR KAS DALAM VALUTA ASING</v>
      </c>
      <c r="B1" s="134"/>
      <c r="C1" s="134"/>
      <c r="D1" s="134"/>
      <c r="E1" s="166" t="s">
        <v>5124</v>
      </c>
    </row>
    <row r="2" spans="1:6" ht="27.75" customHeight="1" x14ac:dyDescent="0.35">
      <c r="A2" s="128" t="s">
        <v>5662</v>
      </c>
      <c r="B2" s="128" t="s">
        <v>5232</v>
      </c>
      <c r="C2" s="128" t="s">
        <v>5504</v>
      </c>
      <c r="D2" s="128" t="s">
        <v>5155</v>
      </c>
      <c r="E2" s="128" t="s">
        <v>5505</v>
      </c>
      <c r="F2" s="106" t="s">
        <v>5506</v>
      </c>
    </row>
    <row r="3" spans="1:6" ht="14.5" x14ac:dyDescent="0.35">
      <c r="A3" s="318" t="s">
        <v>5663</v>
      </c>
      <c r="B3" s="165" t="s">
        <v>783</v>
      </c>
      <c r="C3" s="122" t="s">
        <v>5507</v>
      </c>
      <c r="D3" s="122" t="s">
        <v>6021</v>
      </c>
      <c r="E3" s="122" t="s">
        <v>6022</v>
      </c>
      <c r="F3" s="167">
        <v>2000000</v>
      </c>
    </row>
    <row r="4" spans="1:6" ht="14.5" x14ac:dyDescent="0.35">
      <c r="A4" s="318" t="s">
        <v>5663</v>
      </c>
      <c r="B4" s="165" t="s">
        <v>783</v>
      </c>
      <c r="C4" s="122" t="s">
        <v>5508</v>
      </c>
      <c r="D4" s="122" t="s">
        <v>6021</v>
      </c>
      <c r="E4" s="122" t="s">
        <v>6022</v>
      </c>
      <c r="F4" s="167">
        <v>2000000</v>
      </c>
    </row>
    <row r="5" spans="1:6" ht="14.5" x14ac:dyDescent="0.35">
      <c r="A5" s="318" t="s">
        <v>5663</v>
      </c>
      <c r="B5" s="165" t="s">
        <v>783</v>
      </c>
      <c r="C5" s="122" t="s">
        <v>5509</v>
      </c>
      <c r="D5" s="122" t="s">
        <v>6021</v>
      </c>
      <c r="E5" s="122" t="s">
        <v>6022</v>
      </c>
      <c r="F5" s="167">
        <v>2000000</v>
      </c>
    </row>
    <row r="6" spans="1:6" ht="14.5" x14ac:dyDescent="0.35">
      <c r="A6" s="318" t="s">
        <v>5663</v>
      </c>
      <c r="B6" s="165" t="s">
        <v>783</v>
      </c>
      <c r="C6" s="122" t="s">
        <v>5510</v>
      </c>
      <c r="D6" s="122" t="s">
        <v>6021</v>
      </c>
      <c r="E6" s="122" t="s">
        <v>6022</v>
      </c>
      <c r="F6" s="167">
        <v>2000000</v>
      </c>
    </row>
    <row r="7" spans="1:6" ht="14.5" x14ac:dyDescent="0.35">
      <c r="A7" s="318" t="s">
        <v>5663</v>
      </c>
      <c r="B7" s="165" t="s">
        <v>783</v>
      </c>
      <c r="C7" s="122" t="s">
        <v>5511</v>
      </c>
      <c r="D7" s="122" t="s">
        <v>6021</v>
      </c>
      <c r="E7" s="122" t="s">
        <v>6022</v>
      </c>
      <c r="F7" s="167">
        <v>2000000</v>
      </c>
    </row>
    <row r="8" spans="1:6" ht="14.5" x14ac:dyDescent="0.35">
      <c r="A8" s="318" t="s">
        <v>5663</v>
      </c>
      <c r="B8" s="165" t="s">
        <v>30</v>
      </c>
      <c r="C8" s="122" t="s">
        <v>5508</v>
      </c>
      <c r="D8" s="122" t="s">
        <v>6026</v>
      </c>
      <c r="E8" s="122" t="s">
        <v>6022</v>
      </c>
      <c r="F8" s="167">
        <v>1850000</v>
      </c>
    </row>
    <row r="9" spans="1:6" ht="14.5" x14ac:dyDescent="0.35">
      <c r="A9" s="318" t="s">
        <v>5663</v>
      </c>
      <c r="B9" s="165" t="s">
        <v>30</v>
      </c>
      <c r="C9" s="122" t="s">
        <v>5509</v>
      </c>
      <c r="D9" s="122" t="s">
        <v>6026</v>
      </c>
      <c r="E9" s="122" t="s">
        <v>6022</v>
      </c>
      <c r="F9" s="167">
        <v>1850000</v>
      </c>
    </row>
    <row r="10" spans="1:6" ht="14.5" x14ac:dyDescent="0.35">
      <c r="A10" s="318" t="s">
        <v>5663</v>
      </c>
      <c r="B10" s="165" t="s">
        <v>30</v>
      </c>
      <c r="C10" s="122" t="s">
        <v>5510</v>
      </c>
      <c r="D10" s="122" t="s">
        <v>6026</v>
      </c>
      <c r="E10" s="122" t="s">
        <v>6022</v>
      </c>
      <c r="F10" s="167">
        <v>1850000</v>
      </c>
    </row>
    <row r="11" spans="1:6" ht="14.5" x14ac:dyDescent="0.35">
      <c r="A11" s="318" t="s">
        <v>5663</v>
      </c>
      <c r="B11" s="165" t="s">
        <v>30</v>
      </c>
      <c r="C11" s="122" t="s">
        <v>5511</v>
      </c>
      <c r="D11" s="122" t="s">
        <v>6026</v>
      </c>
      <c r="E11" s="122" t="s">
        <v>6022</v>
      </c>
      <c r="F11" s="167">
        <v>1850000</v>
      </c>
    </row>
    <row r="12" spans="1:6" ht="14.5" x14ac:dyDescent="0.35">
      <c r="A12" s="318" t="s">
        <v>5663</v>
      </c>
      <c r="B12" s="165" t="s">
        <v>30</v>
      </c>
      <c r="C12" s="122" t="s">
        <v>6025</v>
      </c>
      <c r="D12" s="122" t="s">
        <v>6026</v>
      </c>
      <c r="E12" s="122" t="s">
        <v>6022</v>
      </c>
      <c r="F12" s="167">
        <v>1850000</v>
      </c>
    </row>
    <row r="13" spans="1:6" ht="14.5" x14ac:dyDescent="0.35">
      <c r="A13" s="319"/>
      <c r="B13" s="122"/>
      <c r="C13" s="122"/>
      <c r="D13" s="122"/>
      <c r="E13" s="122"/>
      <c r="F13" s="167">
        <f t="shared" ref="F13:F18" si="0">D13*E13</f>
        <v>0</v>
      </c>
    </row>
    <row r="14" spans="1:6" ht="14.5" x14ac:dyDescent="0.35">
      <c r="A14" s="319"/>
      <c r="B14" s="122"/>
      <c r="C14" s="122"/>
      <c r="D14" s="122"/>
      <c r="E14" s="122"/>
      <c r="F14" s="167">
        <f t="shared" si="0"/>
        <v>0</v>
      </c>
    </row>
    <row r="15" spans="1:6" ht="14.5" x14ac:dyDescent="0.35">
      <c r="A15" s="319"/>
      <c r="B15" s="122"/>
      <c r="C15" s="122"/>
      <c r="D15" s="122"/>
      <c r="E15" s="122"/>
      <c r="F15" s="167">
        <f t="shared" si="0"/>
        <v>0</v>
      </c>
    </row>
    <row r="16" spans="1:6" ht="14.5" x14ac:dyDescent="0.35">
      <c r="A16" s="319"/>
      <c r="B16" s="122"/>
      <c r="C16" s="122"/>
      <c r="D16" s="122"/>
      <c r="E16" s="122"/>
      <c r="F16" s="167">
        <f t="shared" si="0"/>
        <v>0</v>
      </c>
    </row>
    <row r="17" spans="1:6" ht="14.5" x14ac:dyDescent="0.35">
      <c r="A17" s="319"/>
      <c r="B17" s="122"/>
      <c r="C17" s="122"/>
      <c r="D17" s="122"/>
      <c r="E17" s="122"/>
      <c r="F17" s="167">
        <f t="shared" si="0"/>
        <v>0</v>
      </c>
    </row>
    <row r="18" spans="1:6" ht="14.5" x14ac:dyDescent="0.35">
      <c r="A18" s="319"/>
      <c r="B18" s="122"/>
      <c r="C18" s="122"/>
      <c r="D18" s="122"/>
      <c r="E18" s="122"/>
      <c r="F18" s="167">
        <f t="shared" si="0"/>
        <v>0</v>
      </c>
    </row>
  </sheetData>
  <hyperlinks>
    <hyperlink ref="E1" location="Header!A1" display="Back to Header" xr:uid="{00000000-0004-0000-1B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1">
        <x14:dataValidation type="list" allowBlank="1" showErrorMessage="1" xr:uid="{00000000-0002-0000-1B00-000000000000}">
          <x14:formula1>
            <xm:f>DATA!$C$151:$C$331</xm:f>
          </x14:formula1>
          <xm:sqref>C3:C18</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orm_0400">
    <tabColor rgb="FF99FF33"/>
  </sheetPr>
  <dimension ref="A1:AA26"/>
  <sheetViews>
    <sheetView showGridLines="0" workbookViewId="0">
      <selection activeCell="C10" sqref="C10"/>
    </sheetView>
  </sheetViews>
  <sheetFormatPr defaultColWidth="14.453125" defaultRowHeight="15" customHeight="1" x14ac:dyDescent="0.35"/>
  <cols>
    <col min="1" max="1" width="6.54296875" customWidth="1"/>
    <col min="2" max="2" width="11.54296875" customWidth="1"/>
    <col min="3" max="3" width="43.08984375" customWidth="1"/>
    <col min="4" max="4" width="11.54296875" customWidth="1"/>
    <col min="5" max="6" width="13.54296875" customWidth="1"/>
    <col min="7" max="7" width="17.54296875" customWidth="1"/>
    <col min="8" max="8" width="14.54296875" customWidth="1"/>
    <col min="9" max="14" width="17.54296875" customWidth="1"/>
    <col min="15" max="15" width="14.54296875" customWidth="1"/>
    <col min="16" max="16" width="15" customWidth="1"/>
    <col min="17" max="17" width="12.54296875" customWidth="1"/>
    <col min="18" max="18" width="14.08984375" customWidth="1"/>
    <col min="19" max="19" width="21.90625" bestFit="1" customWidth="1"/>
    <col min="20" max="21" width="14.08984375" customWidth="1"/>
    <col min="22" max="25" width="13.54296875" customWidth="1"/>
    <col min="26" max="26" width="33.453125" customWidth="1"/>
    <col min="27" max="27" width="12.6328125" bestFit="1" customWidth="1"/>
  </cols>
  <sheetData>
    <row r="1" spans="1:27" thickBot="1" x14ac:dyDescent="0.4">
      <c r="A1" s="103" t="str">
        <f>CONCATENATE("FORM ",Header!A37," - ",Header!B37)</f>
        <v>FORM 0400 - DAFTAR SURAT BERHARGA</v>
      </c>
      <c r="B1" s="134"/>
      <c r="D1" s="134"/>
      <c r="E1" s="134"/>
      <c r="G1" s="105" t="s">
        <v>5124</v>
      </c>
    </row>
    <row r="2" spans="1:27" ht="29.25" customHeight="1" thickBot="1" x14ac:dyDescent="0.4">
      <c r="A2" s="417" t="s">
        <v>5662</v>
      </c>
      <c r="B2" s="417" t="s">
        <v>5232</v>
      </c>
      <c r="C2" s="417" t="s">
        <v>5513</v>
      </c>
      <c r="D2" s="417" t="s">
        <v>5272</v>
      </c>
      <c r="E2" s="419" t="s">
        <v>5271</v>
      </c>
      <c r="F2" s="420"/>
      <c r="G2" s="417" t="s">
        <v>5155</v>
      </c>
      <c r="H2" s="417" t="s">
        <v>5514</v>
      </c>
      <c r="I2" s="417" t="s">
        <v>3249</v>
      </c>
      <c r="J2" s="417" t="s">
        <v>5515</v>
      </c>
      <c r="K2" s="417" t="s">
        <v>5277</v>
      </c>
      <c r="L2" s="417" t="s">
        <v>5516</v>
      </c>
      <c r="M2" s="474" t="s">
        <v>5863</v>
      </c>
      <c r="N2" s="470" t="s">
        <v>5517</v>
      </c>
      <c r="O2" s="470" t="s">
        <v>5378</v>
      </c>
      <c r="P2" s="470" t="s">
        <v>3180</v>
      </c>
      <c r="Q2" s="470" t="s">
        <v>2505</v>
      </c>
      <c r="R2" s="470" t="s">
        <v>5518</v>
      </c>
      <c r="S2" s="470" t="s">
        <v>3197</v>
      </c>
      <c r="T2" s="470" t="s">
        <v>5519</v>
      </c>
      <c r="U2" s="470" t="s">
        <v>5385</v>
      </c>
      <c r="V2" s="470" t="s">
        <v>5520</v>
      </c>
      <c r="W2" s="470" t="s">
        <v>5521</v>
      </c>
      <c r="X2" s="470" t="s">
        <v>5522</v>
      </c>
      <c r="Y2" s="470" t="s">
        <v>5523</v>
      </c>
      <c r="Z2" s="470" t="s">
        <v>3434</v>
      </c>
      <c r="AA2" s="470" t="s">
        <v>5692</v>
      </c>
    </row>
    <row r="3" spans="1:27" ht="29.5" thickBot="1" x14ac:dyDescent="0.4">
      <c r="A3" s="418"/>
      <c r="B3" s="418"/>
      <c r="C3" s="418"/>
      <c r="D3" s="418"/>
      <c r="E3" s="218" t="s">
        <v>5280</v>
      </c>
      <c r="F3" s="218" t="s">
        <v>5281</v>
      </c>
      <c r="G3" s="418"/>
      <c r="H3" s="418"/>
      <c r="I3" s="418"/>
      <c r="J3" s="418"/>
      <c r="K3" s="418"/>
      <c r="L3" s="418"/>
      <c r="M3" s="475"/>
      <c r="N3" s="471"/>
      <c r="O3" s="471"/>
      <c r="P3" s="471"/>
      <c r="Q3" s="471"/>
      <c r="R3" s="471"/>
      <c r="S3" s="471"/>
      <c r="T3" s="471"/>
      <c r="U3" s="471"/>
      <c r="V3" s="471"/>
      <c r="W3" s="471"/>
      <c r="X3" s="471"/>
      <c r="Y3" s="471"/>
      <c r="Z3" s="471"/>
      <c r="AA3" s="471"/>
    </row>
    <row r="4" spans="1:27" ht="29" x14ac:dyDescent="0.35">
      <c r="A4" s="319" t="s">
        <v>5663</v>
      </c>
      <c r="B4" s="122" t="s">
        <v>783</v>
      </c>
      <c r="C4" s="136" t="s">
        <v>5708</v>
      </c>
      <c r="D4" s="192">
        <v>5.5</v>
      </c>
      <c r="E4" s="122" t="s">
        <v>5341</v>
      </c>
      <c r="F4" s="122" t="s">
        <v>5290</v>
      </c>
      <c r="G4" s="132">
        <v>500000</v>
      </c>
      <c r="H4" s="132">
        <v>100000</v>
      </c>
      <c r="I4" s="132">
        <v>500000</v>
      </c>
      <c r="J4" s="132">
        <v>100000</v>
      </c>
      <c r="K4" s="132">
        <v>100000</v>
      </c>
      <c r="L4" s="132">
        <f>IF(LEFT(C3, 1) = "1", 0, M4-I4)</f>
        <v>200000</v>
      </c>
      <c r="M4" s="132">
        <f>G4+J4+K4</f>
        <v>700000</v>
      </c>
      <c r="N4" s="132" t="s">
        <v>5923</v>
      </c>
      <c r="O4" s="132">
        <v>1</v>
      </c>
      <c r="P4" s="132" t="s">
        <v>5710</v>
      </c>
      <c r="Q4" s="132" t="s">
        <v>5709</v>
      </c>
      <c r="R4" s="132">
        <v>300</v>
      </c>
      <c r="S4" s="132" t="s">
        <v>6099</v>
      </c>
      <c r="T4" s="132">
        <v>99</v>
      </c>
      <c r="U4" s="132">
        <v>20180101</v>
      </c>
      <c r="V4" s="132">
        <v>20231231</v>
      </c>
      <c r="W4" s="132">
        <v>5000000</v>
      </c>
      <c r="X4" s="132">
        <v>600000</v>
      </c>
      <c r="Y4" s="132">
        <v>700000</v>
      </c>
      <c r="Z4" s="136" t="s">
        <v>5708</v>
      </c>
      <c r="AA4" s="132" t="s">
        <v>5694</v>
      </c>
    </row>
    <row r="5" spans="1:27" ht="29" x14ac:dyDescent="0.35">
      <c r="A5" s="319" t="s">
        <v>5663</v>
      </c>
      <c r="B5" s="122" t="s">
        <v>783</v>
      </c>
      <c r="C5" s="136" t="s">
        <v>5925</v>
      </c>
      <c r="D5" s="192">
        <v>4</v>
      </c>
      <c r="E5" s="122" t="s">
        <v>5926</v>
      </c>
      <c r="F5" s="122" t="s">
        <v>5290</v>
      </c>
      <c r="G5" s="132">
        <v>100000</v>
      </c>
      <c r="H5" s="132">
        <v>100000</v>
      </c>
      <c r="I5" s="132">
        <v>100000</v>
      </c>
      <c r="J5" s="132">
        <v>100000</v>
      </c>
      <c r="K5" s="132">
        <v>100000</v>
      </c>
      <c r="L5" s="132">
        <f>IF(LEFT(C4, 1) = "1", 0, M5-I5)</f>
        <v>0</v>
      </c>
      <c r="M5" s="132">
        <f>G5+J5+K5</f>
        <v>300000</v>
      </c>
      <c r="N5" s="132" t="s">
        <v>5927</v>
      </c>
      <c r="O5" s="132">
        <v>1</v>
      </c>
      <c r="P5" s="132" t="s">
        <v>5710</v>
      </c>
      <c r="Q5" s="132" t="s">
        <v>5709</v>
      </c>
      <c r="R5" s="132">
        <v>300</v>
      </c>
      <c r="S5" s="132" t="s">
        <v>5924</v>
      </c>
      <c r="T5" s="132" t="s">
        <v>10</v>
      </c>
      <c r="U5" s="132"/>
      <c r="V5" s="132">
        <v>20231231</v>
      </c>
      <c r="W5" s="132">
        <v>5000000</v>
      </c>
      <c r="X5" s="132">
        <v>600000</v>
      </c>
      <c r="Y5" s="132">
        <v>700000</v>
      </c>
      <c r="Z5" s="136" t="s">
        <v>5708</v>
      </c>
      <c r="AA5" s="132" t="s">
        <v>5694</v>
      </c>
    </row>
    <row r="6" spans="1:27" ht="29" x14ac:dyDescent="0.35">
      <c r="A6" s="319" t="s">
        <v>5663</v>
      </c>
      <c r="B6" s="122" t="s">
        <v>30</v>
      </c>
      <c r="C6" s="136" t="s">
        <v>5708</v>
      </c>
      <c r="D6" s="192">
        <v>5.57</v>
      </c>
      <c r="E6" s="122" t="s">
        <v>5928</v>
      </c>
      <c r="F6" s="122" t="s">
        <v>5290</v>
      </c>
      <c r="G6" s="132">
        <v>700000</v>
      </c>
      <c r="H6" s="132">
        <v>100000</v>
      </c>
      <c r="I6" s="132">
        <v>100000</v>
      </c>
      <c r="J6" s="132">
        <v>100000</v>
      </c>
      <c r="K6" s="132">
        <v>100000</v>
      </c>
      <c r="L6" s="132">
        <f>IF(LEFT(C5, 1) = "1", 0, M6-I6)</f>
        <v>800000</v>
      </c>
      <c r="M6" s="132">
        <f>G6+J6+K6</f>
        <v>900000</v>
      </c>
      <c r="N6" s="132" t="s">
        <v>5929</v>
      </c>
      <c r="O6" s="132">
        <v>1</v>
      </c>
      <c r="P6" s="132" t="s">
        <v>5930</v>
      </c>
      <c r="Q6" s="132" t="s">
        <v>5709</v>
      </c>
      <c r="R6" s="132">
        <v>300</v>
      </c>
      <c r="S6" s="132" t="s">
        <v>5924</v>
      </c>
      <c r="T6" s="132" t="s">
        <v>10</v>
      </c>
      <c r="U6" s="132"/>
      <c r="V6" s="132">
        <v>20231231</v>
      </c>
      <c r="W6" s="132">
        <v>5000000</v>
      </c>
      <c r="X6" s="132">
        <v>600000</v>
      </c>
      <c r="Y6" s="132">
        <v>700000</v>
      </c>
      <c r="Z6" s="136" t="s">
        <v>5708</v>
      </c>
      <c r="AA6" s="132" t="s">
        <v>5694</v>
      </c>
    </row>
    <row r="7" spans="1:27" ht="29" x14ac:dyDescent="0.35">
      <c r="A7" s="319" t="s">
        <v>5663</v>
      </c>
      <c r="B7" s="122" t="s">
        <v>30</v>
      </c>
      <c r="C7" s="136" t="s">
        <v>5925</v>
      </c>
      <c r="D7" s="192">
        <v>5.58</v>
      </c>
      <c r="E7" s="122" t="s">
        <v>5931</v>
      </c>
      <c r="F7" s="122" t="s">
        <v>5290</v>
      </c>
      <c r="G7" s="132">
        <v>100000</v>
      </c>
      <c r="H7" s="132">
        <v>100000</v>
      </c>
      <c r="I7" s="132">
        <v>500000</v>
      </c>
      <c r="J7" s="132">
        <v>100000</v>
      </c>
      <c r="K7" s="132">
        <v>100000</v>
      </c>
      <c r="L7" s="132">
        <f>IF(LEFT(C6, 1) = "1", 0, M7-I7)</f>
        <v>0</v>
      </c>
      <c r="M7" s="132">
        <f>G7+J7+K7</f>
        <v>300000</v>
      </c>
      <c r="N7" s="132" t="s">
        <v>5932</v>
      </c>
      <c r="O7" s="132">
        <v>1</v>
      </c>
      <c r="P7" s="132" t="s">
        <v>5710</v>
      </c>
      <c r="Q7" s="132" t="s">
        <v>5709</v>
      </c>
      <c r="R7" s="132">
        <v>300</v>
      </c>
      <c r="S7" s="132" t="s">
        <v>5924</v>
      </c>
      <c r="T7" s="132" t="s">
        <v>10</v>
      </c>
      <c r="U7" s="132"/>
      <c r="V7" s="132">
        <v>20231231</v>
      </c>
      <c r="W7" s="132">
        <v>5000000</v>
      </c>
      <c r="X7" s="132">
        <v>600000</v>
      </c>
      <c r="Y7" s="132">
        <v>700000</v>
      </c>
      <c r="Z7" s="136" t="s">
        <v>5708</v>
      </c>
      <c r="AA7" s="132" t="s">
        <v>5694</v>
      </c>
    </row>
    <row r="8" spans="1:27" ht="14.5" x14ac:dyDescent="0.35">
      <c r="A8" s="134"/>
      <c r="B8" s="134"/>
      <c r="C8" s="134"/>
      <c r="D8" s="133"/>
      <c r="E8" s="134"/>
      <c r="T8" s="88"/>
    </row>
    <row r="9" spans="1:27" ht="15" customHeight="1" x14ac:dyDescent="0.35">
      <c r="D9" s="322"/>
    </row>
    <row r="10" spans="1:27" ht="15" customHeight="1" x14ac:dyDescent="0.35">
      <c r="D10" s="322"/>
    </row>
    <row r="11" spans="1:27" ht="15" customHeight="1" x14ac:dyDescent="0.35">
      <c r="D11" s="322"/>
    </row>
    <row r="12" spans="1:27" ht="15" customHeight="1" x14ac:dyDescent="0.35">
      <c r="D12" s="322"/>
    </row>
    <row r="13" spans="1:27" ht="15" customHeight="1" x14ac:dyDescent="0.35">
      <c r="D13" s="322"/>
    </row>
    <row r="14" spans="1:27" ht="15" customHeight="1" x14ac:dyDescent="0.35">
      <c r="D14" s="322"/>
    </row>
    <row r="15" spans="1:27" ht="15" customHeight="1" x14ac:dyDescent="0.35">
      <c r="D15" s="322"/>
    </row>
    <row r="16" spans="1:27" ht="15" customHeight="1" x14ac:dyDescent="0.35">
      <c r="D16" s="322"/>
    </row>
    <row r="17" spans="4:4" ht="15" customHeight="1" x14ac:dyDescent="0.35">
      <c r="D17" s="322"/>
    </row>
    <row r="18" spans="4:4" ht="15" customHeight="1" x14ac:dyDescent="0.35">
      <c r="D18" s="322"/>
    </row>
    <row r="19" spans="4:4" ht="15" customHeight="1" x14ac:dyDescent="0.35">
      <c r="D19" s="322"/>
    </row>
    <row r="20" spans="4:4" ht="15" customHeight="1" x14ac:dyDescent="0.35">
      <c r="D20" s="322"/>
    </row>
    <row r="21" spans="4:4" ht="15" customHeight="1" x14ac:dyDescent="0.35">
      <c r="D21" s="322"/>
    </row>
    <row r="22" spans="4:4" ht="15" customHeight="1" x14ac:dyDescent="0.35">
      <c r="D22" s="322"/>
    </row>
    <row r="23" spans="4:4" ht="15" customHeight="1" x14ac:dyDescent="0.35">
      <c r="D23" s="322"/>
    </row>
    <row r="24" spans="4:4" ht="15" customHeight="1" x14ac:dyDescent="0.35">
      <c r="D24" s="322"/>
    </row>
    <row r="25" spans="4:4" ht="15" customHeight="1" x14ac:dyDescent="0.35">
      <c r="D25" s="322"/>
    </row>
    <row r="26" spans="4:4" ht="15" customHeight="1" x14ac:dyDescent="0.35">
      <c r="D26" s="322"/>
    </row>
  </sheetData>
  <mergeCells count="26">
    <mergeCell ref="A2:A3"/>
    <mergeCell ref="B2:B3"/>
    <mergeCell ref="C2:C3"/>
    <mergeCell ref="D2:D3"/>
    <mergeCell ref="E2:F2"/>
    <mergeCell ref="G2:G3"/>
    <mergeCell ref="H2:H3"/>
    <mergeCell ref="I2:I3"/>
    <mergeCell ref="J2:J3"/>
    <mergeCell ref="K2:K3"/>
    <mergeCell ref="L2:L3"/>
    <mergeCell ref="M2:M3"/>
    <mergeCell ref="N2:N3"/>
    <mergeCell ref="O2:O3"/>
    <mergeCell ref="P2:P3"/>
    <mergeCell ref="Q2:Q3"/>
    <mergeCell ref="R2:R3"/>
    <mergeCell ref="S2:S3"/>
    <mergeCell ref="T2:T3"/>
    <mergeCell ref="U2:U3"/>
    <mergeCell ref="AA2:AA3"/>
    <mergeCell ref="V2:V3"/>
    <mergeCell ref="W2:W3"/>
    <mergeCell ref="X2:X3"/>
    <mergeCell ref="Y2:Y3"/>
    <mergeCell ref="Z2:Z3"/>
  </mergeCells>
  <hyperlinks>
    <hyperlink ref="G1" location="Header!A1" display="Back to Header" xr:uid="{00000000-0004-0000-1D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6">
        <x14:dataValidation type="list" allowBlank="1" showErrorMessage="1" xr:uid="{00000000-0002-0000-1D00-000000000000}">
          <x14:formula1>
            <xm:f>DATA!$C$747:$C$749</xm:f>
          </x14:formula1>
          <xm:sqref>C4:C7 Z4:Z7</xm:sqref>
        </x14:dataValidation>
        <x14:dataValidation type="list" allowBlank="1" showErrorMessage="1" xr:uid="{00000000-0002-0000-1D00-000001000000}">
          <x14:formula1>
            <xm:f>DATA!$C$754:$C$755</xm:f>
          </x14:formula1>
          <xm:sqref>AA4:AA7</xm:sqref>
        </x14:dataValidation>
        <x14:dataValidation type="list" allowBlank="1" showErrorMessage="1" xr:uid="{00000000-0002-0000-1D00-000002000000}">
          <x14:formula1>
            <xm:f>DATA!$M$6:$M$38</xm:f>
          </x14:formula1>
          <xm:sqref>T4:T7</xm:sqref>
        </x14:dataValidation>
        <x14:dataValidation type="list" allowBlank="1" showErrorMessage="1" xr:uid="{00000000-0002-0000-1D00-000003000000}">
          <x14:formula1>
            <xm:f>DATA!$C$651:$C$656</xm:f>
          </x14:formula1>
          <xm:sqref>S4:S7</xm:sqref>
        </x14:dataValidation>
        <x14:dataValidation type="list" allowBlank="1" showErrorMessage="1" xr:uid="{00000000-0002-0000-1D00-000004000000}">
          <x14:formula1>
            <xm:f>DATA!$C$349:$C$351</xm:f>
          </x14:formula1>
          <xm:sqref>Q4:Q7</xm:sqref>
        </x14:dataValidation>
        <x14:dataValidation type="list" allowBlank="1" showErrorMessage="1" xr:uid="{00000000-0002-0000-1D00-000005000000}">
          <x14:formula1>
            <xm:f>DATA!$C$645:$C$647</xm:f>
          </x14:formula1>
          <xm:sqref>P4:P7</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orm_0500">
    <tabColor rgb="FF99FF33"/>
  </sheetPr>
  <dimension ref="A1:W27"/>
  <sheetViews>
    <sheetView showGridLines="0" topLeftCell="P1" workbookViewId="0">
      <selection activeCell="A2" sqref="A2:W3"/>
    </sheetView>
  </sheetViews>
  <sheetFormatPr defaultColWidth="14.453125" defaultRowHeight="15" customHeight="1" x14ac:dyDescent="0.35"/>
  <cols>
    <col min="1" max="1" width="7.08984375" customWidth="1"/>
    <col min="2" max="2" width="10.54296875" customWidth="1"/>
    <col min="3" max="3" width="11.08984375" customWidth="1"/>
    <col min="4" max="4" width="26.453125" bestFit="1" customWidth="1"/>
    <col min="5" max="5" width="17.453125" customWidth="1"/>
    <col min="6" max="6" width="37.54296875" customWidth="1"/>
    <col min="7" max="8" width="13.36328125" customWidth="1"/>
    <col min="9" max="9" width="21.54296875" customWidth="1"/>
    <col min="10" max="10" width="7.08984375" customWidth="1"/>
    <col min="11" max="11" width="31.453125" customWidth="1"/>
    <col min="12" max="12" width="13.90625" customWidth="1"/>
    <col min="13" max="13" width="18.54296875" customWidth="1"/>
    <col min="14" max="14" width="14.54296875" customWidth="1"/>
    <col min="15" max="15" width="17.08984375" customWidth="1"/>
    <col min="16" max="16" width="17.90625" customWidth="1"/>
    <col min="17" max="17" width="17.08984375" customWidth="1"/>
    <col min="18" max="23" width="17.36328125" customWidth="1"/>
    <col min="24" max="26" width="8.54296875" customWidth="1"/>
  </cols>
  <sheetData>
    <row r="1" spans="1:23" thickBot="1" x14ac:dyDescent="0.4">
      <c r="A1" s="103" t="str">
        <f>CONCATENATE("FORM ",Header!A38," - ",Header!B38)</f>
        <v>FORM 0500 - DAFTAR PENEMPATAN PADA BANK LAIN</v>
      </c>
      <c r="B1" s="134"/>
      <c r="C1" s="134"/>
      <c r="D1" s="134"/>
      <c r="E1" s="105" t="s">
        <v>5124</v>
      </c>
      <c r="F1" s="134"/>
      <c r="G1" s="134"/>
      <c r="H1" s="134"/>
      <c r="I1" s="134"/>
      <c r="L1" s="134"/>
      <c r="P1" s="134"/>
    </row>
    <row r="2" spans="1:23" thickBot="1" x14ac:dyDescent="0.4">
      <c r="A2" s="417" t="s">
        <v>5662</v>
      </c>
      <c r="B2" s="417" t="s">
        <v>5232</v>
      </c>
      <c r="C2" s="417" t="s">
        <v>5268</v>
      </c>
      <c r="D2" s="417" t="s">
        <v>5524</v>
      </c>
      <c r="E2" s="417" t="s">
        <v>3180</v>
      </c>
      <c r="F2" s="417" t="s">
        <v>5270</v>
      </c>
      <c r="G2" s="419" t="s">
        <v>5271</v>
      </c>
      <c r="H2" s="420"/>
      <c r="I2" s="417" t="s">
        <v>2505</v>
      </c>
      <c r="J2" s="417" t="s">
        <v>5272</v>
      </c>
      <c r="K2" s="417" t="s">
        <v>5265</v>
      </c>
      <c r="L2" s="417" t="s">
        <v>5525</v>
      </c>
      <c r="M2" s="417" t="s">
        <v>2325</v>
      </c>
      <c r="N2" s="485" t="s">
        <v>5518</v>
      </c>
      <c r="O2" s="417" t="s">
        <v>5526</v>
      </c>
      <c r="P2" s="417" t="s">
        <v>5864</v>
      </c>
      <c r="Q2" s="417" t="s">
        <v>5527</v>
      </c>
      <c r="R2" s="470" t="s">
        <v>5378</v>
      </c>
      <c r="S2" s="470" t="s">
        <v>5521</v>
      </c>
      <c r="T2" s="470" t="s">
        <v>5522</v>
      </c>
      <c r="U2" s="470" t="s">
        <v>5523</v>
      </c>
      <c r="V2" s="470" t="s">
        <v>3434</v>
      </c>
      <c r="W2" s="470" t="s">
        <v>5692</v>
      </c>
    </row>
    <row r="3" spans="1:23" ht="29.5" thickBot="1" x14ac:dyDescent="0.4">
      <c r="A3" s="418"/>
      <c r="B3" s="418"/>
      <c r="C3" s="418"/>
      <c r="D3" s="418"/>
      <c r="E3" s="418"/>
      <c r="F3" s="418"/>
      <c r="G3" s="218" t="s">
        <v>5280</v>
      </c>
      <c r="H3" s="218" t="s">
        <v>5281</v>
      </c>
      <c r="I3" s="418"/>
      <c r="J3" s="418"/>
      <c r="K3" s="418"/>
      <c r="L3" s="418"/>
      <c r="M3" s="418"/>
      <c r="N3" s="486"/>
      <c r="O3" s="418"/>
      <c r="P3" s="418"/>
      <c r="Q3" s="418"/>
      <c r="R3" s="471"/>
      <c r="S3" s="471"/>
      <c r="T3" s="471"/>
      <c r="U3" s="471"/>
      <c r="V3" s="471"/>
      <c r="W3" s="471"/>
    </row>
    <row r="4" spans="1:23" ht="14.5" x14ac:dyDescent="0.35">
      <c r="A4" s="122" t="s">
        <v>5663</v>
      </c>
      <c r="B4" s="122" t="s">
        <v>783</v>
      </c>
      <c r="C4" s="132" t="s">
        <v>5711</v>
      </c>
      <c r="D4" s="132" t="s">
        <v>5933</v>
      </c>
      <c r="E4" s="132" t="s">
        <v>5945</v>
      </c>
      <c r="F4" s="132" t="s">
        <v>5712</v>
      </c>
      <c r="G4" s="122" t="s">
        <v>5341</v>
      </c>
      <c r="H4" s="122" t="s">
        <v>5290</v>
      </c>
      <c r="I4" s="132" t="s">
        <v>5709</v>
      </c>
      <c r="J4" s="122">
        <v>5.5</v>
      </c>
      <c r="K4" s="132">
        <v>100000</v>
      </c>
      <c r="L4" s="132">
        <v>100000</v>
      </c>
      <c r="M4" s="132" t="s">
        <v>5602</v>
      </c>
      <c r="N4" s="132">
        <v>100000</v>
      </c>
      <c r="O4" s="132">
        <v>5000</v>
      </c>
      <c r="P4" s="132"/>
      <c r="Q4" s="132" t="s">
        <v>5934</v>
      </c>
      <c r="R4" s="132" t="s">
        <v>5935</v>
      </c>
      <c r="S4" s="132">
        <v>500000</v>
      </c>
      <c r="T4" s="132">
        <v>600000</v>
      </c>
      <c r="U4" s="132">
        <v>700000</v>
      </c>
      <c r="V4" s="132" t="s">
        <v>5708</v>
      </c>
      <c r="W4" s="132" t="s">
        <v>5694</v>
      </c>
    </row>
    <row r="5" spans="1:23" ht="14.5" x14ac:dyDescent="0.35">
      <c r="A5" s="122" t="s">
        <v>5663</v>
      </c>
      <c r="B5" s="122" t="s">
        <v>783</v>
      </c>
      <c r="C5" s="122" t="s">
        <v>5711</v>
      </c>
      <c r="D5" s="111" t="s">
        <v>5936</v>
      </c>
      <c r="E5" s="122" t="s">
        <v>5937</v>
      </c>
      <c r="F5" s="122" t="s">
        <v>5938</v>
      </c>
      <c r="G5" s="122" t="s">
        <v>5341</v>
      </c>
      <c r="H5" s="122" t="s">
        <v>5290</v>
      </c>
      <c r="I5" s="122" t="s">
        <v>5709</v>
      </c>
      <c r="J5" s="122">
        <v>5.51</v>
      </c>
      <c r="K5" s="132">
        <v>100000</v>
      </c>
      <c r="L5" s="132">
        <v>100000</v>
      </c>
      <c r="M5" s="122" t="s">
        <v>5602</v>
      </c>
      <c r="N5" s="132">
        <v>100000</v>
      </c>
      <c r="O5" s="132">
        <v>5000</v>
      </c>
      <c r="P5" s="132"/>
      <c r="Q5" s="122" t="s">
        <v>5939</v>
      </c>
      <c r="R5" s="132" t="s">
        <v>5935</v>
      </c>
      <c r="S5" s="132">
        <v>500000</v>
      </c>
      <c r="T5" s="132">
        <v>600000</v>
      </c>
      <c r="U5" s="132">
        <v>700000</v>
      </c>
      <c r="V5" s="132" t="s">
        <v>5708</v>
      </c>
      <c r="W5" s="132" t="s">
        <v>5694</v>
      </c>
    </row>
    <row r="6" spans="1:23" ht="14.5" x14ac:dyDescent="0.35">
      <c r="A6" s="122" t="s">
        <v>5663</v>
      </c>
      <c r="B6" s="122" t="s">
        <v>30</v>
      </c>
      <c r="C6" s="122" t="s">
        <v>5868</v>
      </c>
      <c r="D6" s="111" t="s">
        <v>5940</v>
      </c>
      <c r="E6" s="122" t="s">
        <v>5941</v>
      </c>
      <c r="F6" s="122" t="s">
        <v>5942</v>
      </c>
      <c r="G6" s="122" t="s">
        <v>5341</v>
      </c>
      <c r="H6" s="122" t="s">
        <v>5290</v>
      </c>
      <c r="I6" s="122" t="s">
        <v>5943</v>
      </c>
      <c r="J6" s="122">
        <v>5.52</v>
      </c>
      <c r="K6" s="132">
        <v>100000</v>
      </c>
      <c r="L6" s="132">
        <v>100000</v>
      </c>
      <c r="M6" s="122" t="s">
        <v>5606</v>
      </c>
      <c r="N6" s="132">
        <v>100000</v>
      </c>
      <c r="O6" s="132"/>
      <c r="P6" s="132">
        <v>5000</v>
      </c>
      <c r="Q6" s="122" t="s">
        <v>5939</v>
      </c>
      <c r="R6" s="132" t="s">
        <v>5935</v>
      </c>
      <c r="S6" s="132">
        <v>500000</v>
      </c>
      <c r="T6" s="132">
        <v>600000</v>
      </c>
      <c r="U6" s="132">
        <v>700000</v>
      </c>
      <c r="V6" s="132" t="s">
        <v>5708</v>
      </c>
      <c r="W6" s="132" t="s">
        <v>5694</v>
      </c>
    </row>
    <row r="7" spans="1:23" ht="14.5" x14ac:dyDescent="0.35">
      <c r="A7" s="122" t="s">
        <v>5663</v>
      </c>
      <c r="B7" s="122" t="s">
        <v>30</v>
      </c>
      <c r="C7" s="122" t="s">
        <v>5868</v>
      </c>
      <c r="D7" s="111" t="s">
        <v>5944</v>
      </c>
      <c r="E7" s="122" t="s">
        <v>5945</v>
      </c>
      <c r="F7" s="122" t="s">
        <v>5946</v>
      </c>
      <c r="G7" s="122" t="s">
        <v>5341</v>
      </c>
      <c r="H7" s="122" t="s">
        <v>5290</v>
      </c>
      <c r="I7" s="122" t="s">
        <v>5947</v>
      </c>
      <c r="J7" s="122">
        <v>5.53</v>
      </c>
      <c r="K7" s="132">
        <v>100000</v>
      </c>
      <c r="L7" s="132">
        <v>100000</v>
      </c>
      <c r="M7" s="122" t="s">
        <v>5610</v>
      </c>
      <c r="N7" s="132">
        <v>100000</v>
      </c>
      <c r="O7" s="132"/>
      <c r="P7" s="132">
        <v>5000</v>
      </c>
      <c r="Q7" s="122" t="s">
        <v>5948</v>
      </c>
      <c r="R7" s="132" t="s">
        <v>5935</v>
      </c>
      <c r="S7" s="132">
        <v>500000</v>
      </c>
      <c r="T7" s="132">
        <v>600000</v>
      </c>
      <c r="U7" s="132">
        <v>700000</v>
      </c>
      <c r="V7" s="132" t="s">
        <v>5708</v>
      </c>
      <c r="W7" s="132" t="s">
        <v>5694</v>
      </c>
    </row>
    <row r="9" spans="1:23" ht="15" customHeight="1" x14ac:dyDescent="0.35">
      <c r="A9" s="397"/>
    </row>
    <row r="10" spans="1:23" ht="15" customHeight="1" x14ac:dyDescent="0.35">
      <c r="A10" s="397"/>
    </row>
    <row r="11" spans="1:23" ht="15" customHeight="1" x14ac:dyDescent="0.35">
      <c r="A11" s="397"/>
    </row>
    <row r="12" spans="1:23" ht="15" customHeight="1" x14ac:dyDescent="0.35">
      <c r="A12" s="397"/>
    </row>
    <row r="13" spans="1:23" ht="15" customHeight="1" x14ac:dyDescent="0.35">
      <c r="A13" s="397"/>
    </row>
    <row r="14" spans="1:23" ht="15" customHeight="1" x14ac:dyDescent="0.35">
      <c r="A14" s="397"/>
    </row>
    <row r="15" spans="1:23" ht="15" customHeight="1" x14ac:dyDescent="0.35">
      <c r="A15" s="397"/>
    </row>
    <row r="16" spans="1:23" ht="15" customHeight="1" x14ac:dyDescent="0.35">
      <c r="A16" s="397"/>
    </row>
    <row r="17" spans="1:1" ht="15" customHeight="1" x14ac:dyDescent="0.35">
      <c r="A17" s="397"/>
    </row>
    <row r="18" spans="1:1" ht="15" customHeight="1" x14ac:dyDescent="0.35">
      <c r="A18" s="397"/>
    </row>
    <row r="19" spans="1:1" ht="15" customHeight="1" x14ac:dyDescent="0.35">
      <c r="A19" s="397"/>
    </row>
    <row r="20" spans="1:1" ht="15" customHeight="1" x14ac:dyDescent="0.35">
      <c r="A20" s="397"/>
    </row>
    <row r="21" spans="1:1" ht="15" customHeight="1" x14ac:dyDescent="0.35">
      <c r="A21" s="397"/>
    </row>
    <row r="22" spans="1:1" ht="15" customHeight="1" x14ac:dyDescent="0.35">
      <c r="A22" s="397"/>
    </row>
    <row r="23" spans="1:1" ht="15" customHeight="1" x14ac:dyDescent="0.35">
      <c r="A23" s="397"/>
    </row>
    <row r="24" spans="1:1" ht="15" customHeight="1" x14ac:dyDescent="0.35">
      <c r="A24" s="397"/>
    </row>
    <row r="25" spans="1:1" ht="15" customHeight="1" x14ac:dyDescent="0.35">
      <c r="A25" s="397"/>
    </row>
    <row r="26" spans="1:1" ht="15" customHeight="1" x14ac:dyDescent="0.35">
      <c r="A26" s="397"/>
    </row>
    <row r="27" spans="1:1" ht="15" customHeight="1" x14ac:dyDescent="0.35">
      <c r="A27" s="397"/>
    </row>
  </sheetData>
  <mergeCells count="22">
    <mergeCell ref="W2:W3"/>
    <mergeCell ref="A2:A3"/>
    <mergeCell ref="B2:B3"/>
    <mergeCell ref="C2:C3"/>
    <mergeCell ref="D2:D3"/>
    <mergeCell ref="E2:E3"/>
    <mergeCell ref="F2:F3"/>
    <mergeCell ref="G2:H2"/>
    <mergeCell ref="I2:I3"/>
    <mergeCell ref="J2:J3"/>
    <mergeCell ref="K2:K3"/>
    <mergeCell ref="L2:L3"/>
    <mergeCell ref="M2:M3"/>
    <mergeCell ref="N2:N3"/>
    <mergeCell ref="O2:O3"/>
    <mergeCell ref="P2:P3"/>
    <mergeCell ref="V2:V3"/>
    <mergeCell ref="Q2:Q3"/>
    <mergeCell ref="R2:R3"/>
    <mergeCell ref="S2:S3"/>
    <mergeCell ref="T2:T3"/>
    <mergeCell ref="U2:U3"/>
  </mergeCells>
  <hyperlinks>
    <hyperlink ref="E1" location="Header!A1" display="Back to Header" xr:uid="{00000000-0004-0000-1E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9">
        <x14:dataValidation type="list" allowBlank="1" showErrorMessage="1" xr:uid="{00000000-0002-0000-1E00-000001000000}">
          <x14:formula1>
            <xm:f>DATA!$G$5:$G$566</xm:f>
          </x14:formula1>
          <xm:sqref>D4</xm:sqref>
        </x14:dataValidation>
        <x14:dataValidation type="list" allowBlank="1" showErrorMessage="1" xr:uid="{00000000-0002-0000-1E00-000002000000}">
          <x14:formula1>
            <xm:f>DATA!$C$340:$C$345</xm:f>
          </x14:formula1>
          <xm:sqref>E4</xm:sqref>
        </x14:dataValidation>
        <x14:dataValidation type="list" allowBlank="1" showErrorMessage="1" xr:uid="{00000000-0002-0000-1E00-000003000000}">
          <x14:formula1>
            <xm:f>DATA!$C$55:$C$60</xm:f>
          </x14:formula1>
          <xm:sqref>F4</xm:sqref>
        </x14:dataValidation>
        <x14:dataValidation type="list" allowBlank="1" showErrorMessage="1" xr:uid="{00000000-0002-0000-1E00-000004000000}">
          <x14:formula1>
            <xm:f>DATA!$C$349:$C$351</xm:f>
          </x14:formula1>
          <xm:sqref>I4</xm:sqref>
        </x14:dataValidation>
        <x14:dataValidation type="list" allowBlank="1" showErrorMessage="1" xr:uid="{00000000-0002-0000-1E00-000005000000}">
          <x14:formula1>
            <xm:f>DATA!$C$355:$C$357</xm:f>
          </x14:formula1>
          <xm:sqref>M4</xm:sqref>
        </x14:dataValidation>
        <x14:dataValidation type="list" allowBlank="1" showErrorMessage="1" xr:uid="{00000000-0002-0000-1E00-000006000000}">
          <x14:formula1>
            <xm:f>DATA!$C$361:$C$367</xm:f>
          </x14:formula1>
          <xm:sqref>Q4</xm:sqref>
        </x14:dataValidation>
        <x14:dataValidation type="list" allowBlank="1" showErrorMessage="1" xr:uid="{00000000-0002-0000-1E00-000007000000}">
          <x14:formula1>
            <xm:f>DATA!$C$747:$C$749</xm:f>
          </x14:formula1>
          <xm:sqref>V4</xm:sqref>
        </x14:dataValidation>
        <x14:dataValidation type="list" allowBlank="1" showErrorMessage="1" xr:uid="{00000000-0002-0000-1E00-000008000000}">
          <x14:formula1>
            <xm:f>DATA!$C$754:$C$755</xm:f>
          </x14:formula1>
          <xm:sqref>W4</xm:sqref>
        </x14:dataValidation>
        <x14:dataValidation type="list" allowBlank="1" showErrorMessage="1" xr:uid="{00000000-0002-0000-1E00-000000000000}">
          <x14:formula1>
            <xm:f>DATA!$K$209:$K$2004</xm:f>
          </x14:formula1>
          <xm:sqref>C4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orm_0600">
    <tabColor rgb="FF99FF33"/>
  </sheetPr>
  <dimension ref="A1:BF17"/>
  <sheetViews>
    <sheetView showGridLines="0" topLeftCell="AT1" workbookViewId="0">
      <selection activeCell="AW5" sqref="AW5"/>
    </sheetView>
  </sheetViews>
  <sheetFormatPr defaultColWidth="14.453125" defaultRowHeight="15" customHeight="1" x14ac:dyDescent="0.35"/>
  <cols>
    <col min="1" max="1" width="7.453125" customWidth="1"/>
    <col min="2" max="2" width="12.54296875" customWidth="1"/>
    <col min="3" max="3" width="12.453125" customWidth="1"/>
    <col min="4" max="4" width="15.54296875" customWidth="1"/>
    <col min="5" max="5" width="18.54296875" customWidth="1"/>
    <col min="6" max="6" width="35" customWidth="1"/>
    <col min="7" max="7" width="20" customWidth="1"/>
    <col min="8" max="8" width="28.54296875" customWidth="1"/>
    <col min="9" max="9" width="21.453125" customWidth="1"/>
    <col min="10" max="10" width="56.6328125" customWidth="1"/>
    <col min="11" max="11" width="22.54296875" customWidth="1"/>
    <col min="12" max="12" width="14.54296875" customWidth="1"/>
    <col min="13" max="13" width="15.453125" customWidth="1"/>
    <col min="14" max="14" width="18" customWidth="1"/>
    <col min="15" max="15" width="10" customWidth="1"/>
    <col min="16" max="16" width="18.08984375" customWidth="1"/>
    <col min="17" max="17" width="15.90625" customWidth="1"/>
    <col min="18" max="21" width="12.54296875" customWidth="1"/>
    <col min="22" max="22" width="16.90625" customWidth="1"/>
    <col min="23" max="23" width="29.08984375" customWidth="1"/>
    <col min="24" max="24" width="28.08984375" customWidth="1"/>
    <col min="25" max="25" width="58.08984375" customWidth="1"/>
    <col min="26" max="26" width="19.54296875" customWidth="1"/>
    <col min="27" max="27" width="29.54296875" customWidth="1"/>
    <col min="28" max="28" width="13.54296875" customWidth="1"/>
    <col min="29" max="29" width="14" customWidth="1"/>
    <col min="30" max="30" width="26.54296875" bestFit="1" customWidth="1"/>
    <col min="31" max="31" width="20.08984375" customWidth="1"/>
    <col min="32" max="32" width="15.54296875" customWidth="1"/>
    <col min="33" max="33" width="12.453125" customWidth="1"/>
    <col min="34" max="34" width="9.08984375" customWidth="1"/>
    <col min="35" max="35" width="13" customWidth="1"/>
    <col min="36" max="36" width="13.453125" customWidth="1"/>
    <col min="37" max="37" width="19.453125" customWidth="1"/>
    <col min="38" max="38" width="16.453125" customWidth="1"/>
    <col min="39" max="39" width="24.54296875" customWidth="1"/>
    <col min="40" max="40" width="17" customWidth="1"/>
    <col min="41" max="41" width="18.08984375" customWidth="1"/>
    <col min="42" max="42" width="26.453125" customWidth="1"/>
    <col min="43" max="43" width="23.453125" customWidth="1"/>
    <col min="44" max="44" width="16.08984375" customWidth="1"/>
    <col min="45" max="45" width="16.453125" customWidth="1"/>
    <col min="46" max="46" width="11.90625" customWidth="1"/>
    <col min="47" max="50" width="36" customWidth="1"/>
    <col min="51" max="52" width="11.6328125" customWidth="1"/>
    <col min="53" max="55" width="18.90625" customWidth="1"/>
    <col min="56" max="56" width="17.08984375" customWidth="1"/>
    <col min="57" max="57" width="27.08984375" customWidth="1"/>
    <col min="58" max="58" width="12.6328125" bestFit="1" customWidth="1"/>
  </cols>
  <sheetData>
    <row r="1" spans="1:58" ht="14.5" x14ac:dyDescent="0.35">
      <c r="A1" s="323" t="str">
        <f>CONCATENATE("FORM ",Header!A39," - ",Header!B39)</f>
        <v>FORM 0600 - DAFTAR KREDIT YANG DIBERIKAN</v>
      </c>
      <c r="B1" s="257"/>
      <c r="C1" s="255"/>
      <c r="D1" s="255"/>
      <c r="E1" s="257"/>
      <c r="F1" s="324"/>
      <c r="G1" s="256" t="s">
        <v>5124</v>
      </c>
      <c r="H1" s="325"/>
      <c r="I1" s="325"/>
      <c r="J1" s="326"/>
      <c r="K1" s="326"/>
      <c r="L1" s="326"/>
      <c r="M1" s="326"/>
      <c r="N1" s="326"/>
      <c r="O1" s="326"/>
      <c r="P1" s="325"/>
      <c r="Q1" s="326"/>
      <c r="R1" s="326"/>
      <c r="S1" s="326"/>
      <c r="T1" s="327"/>
      <c r="U1" s="327"/>
      <c r="V1" s="326"/>
      <c r="W1" s="326"/>
      <c r="X1" s="325"/>
      <c r="Y1" s="325"/>
      <c r="Z1" s="326"/>
      <c r="AA1" s="326"/>
      <c r="AB1" s="327"/>
      <c r="AC1" s="327"/>
      <c r="AD1" s="326"/>
      <c r="AE1" s="327"/>
      <c r="AF1" s="327"/>
      <c r="AG1" s="327"/>
      <c r="AH1" s="327"/>
      <c r="AI1" s="327"/>
      <c r="AJ1" s="327"/>
      <c r="AK1" s="327"/>
      <c r="AL1" s="327"/>
      <c r="AM1" s="327"/>
      <c r="AN1" s="327"/>
      <c r="AO1" s="327"/>
      <c r="AP1" s="327"/>
      <c r="AQ1" s="327"/>
      <c r="AR1" s="327"/>
      <c r="AS1" s="327"/>
      <c r="AT1" s="257"/>
      <c r="AU1" s="257"/>
      <c r="AV1" s="257"/>
      <c r="AW1" s="257"/>
      <c r="AX1" s="257"/>
      <c r="AY1" s="257"/>
      <c r="AZ1" s="257"/>
      <c r="BA1" s="328"/>
      <c r="BB1" s="328"/>
      <c r="BC1" s="328"/>
      <c r="BD1" s="257"/>
      <c r="BE1" s="257"/>
      <c r="BF1" s="257"/>
    </row>
    <row r="2" spans="1:58" ht="45" customHeight="1" x14ac:dyDescent="0.35">
      <c r="A2" s="488" t="s">
        <v>5662</v>
      </c>
      <c r="B2" s="488" t="s">
        <v>5232</v>
      </c>
      <c r="C2" s="489" t="s">
        <v>5378</v>
      </c>
      <c r="D2" s="488" t="s">
        <v>5190</v>
      </c>
      <c r="E2" s="488" t="s">
        <v>5528</v>
      </c>
      <c r="F2" s="488" t="s">
        <v>5529</v>
      </c>
      <c r="G2" s="488" t="s">
        <v>3180</v>
      </c>
      <c r="H2" s="488" t="s">
        <v>2393</v>
      </c>
      <c r="I2" s="488" t="s">
        <v>2412</v>
      </c>
      <c r="J2" s="488" t="s">
        <v>5270</v>
      </c>
      <c r="K2" s="488" t="s">
        <v>2452</v>
      </c>
      <c r="L2" s="488" t="s">
        <v>5530</v>
      </c>
      <c r="M2" s="488" t="s">
        <v>5531</v>
      </c>
      <c r="N2" s="488" t="s">
        <v>5532</v>
      </c>
      <c r="O2" s="488" t="s">
        <v>5533</v>
      </c>
      <c r="P2" s="488" t="s">
        <v>5534</v>
      </c>
      <c r="Q2" s="488" t="s">
        <v>2505</v>
      </c>
      <c r="R2" s="488" t="s">
        <v>5535</v>
      </c>
      <c r="S2" s="488" t="s">
        <v>5536</v>
      </c>
      <c r="T2" s="488" t="s">
        <v>5537</v>
      </c>
      <c r="U2" s="488" t="s">
        <v>5538</v>
      </c>
      <c r="V2" s="488" t="s">
        <v>5539</v>
      </c>
      <c r="W2" s="488" t="s">
        <v>5540</v>
      </c>
      <c r="X2" s="488" t="s">
        <v>5268</v>
      </c>
      <c r="Y2" s="488" t="s">
        <v>2918</v>
      </c>
      <c r="Z2" s="488" t="s">
        <v>2523</v>
      </c>
      <c r="AA2" s="488" t="s">
        <v>5865</v>
      </c>
      <c r="AB2" s="488" t="s">
        <v>5541</v>
      </c>
      <c r="AC2" s="488" t="s">
        <v>5542</v>
      </c>
      <c r="AD2" s="488" t="s">
        <v>5543</v>
      </c>
      <c r="AE2" s="488" t="s">
        <v>5544</v>
      </c>
      <c r="AF2" s="488" t="s">
        <v>5545</v>
      </c>
      <c r="AG2" s="488" t="s">
        <v>5546</v>
      </c>
      <c r="AH2" s="488" t="s">
        <v>5547</v>
      </c>
      <c r="AI2" s="488" t="s">
        <v>5548</v>
      </c>
      <c r="AJ2" s="488" t="s">
        <v>5549</v>
      </c>
      <c r="AK2" s="488" t="s">
        <v>5276</v>
      </c>
      <c r="AL2" s="488" t="s">
        <v>5550</v>
      </c>
      <c r="AM2" s="488" t="s">
        <v>5551</v>
      </c>
      <c r="AN2" s="488" t="s">
        <v>5552</v>
      </c>
      <c r="AO2" s="488" t="s">
        <v>5444</v>
      </c>
      <c r="AP2" s="488" t="s">
        <v>5279</v>
      </c>
      <c r="AQ2" s="489" t="s">
        <v>5707</v>
      </c>
      <c r="AR2" s="489" t="s">
        <v>5866</v>
      </c>
      <c r="AS2" s="488" t="s">
        <v>5553</v>
      </c>
      <c r="AT2" s="488" t="s">
        <v>5492</v>
      </c>
      <c r="AU2" s="488" t="s">
        <v>2341</v>
      </c>
      <c r="AV2" s="487" t="s">
        <v>3408</v>
      </c>
      <c r="AW2" s="487" t="s">
        <v>5554</v>
      </c>
      <c r="AX2" s="487" t="s">
        <v>3119</v>
      </c>
      <c r="AY2" s="487" t="s">
        <v>5555</v>
      </c>
      <c r="AZ2" s="487" t="s">
        <v>5556</v>
      </c>
      <c r="BA2" s="487" t="s">
        <v>5557</v>
      </c>
      <c r="BB2" s="487" t="s">
        <v>5521</v>
      </c>
      <c r="BC2" s="487" t="s">
        <v>5522</v>
      </c>
      <c r="BD2" s="487" t="s">
        <v>5523</v>
      </c>
      <c r="BE2" s="487" t="s">
        <v>3434</v>
      </c>
      <c r="BF2" s="487" t="s">
        <v>5692</v>
      </c>
    </row>
    <row r="3" spans="1:58" ht="15" customHeight="1" x14ac:dyDescent="0.35">
      <c r="A3" s="488"/>
      <c r="B3" s="488"/>
      <c r="C3" s="490"/>
      <c r="D3" s="488"/>
      <c r="E3" s="488"/>
      <c r="F3" s="488"/>
      <c r="G3" s="488"/>
      <c r="H3" s="488"/>
      <c r="I3" s="488"/>
      <c r="J3" s="488"/>
      <c r="K3" s="488"/>
      <c r="L3" s="488"/>
      <c r="M3" s="488"/>
      <c r="N3" s="488"/>
      <c r="O3" s="488"/>
      <c r="P3" s="488"/>
      <c r="Q3" s="488"/>
      <c r="R3" s="488"/>
      <c r="S3" s="488"/>
      <c r="T3" s="488"/>
      <c r="U3" s="488"/>
      <c r="V3" s="488"/>
      <c r="W3" s="488"/>
      <c r="X3" s="488"/>
      <c r="Y3" s="488"/>
      <c r="Z3" s="488"/>
      <c r="AA3" s="488"/>
      <c r="AB3" s="488"/>
      <c r="AC3" s="488"/>
      <c r="AD3" s="488"/>
      <c r="AE3" s="488"/>
      <c r="AF3" s="488"/>
      <c r="AG3" s="488"/>
      <c r="AH3" s="488"/>
      <c r="AI3" s="488"/>
      <c r="AJ3" s="488"/>
      <c r="AK3" s="488"/>
      <c r="AL3" s="488"/>
      <c r="AM3" s="488"/>
      <c r="AN3" s="488"/>
      <c r="AO3" s="488"/>
      <c r="AP3" s="488"/>
      <c r="AQ3" s="489"/>
      <c r="AR3" s="489"/>
      <c r="AS3" s="488"/>
      <c r="AT3" s="488"/>
      <c r="AU3" s="488"/>
      <c r="AV3" s="487"/>
      <c r="AW3" s="487"/>
      <c r="AX3" s="487"/>
      <c r="AY3" s="487"/>
      <c r="AZ3" s="487"/>
      <c r="BA3" s="487"/>
      <c r="BB3" s="487"/>
      <c r="BC3" s="487"/>
      <c r="BD3" s="487"/>
      <c r="BE3" s="487"/>
      <c r="BF3" s="487"/>
    </row>
    <row r="4" spans="1:58" ht="15" customHeight="1" x14ac:dyDescent="0.35">
      <c r="A4" s="488"/>
      <c r="B4" s="488"/>
      <c r="C4" s="490"/>
      <c r="D4" s="488"/>
      <c r="E4" s="488"/>
      <c r="F4" s="488"/>
      <c r="G4" s="488"/>
      <c r="H4" s="488"/>
      <c r="I4" s="488"/>
      <c r="J4" s="488"/>
      <c r="K4" s="488"/>
      <c r="L4" s="488"/>
      <c r="M4" s="488"/>
      <c r="N4" s="488"/>
      <c r="O4" s="488"/>
      <c r="P4" s="488"/>
      <c r="Q4" s="488"/>
      <c r="R4" s="488"/>
      <c r="S4" s="488"/>
      <c r="T4" s="488"/>
      <c r="U4" s="488"/>
      <c r="V4" s="488"/>
      <c r="W4" s="488"/>
      <c r="X4" s="488"/>
      <c r="Y4" s="488"/>
      <c r="Z4" s="488"/>
      <c r="AA4" s="488"/>
      <c r="AB4" s="488"/>
      <c r="AC4" s="488"/>
      <c r="AD4" s="488"/>
      <c r="AE4" s="488"/>
      <c r="AF4" s="488"/>
      <c r="AG4" s="488"/>
      <c r="AH4" s="488"/>
      <c r="AI4" s="488"/>
      <c r="AJ4" s="488"/>
      <c r="AK4" s="488"/>
      <c r="AL4" s="488"/>
      <c r="AM4" s="488"/>
      <c r="AN4" s="488"/>
      <c r="AO4" s="488"/>
      <c r="AP4" s="488"/>
      <c r="AQ4" s="489"/>
      <c r="AR4" s="489"/>
      <c r="AS4" s="488"/>
      <c r="AT4" s="488"/>
      <c r="AU4" s="488"/>
      <c r="AV4" s="487"/>
      <c r="AW4" s="487"/>
      <c r="AX4" s="487"/>
      <c r="AY4" s="487"/>
      <c r="AZ4" s="487"/>
      <c r="BA4" s="487"/>
      <c r="BB4" s="487"/>
      <c r="BC4" s="487"/>
      <c r="BD4" s="487"/>
      <c r="BE4" s="487"/>
      <c r="BF4" s="487"/>
    </row>
    <row r="5" spans="1:58" ht="43.5" x14ac:dyDescent="0.35">
      <c r="A5" s="329" t="s">
        <v>5663</v>
      </c>
      <c r="B5" s="329" t="s">
        <v>783</v>
      </c>
      <c r="C5" s="330" t="s">
        <v>5598</v>
      </c>
      <c r="D5" s="329" t="s">
        <v>5949</v>
      </c>
      <c r="E5" s="329" t="s">
        <v>5950</v>
      </c>
      <c r="F5" s="330" t="s">
        <v>5599</v>
      </c>
      <c r="G5" s="333" t="s">
        <v>6028</v>
      </c>
      <c r="H5" s="330" t="s">
        <v>5952</v>
      </c>
      <c r="I5" s="330" t="s">
        <v>5733</v>
      </c>
      <c r="J5" s="333" t="s">
        <v>5712</v>
      </c>
      <c r="K5" s="333" t="s">
        <v>5716</v>
      </c>
      <c r="L5" s="330" t="s">
        <v>5717</v>
      </c>
      <c r="M5" s="330" t="s">
        <v>5717</v>
      </c>
      <c r="N5" s="331" t="s">
        <v>5341</v>
      </c>
      <c r="O5" s="331" t="s">
        <v>5290</v>
      </c>
      <c r="P5" s="331" t="s">
        <v>5341</v>
      </c>
      <c r="Q5" s="330" t="s">
        <v>5709</v>
      </c>
      <c r="R5" s="330"/>
      <c r="S5" s="331" t="s">
        <v>178</v>
      </c>
      <c r="T5" s="331" t="s">
        <v>178</v>
      </c>
      <c r="U5" s="332">
        <v>100000</v>
      </c>
      <c r="V5" s="332">
        <v>100000</v>
      </c>
      <c r="W5" s="330" t="s">
        <v>5285</v>
      </c>
      <c r="X5" s="330" t="s">
        <v>5711</v>
      </c>
      <c r="Y5" s="333" t="s">
        <v>6016</v>
      </c>
      <c r="Z5" s="330" t="s">
        <v>5718</v>
      </c>
      <c r="AA5" s="330" t="s">
        <v>5933</v>
      </c>
      <c r="AB5" s="331" t="s">
        <v>6013</v>
      </c>
      <c r="AC5" s="330" t="s">
        <v>5953</v>
      </c>
      <c r="AD5" s="330" t="s">
        <v>5285</v>
      </c>
      <c r="AE5" s="331" t="s">
        <v>6014</v>
      </c>
      <c r="AF5" s="332">
        <v>100000</v>
      </c>
      <c r="AG5" s="332">
        <v>100000</v>
      </c>
      <c r="AH5" s="332">
        <v>100000</v>
      </c>
      <c r="AI5" s="332">
        <v>1000000</v>
      </c>
      <c r="AJ5" s="332">
        <v>1000000</v>
      </c>
      <c r="AK5" s="332">
        <v>800000</v>
      </c>
      <c r="AL5" s="332">
        <v>500000</v>
      </c>
      <c r="AM5" s="332">
        <v>5000000</v>
      </c>
      <c r="AN5" s="332">
        <v>5000000</v>
      </c>
      <c r="AO5" s="332"/>
      <c r="AP5" s="332">
        <f>AK5-AL5+AM5-AN5-AO5</f>
        <v>300000</v>
      </c>
      <c r="AQ5" s="332">
        <v>30000</v>
      </c>
      <c r="AR5" s="332"/>
      <c r="AS5" s="332">
        <v>100000</v>
      </c>
      <c r="AT5" s="332"/>
      <c r="AU5" s="333" t="s">
        <v>5954</v>
      </c>
      <c r="AV5" s="333" t="s">
        <v>5951</v>
      </c>
      <c r="AW5" s="333" t="s">
        <v>5955</v>
      </c>
      <c r="AX5" s="333" t="s">
        <v>5722</v>
      </c>
      <c r="AY5" s="330">
        <v>20240323</v>
      </c>
      <c r="AZ5" s="330">
        <v>20240422</v>
      </c>
      <c r="BA5" s="330"/>
      <c r="BB5" s="333">
        <v>500000</v>
      </c>
      <c r="BC5" s="333">
        <v>600000</v>
      </c>
      <c r="BD5" s="333">
        <v>700000</v>
      </c>
      <c r="BE5" s="333" t="s">
        <v>5708</v>
      </c>
      <c r="BF5" s="330" t="s">
        <v>5694</v>
      </c>
    </row>
    <row r="6" spans="1:58" ht="43.5" x14ac:dyDescent="0.35">
      <c r="A6" s="122" t="s">
        <v>5663</v>
      </c>
      <c r="B6" s="122" t="s">
        <v>783</v>
      </c>
      <c r="C6" s="132" t="s">
        <v>5603</v>
      </c>
      <c r="D6" s="122" t="s">
        <v>5956</v>
      </c>
      <c r="E6" s="122" t="s">
        <v>5957</v>
      </c>
      <c r="F6" s="132" t="s">
        <v>5604</v>
      </c>
      <c r="G6" s="136" t="s">
        <v>6028</v>
      </c>
      <c r="H6" s="132" t="s">
        <v>5714</v>
      </c>
      <c r="I6" s="132" t="s">
        <v>5715</v>
      </c>
      <c r="J6" s="136" t="s">
        <v>5938</v>
      </c>
      <c r="K6" s="136" t="s">
        <v>5958</v>
      </c>
      <c r="L6" s="132" t="s">
        <v>5717</v>
      </c>
      <c r="M6" s="132" t="s">
        <v>5717</v>
      </c>
      <c r="N6" s="170" t="s">
        <v>5926</v>
      </c>
      <c r="O6" s="170" t="s">
        <v>5290</v>
      </c>
      <c r="P6" s="170" t="s">
        <v>5926</v>
      </c>
      <c r="Q6" s="132" t="s">
        <v>5709</v>
      </c>
      <c r="R6" s="170"/>
      <c r="S6" s="170" t="s">
        <v>178</v>
      </c>
      <c r="T6" s="170" t="s">
        <v>178</v>
      </c>
      <c r="U6" s="171">
        <v>100000</v>
      </c>
      <c r="V6" s="171">
        <v>100000</v>
      </c>
      <c r="W6" s="132" t="s">
        <v>5285</v>
      </c>
      <c r="X6" s="132" t="s">
        <v>5711</v>
      </c>
      <c r="Y6" s="136" t="s">
        <v>6016</v>
      </c>
      <c r="Z6" s="132" t="s">
        <v>5959</v>
      </c>
      <c r="AA6" s="132" t="s">
        <v>5944</v>
      </c>
      <c r="AB6" s="170" t="s">
        <v>6013</v>
      </c>
      <c r="AC6" s="132" t="s">
        <v>5291</v>
      </c>
      <c r="AD6" s="132" t="s">
        <v>5285</v>
      </c>
      <c r="AE6" s="170" t="s">
        <v>6014</v>
      </c>
      <c r="AF6" s="171">
        <v>100000</v>
      </c>
      <c r="AG6" s="171">
        <v>100000</v>
      </c>
      <c r="AH6" s="171">
        <v>100000</v>
      </c>
      <c r="AI6" s="171">
        <v>1000000</v>
      </c>
      <c r="AJ6" s="171">
        <v>1000000</v>
      </c>
      <c r="AK6" s="171">
        <v>700000</v>
      </c>
      <c r="AL6" s="171">
        <v>500000</v>
      </c>
      <c r="AM6" s="171">
        <v>5000000</v>
      </c>
      <c r="AN6" s="171">
        <v>5000000</v>
      </c>
      <c r="AO6" s="171">
        <v>0</v>
      </c>
      <c r="AP6" s="171">
        <f t="shared" ref="AP6:AP8" si="0">AK6-AL6+AM6-AN6-AO6</f>
        <v>200000</v>
      </c>
      <c r="AQ6" s="171">
        <v>30000</v>
      </c>
      <c r="AR6" s="171">
        <v>10000</v>
      </c>
      <c r="AS6" s="171">
        <v>100000</v>
      </c>
      <c r="AT6" s="171"/>
      <c r="AU6" s="136" t="s">
        <v>5720</v>
      </c>
      <c r="AV6" s="136" t="s">
        <v>5951</v>
      </c>
      <c r="AW6" s="136" t="s">
        <v>5960</v>
      </c>
      <c r="AX6" s="136" t="s">
        <v>5961</v>
      </c>
      <c r="AY6" s="132">
        <v>20240323</v>
      </c>
      <c r="AZ6" s="132">
        <v>20240422</v>
      </c>
      <c r="BA6" s="132"/>
      <c r="BB6" s="136">
        <v>500000</v>
      </c>
      <c r="BC6" s="136">
        <v>600000</v>
      </c>
      <c r="BD6" s="136">
        <v>700000</v>
      </c>
      <c r="BE6" s="136" t="s">
        <v>5708</v>
      </c>
      <c r="BF6" s="132" t="s">
        <v>5694</v>
      </c>
    </row>
    <row r="7" spans="1:58" ht="43.5" x14ac:dyDescent="0.35">
      <c r="A7" s="122" t="s">
        <v>5663</v>
      </c>
      <c r="B7" s="122" t="s">
        <v>30</v>
      </c>
      <c r="C7" s="132" t="s">
        <v>5607</v>
      </c>
      <c r="D7" s="122" t="s">
        <v>5962</v>
      </c>
      <c r="E7" s="122" t="s">
        <v>5963</v>
      </c>
      <c r="F7" s="132" t="s">
        <v>5608</v>
      </c>
      <c r="G7" s="136" t="s">
        <v>6028</v>
      </c>
      <c r="H7" s="132" t="s">
        <v>5964</v>
      </c>
      <c r="I7" s="132" t="s">
        <v>5965</v>
      </c>
      <c r="J7" s="136" t="s">
        <v>5942</v>
      </c>
      <c r="K7" s="136" t="s">
        <v>5966</v>
      </c>
      <c r="L7" s="132" t="s">
        <v>5717</v>
      </c>
      <c r="M7" s="132" t="s">
        <v>5717</v>
      </c>
      <c r="N7" s="170" t="s">
        <v>5928</v>
      </c>
      <c r="O7" s="170" t="s">
        <v>5290</v>
      </c>
      <c r="P7" s="170" t="s">
        <v>5928</v>
      </c>
      <c r="Q7" s="132" t="s">
        <v>5943</v>
      </c>
      <c r="R7" s="170"/>
      <c r="S7" s="170" t="s">
        <v>178</v>
      </c>
      <c r="T7" s="170" t="s">
        <v>178</v>
      </c>
      <c r="U7" s="171">
        <v>100000</v>
      </c>
      <c r="V7" s="171">
        <v>100000</v>
      </c>
      <c r="W7" s="132" t="s">
        <v>5609</v>
      </c>
      <c r="X7" s="132" t="s">
        <v>5711</v>
      </c>
      <c r="Y7" s="136" t="s">
        <v>6020</v>
      </c>
      <c r="Z7" s="132" t="s">
        <v>5967</v>
      </c>
      <c r="AA7" s="132" t="s">
        <v>5940</v>
      </c>
      <c r="AB7" s="170" t="s">
        <v>6013</v>
      </c>
      <c r="AC7" s="132" t="s">
        <v>5299</v>
      </c>
      <c r="AD7" s="132" t="s">
        <v>5609</v>
      </c>
      <c r="AE7" s="170" t="s">
        <v>6014</v>
      </c>
      <c r="AF7" s="171">
        <v>100000</v>
      </c>
      <c r="AG7" s="171">
        <v>100000</v>
      </c>
      <c r="AH7" s="171">
        <v>100000</v>
      </c>
      <c r="AI7" s="171">
        <v>1000000</v>
      </c>
      <c r="AJ7" s="171">
        <v>1000000</v>
      </c>
      <c r="AK7" s="171">
        <v>600000</v>
      </c>
      <c r="AL7" s="171">
        <v>500000</v>
      </c>
      <c r="AM7" s="171">
        <v>5000000</v>
      </c>
      <c r="AN7" s="171">
        <v>5000000</v>
      </c>
      <c r="AO7" s="171">
        <v>0</v>
      </c>
      <c r="AP7" s="171">
        <f t="shared" si="0"/>
        <v>100000</v>
      </c>
      <c r="AQ7" s="171">
        <v>30000</v>
      </c>
      <c r="AR7" s="171">
        <v>10000</v>
      </c>
      <c r="AS7" s="171"/>
      <c r="AT7" s="171">
        <v>300000</v>
      </c>
      <c r="AU7" s="136" t="s">
        <v>5948</v>
      </c>
      <c r="AV7" s="136" t="s">
        <v>5951</v>
      </c>
      <c r="AW7" s="136" t="s">
        <v>5721</v>
      </c>
      <c r="AX7" s="136" t="s">
        <v>5968</v>
      </c>
      <c r="AY7" s="132">
        <v>20240323</v>
      </c>
      <c r="AZ7" s="132">
        <v>20240422</v>
      </c>
      <c r="BA7" s="132"/>
      <c r="BB7" s="136">
        <v>500000</v>
      </c>
      <c r="BC7" s="136">
        <v>600000</v>
      </c>
      <c r="BD7" s="136">
        <v>700000</v>
      </c>
      <c r="BE7" s="136" t="s">
        <v>5708</v>
      </c>
      <c r="BF7" s="132" t="s">
        <v>5694</v>
      </c>
    </row>
    <row r="8" spans="1:58" ht="58" x14ac:dyDescent="0.35">
      <c r="A8" s="122" t="s">
        <v>5663</v>
      </c>
      <c r="B8" s="122" t="s">
        <v>30</v>
      </c>
      <c r="C8" s="132" t="s">
        <v>5611</v>
      </c>
      <c r="D8" s="122" t="s">
        <v>5969</v>
      </c>
      <c r="E8" s="122" t="s">
        <v>5970</v>
      </c>
      <c r="F8" s="132" t="s">
        <v>5612</v>
      </c>
      <c r="G8" s="136" t="s">
        <v>6028</v>
      </c>
      <c r="H8" s="132" t="s">
        <v>5971</v>
      </c>
      <c r="I8" s="132" t="s">
        <v>5972</v>
      </c>
      <c r="J8" s="136" t="s">
        <v>5946</v>
      </c>
      <c r="K8" s="136" t="s">
        <v>5973</v>
      </c>
      <c r="L8" s="132" t="s">
        <v>5717</v>
      </c>
      <c r="M8" s="132" t="s">
        <v>5717</v>
      </c>
      <c r="N8" s="170" t="s">
        <v>5931</v>
      </c>
      <c r="O8" s="170" t="s">
        <v>5290</v>
      </c>
      <c r="P8" s="170" t="s">
        <v>5931</v>
      </c>
      <c r="Q8" s="132" t="s">
        <v>5947</v>
      </c>
      <c r="R8" s="170" t="s">
        <v>5290</v>
      </c>
      <c r="S8" s="170" t="s">
        <v>178</v>
      </c>
      <c r="T8" s="170" t="s">
        <v>178</v>
      </c>
      <c r="U8" s="171">
        <v>100000</v>
      </c>
      <c r="V8" s="171">
        <v>100000</v>
      </c>
      <c r="W8" s="132" t="s">
        <v>5609</v>
      </c>
      <c r="X8" s="132" t="s">
        <v>5711</v>
      </c>
      <c r="Y8" s="136" t="s">
        <v>6020</v>
      </c>
      <c r="Z8" s="132" t="s">
        <v>5974</v>
      </c>
      <c r="AA8" s="132" t="s">
        <v>5975</v>
      </c>
      <c r="AB8" s="170" t="s">
        <v>6013</v>
      </c>
      <c r="AC8" s="132" t="s">
        <v>5305</v>
      </c>
      <c r="AD8" s="132" t="s">
        <v>5609</v>
      </c>
      <c r="AE8" s="170" t="s">
        <v>6014</v>
      </c>
      <c r="AF8" s="171">
        <v>100000</v>
      </c>
      <c r="AG8" s="171">
        <v>100000</v>
      </c>
      <c r="AH8" s="171">
        <v>100000</v>
      </c>
      <c r="AI8" s="171">
        <v>1000000</v>
      </c>
      <c r="AJ8" s="171">
        <v>1000000</v>
      </c>
      <c r="AK8" s="171">
        <v>700000</v>
      </c>
      <c r="AL8" s="171">
        <v>500000</v>
      </c>
      <c r="AM8" s="171">
        <v>5000000</v>
      </c>
      <c r="AN8" s="171">
        <v>5000000</v>
      </c>
      <c r="AO8" s="171">
        <v>0</v>
      </c>
      <c r="AP8" s="171">
        <f t="shared" si="0"/>
        <v>200000</v>
      </c>
      <c r="AQ8" s="171">
        <v>30000</v>
      </c>
      <c r="AR8" s="171">
        <v>10000</v>
      </c>
      <c r="AS8" s="171"/>
      <c r="AT8" s="171">
        <v>300000</v>
      </c>
      <c r="AU8" s="136" t="s">
        <v>5976</v>
      </c>
      <c r="AV8" s="136" t="s">
        <v>5713</v>
      </c>
      <c r="AW8" s="136" t="s">
        <v>5977</v>
      </c>
      <c r="AX8" s="136" t="s">
        <v>5978</v>
      </c>
      <c r="AY8" s="132">
        <v>20240323</v>
      </c>
      <c r="AZ8" s="132">
        <v>20240422</v>
      </c>
      <c r="BA8" s="132"/>
      <c r="BB8" s="136">
        <v>500000</v>
      </c>
      <c r="BC8" s="136">
        <v>600000</v>
      </c>
      <c r="BD8" s="136">
        <v>700000</v>
      </c>
      <c r="BE8" s="136" t="s">
        <v>5708</v>
      </c>
      <c r="BF8" s="132" t="s">
        <v>5694</v>
      </c>
    </row>
    <row r="9" spans="1:58" ht="14.5" x14ac:dyDescent="0.35">
      <c r="A9" s="122"/>
      <c r="B9" s="122"/>
      <c r="C9" s="132"/>
      <c r="D9" s="122"/>
      <c r="E9" s="122"/>
      <c r="F9" s="132"/>
      <c r="G9" s="136"/>
      <c r="H9" s="132"/>
      <c r="I9" s="132"/>
      <c r="J9" s="136"/>
      <c r="K9" s="132"/>
      <c r="L9" s="132"/>
      <c r="M9" s="132"/>
      <c r="N9" s="170"/>
      <c r="O9" s="170"/>
      <c r="P9" s="170"/>
      <c r="Q9" s="132"/>
      <c r="R9" s="170"/>
      <c r="S9" s="170"/>
      <c r="T9" s="170"/>
      <c r="U9" s="171"/>
      <c r="V9" s="171"/>
      <c r="W9" s="132"/>
      <c r="X9" s="132"/>
      <c r="Y9" s="136"/>
      <c r="Z9" s="132"/>
      <c r="AA9" s="132"/>
      <c r="AB9" s="170"/>
      <c r="AC9" s="132"/>
      <c r="AD9" s="132"/>
      <c r="AE9" s="170"/>
      <c r="AF9" s="171"/>
      <c r="AG9" s="171"/>
      <c r="AH9" s="171"/>
      <c r="AI9" s="171"/>
      <c r="AJ9" s="171"/>
      <c r="AK9" s="171"/>
      <c r="AL9" s="171"/>
      <c r="AM9" s="171"/>
      <c r="AN9" s="171"/>
      <c r="AO9" s="171"/>
      <c r="AP9" s="171"/>
      <c r="AQ9" s="171"/>
      <c r="AR9" s="171"/>
      <c r="AS9" s="171"/>
      <c r="AT9" s="171"/>
      <c r="AU9" s="136"/>
      <c r="AV9" s="136"/>
      <c r="AW9" s="136"/>
      <c r="AX9" s="136"/>
      <c r="AY9" s="132"/>
      <c r="AZ9" s="132"/>
      <c r="BA9" s="132"/>
      <c r="BB9" s="136"/>
      <c r="BC9" s="136"/>
      <c r="BD9" s="136"/>
      <c r="BE9" s="136"/>
      <c r="BF9" s="132"/>
    </row>
    <row r="10" spans="1:58" ht="14.5" x14ac:dyDescent="0.35">
      <c r="A10" s="122"/>
      <c r="B10" s="122"/>
      <c r="C10" s="132"/>
      <c r="D10" s="122"/>
      <c r="E10" s="122"/>
      <c r="F10" s="132"/>
      <c r="G10" s="136"/>
      <c r="H10" s="132"/>
      <c r="I10" s="132"/>
      <c r="J10" s="136"/>
      <c r="K10" s="132"/>
      <c r="L10" s="132"/>
      <c r="M10" s="132"/>
      <c r="N10" s="170"/>
      <c r="O10" s="170"/>
      <c r="P10" s="170"/>
      <c r="Q10" s="132"/>
      <c r="R10" s="170"/>
      <c r="S10" s="170"/>
      <c r="T10" s="170"/>
      <c r="U10" s="171"/>
      <c r="V10" s="171"/>
      <c r="W10" s="132"/>
      <c r="X10" s="132"/>
      <c r="Y10" s="136"/>
      <c r="Z10" s="132"/>
      <c r="AA10" s="132"/>
      <c r="AB10" s="170"/>
      <c r="AC10" s="132"/>
      <c r="AD10" s="132"/>
      <c r="AE10" s="170"/>
      <c r="AF10" s="171"/>
      <c r="AG10" s="171"/>
      <c r="AH10" s="171"/>
      <c r="AI10" s="171"/>
      <c r="AJ10" s="171"/>
      <c r="AK10" s="171"/>
      <c r="AL10" s="171"/>
      <c r="AM10" s="171"/>
      <c r="AN10" s="171"/>
      <c r="AO10" s="171"/>
      <c r="AP10" s="171"/>
      <c r="AQ10" s="171"/>
      <c r="AR10" s="171"/>
      <c r="AS10" s="171"/>
      <c r="AT10" s="171"/>
      <c r="AU10" s="136"/>
      <c r="AV10" s="136"/>
      <c r="AW10" s="136"/>
      <c r="AX10" s="136"/>
      <c r="AY10" s="132"/>
      <c r="AZ10" s="132"/>
      <c r="BA10" s="132"/>
      <c r="BB10" s="136"/>
      <c r="BC10" s="136"/>
      <c r="BD10" s="136"/>
      <c r="BE10" s="136"/>
      <c r="BF10" s="132"/>
    </row>
    <row r="11" spans="1:58" ht="14.5" x14ac:dyDescent="0.35">
      <c r="A11" s="122"/>
      <c r="B11" s="122"/>
      <c r="C11" s="132"/>
      <c r="D11" s="122"/>
      <c r="E11" s="122"/>
      <c r="F11" s="132"/>
      <c r="G11" s="136"/>
      <c r="H11" s="132"/>
      <c r="I11" s="132"/>
      <c r="J11" s="136"/>
      <c r="K11" s="132"/>
      <c r="L11" s="132"/>
      <c r="M11" s="132"/>
      <c r="N11" s="170"/>
      <c r="O11" s="170"/>
      <c r="P11" s="170"/>
      <c r="Q11" s="132"/>
      <c r="R11" s="170"/>
      <c r="S11" s="170"/>
      <c r="T11" s="170"/>
      <c r="U11" s="171"/>
      <c r="V11" s="171"/>
      <c r="W11" s="132"/>
      <c r="X11" s="132"/>
      <c r="Y11" s="136"/>
      <c r="Z11" s="132"/>
      <c r="AA11" s="132"/>
      <c r="AB11" s="170"/>
      <c r="AC11" s="132"/>
      <c r="AD11" s="132"/>
      <c r="AE11" s="170"/>
      <c r="AF11" s="171"/>
      <c r="AG11" s="171"/>
      <c r="AH11" s="171"/>
      <c r="AI11" s="171"/>
      <c r="AJ11" s="171"/>
      <c r="AK11" s="171"/>
      <c r="AL11" s="171"/>
      <c r="AM11" s="171"/>
      <c r="AN11" s="171"/>
      <c r="AO11" s="171"/>
      <c r="AP11" s="171"/>
      <c r="AQ11" s="171"/>
      <c r="AR11" s="171"/>
      <c r="AS11" s="171"/>
      <c r="AT11" s="171"/>
      <c r="AU11" s="136"/>
      <c r="AV11" s="136"/>
      <c r="AW11" s="136"/>
      <c r="AX11" s="136"/>
      <c r="AY11" s="132"/>
      <c r="AZ11" s="132"/>
      <c r="BA11" s="132"/>
      <c r="BB11" s="136"/>
      <c r="BC11" s="136"/>
      <c r="BD11" s="136"/>
      <c r="BE11" s="136"/>
      <c r="BF11" s="132"/>
    </row>
    <row r="12" spans="1:58" ht="14.5" x14ac:dyDescent="0.35">
      <c r="A12" s="122"/>
      <c r="B12" s="122"/>
      <c r="C12" s="132"/>
      <c r="D12" s="122"/>
      <c r="E12" s="122"/>
      <c r="F12" s="132"/>
      <c r="G12" s="136"/>
      <c r="H12" s="132"/>
      <c r="I12" s="132"/>
      <c r="J12" s="136"/>
      <c r="K12" s="132"/>
      <c r="L12" s="132"/>
      <c r="M12" s="132"/>
      <c r="N12" s="170"/>
      <c r="O12" s="170"/>
      <c r="P12" s="170"/>
      <c r="Q12" s="132"/>
      <c r="R12" s="170"/>
      <c r="S12" s="170"/>
      <c r="T12" s="170"/>
      <c r="U12" s="171"/>
      <c r="V12" s="171"/>
      <c r="W12" s="132"/>
      <c r="X12" s="132"/>
      <c r="Y12" s="136"/>
      <c r="Z12" s="132"/>
      <c r="AA12" s="132"/>
      <c r="AB12" s="170"/>
      <c r="AC12" s="132"/>
      <c r="AD12" s="132"/>
      <c r="AE12" s="170"/>
      <c r="AF12" s="171"/>
      <c r="AG12" s="171"/>
      <c r="AH12" s="171"/>
      <c r="AI12" s="171"/>
      <c r="AJ12" s="171"/>
      <c r="AK12" s="171"/>
      <c r="AL12" s="171"/>
      <c r="AM12" s="171"/>
      <c r="AN12" s="171"/>
      <c r="AO12" s="171"/>
      <c r="AP12" s="171"/>
      <c r="AQ12" s="171"/>
      <c r="AR12" s="171"/>
      <c r="AS12" s="171"/>
      <c r="AT12" s="171"/>
      <c r="AU12" s="136"/>
      <c r="AV12" s="136"/>
      <c r="AW12" s="136"/>
      <c r="AX12" s="136"/>
      <c r="AY12" s="132"/>
      <c r="AZ12" s="132"/>
      <c r="BA12" s="132"/>
      <c r="BB12" s="136"/>
      <c r="BC12" s="136"/>
      <c r="BD12" s="136"/>
      <c r="BE12" s="136"/>
      <c r="BF12" s="132"/>
    </row>
    <row r="13" spans="1:58" ht="14.5" x14ac:dyDescent="0.35">
      <c r="A13" s="122"/>
      <c r="B13" s="122"/>
      <c r="C13" s="132"/>
      <c r="D13" s="122"/>
      <c r="E13" s="122"/>
      <c r="F13" s="132"/>
      <c r="G13" s="136"/>
      <c r="H13" s="132"/>
      <c r="I13" s="132"/>
      <c r="J13" s="136"/>
      <c r="K13" s="132"/>
      <c r="L13" s="132"/>
      <c r="M13" s="132"/>
      <c r="N13" s="170"/>
      <c r="O13" s="170"/>
      <c r="P13" s="170"/>
      <c r="Q13" s="132"/>
      <c r="R13" s="170"/>
      <c r="S13" s="170"/>
      <c r="T13" s="170"/>
      <c r="U13" s="171"/>
      <c r="V13" s="171"/>
      <c r="W13" s="132"/>
      <c r="X13" s="132"/>
      <c r="Y13" s="136"/>
      <c r="Z13" s="132"/>
      <c r="AA13" s="132"/>
      <c r="AB13" s="170"/>
      <c r="AC13" s="132"/>
      <c r="AD13" s="132"/>
      <c r="AE13" s="170"/>
      <c r="AF13" s="171"/>
      <c r="AG13" s="171"/>
      <c r="AH13" s="171"/>
      <c r="AI13" s="171"/>
      <c r="AJ13" s="171"/>
      <c r="AK13" s="171"/>
      <c r="AL13" s="171"/>
      <c r="AM13" s="171"/>
      <c r="AN13" s="171"/>
      <c r="AO13" s="171"/>
      <c r="AP13" s="171"/>
      <c r="AQ13" s="171"/>
      <c r="AR13" s="171"/>
      <c r="AS13" s="171"/>
      <c r="AT13" s="171"/>
      <c r="AU13" s="136"/>
      <c r="AV13" s="136"/>
      <c r="AW13" s="136"/>
      <c r="AX13" s="136"/>
      <c r="AY13" s="132"/>
      <c r="AZ13" s="132"/>
      <c r="BA13" s="132"/>
      <c r="BB13" s="136"/>
      <c r="BC13" s="136"/>
      <c r="BD13" s="136"/>
      <c r="BE13" s="136"/>
      <c r="BF13" s="132"/>
    </row>
    <row r="14" spans="1:58" ht="14.5" x14ac:dyDescent="0.35">
      <c r="A14" s="122"/>
      <c r="B14" s="122"/>
      <c r="C14" s="132"/>
      <c r="D14" s="122"/>
      <c r="E14" s="122"/>
      <c r="F14" s="132"/>
      <c r="G14" s="136"/>
      <c r="H14" s="132"/>
      <c r="I14" s="132"/>
      <c r="J14" s="136"/>
      <c r="K14" s="132"/>
      <c r="L14" s="132"/>
      <c r="M14" s="132"/>
      <c r="N14" s="170"/>
      <c r="O14" s="170"/>
      <c r="P14" s="170"/>
      <c r="Q14" s="132"/>
      <c r="R14" s="170"/>
      <c r="S14" s="170"/>
      <c r="T14" s="170"/>
      <c r="U14" s="171"/>
      <c r="V14" s="171"/>
      <c r="W14" s="132"/>
      <c r="X14" s="132"/>
      <c r="Y14" s="136"/>
      <c r="Z14" s="132"/>
      <c r="AA14" s="132"/>
      <c r="AB14" s="170"/>
      <c r="AC14" s="132"/>
      <c r="AD14" s="132"/>
      <c r="AE14" s="170"/>
      <c r="AF14" s="171"/>
      <c r="AG14" s="171"/>
      <c r="AH14" s="171"/>
      <c r="AI14" s="171"/>
      <c r="AJ14" s="171"/>
      <c r="AK14" s="171"/>
      <c r="AL14" s="171"/>
      <c r="AM14" s="171"/>
      <c r="AN14" s="171"/>
      <c r="AO14" s="171"/>
      <c r="AP14" s="171"/>
      <c r="AQ14" s="171"/>
      <c r="AR14" s="171"/>
      <c r="AS14" s="171"/>
      <c r="AT14" s="171"/>
      <c r="AU14" s="136"/>
      <c r="AV14" s="136"/>
      <c r="AW14" s="136"/>
      <c r="AX14" s="136"/>
      <c r="AY14" s="132"/>
      <c r="AZ14" s="132"/>
      <c r="BA14" s="132"/>
      <c r="BB14" s="136"/>
      <c r="BC14" s="136"/>
      <c r="BD14" s="136"/>
      <c r="BE14" s="136"/>
      <c r="BF14" s="132"/>
    </row>
    <row r="15" spans="1:58" ht="14.5" x14ac:dyDescent="0.35">
      <c r="A15" s="134"/>
      <c r="C15" s="134"/>
      <c r="D15" s="134"/>
      <c r="F15" s="140"/>
      <c r="G15" s="169"/>
      <c r="H15" s="169"/>
      <c r="I15" s="169"/>
      <c r="J15" s="127"/>
      <c r="K15" s="127"/>
      <c r="L15" s="127"/>
      <c r="M15" s="127"/>
      <c r="N15" s="127"/>
      <c r="O15" s="127"/>
      <c r="P15" s="169"/>
      <c r="Q15" s="127"/>
      <c r="R15" s="127"/>
      <c r="S15" s="127"/>
      <c r="T15" s="104"/>
      <c r="U15" s="104"/>
      <c r="V15" s="127"/>
      <c r="W15" s="127"/>
      <c r="X15" s="169"/>
      <c r="Y15" s="169"/>
      <c r="Z15" s="127"/>
      <c r="AA15" s="127"/>
      <c r="AB15" s="104"/>
      <c r="AC15" s="104"/>
      <c r="AD15" s="127"/>
      <c r="AE15" s="104"/>
      <c r="AF15" s="104"/>
      <c r="AG15" s="104"/>
      <c r="AH15" s="104"/>
      <c r="AI15" s="104"/>
      <c r="AJ15" s="104"/>
      <c r="AK15" s="104"/>
      <c r="AL15" s="104"/>
      <c r="AM15" s="104"/>
      <c r="AN15" s="104"/>
      <c r="AO15" s="104"/>
      <c r="AP15" s="104"/>
      <c r="AQ15" s="104"/>
      <c r="AR15" s="104"/>
      <c r="AS15" s="104"/>
      <c r="BA15" s="135"/>
      <c r="BB15" s="135"/>
      <c r="BC15" s="135"/>
    </row>
    <row r="16" spans="1:58" ht="14.5" x14ac:dyDescent="0.35">
      <c r="A16" s="134"/>
      <c r="B16" s="88"/>
      <c r="C16" s="134"/>
      <c r="D16" s="134"/>
      <c r="F16" s="140"/>
      <c r="G16" s="169"/>
      <c r="H16" s="169"/>
      <c r="I16" s="169"/>
      <c r="J16" s="127"/>
      <c r="K16" s="127"/>
      <c r="L16" s="127"/>
      <c r="M16" s="127"/>
      <c r="N16" s="127"/>
      <c r="O16" s="127"/>
      <c r="P16" s="169"/>
      <c r="Q16" s="127"/>
      <c r="R16" s="127"/>
      <c r="S16" s="127"/>
      <c r="T16" s="104"/>
      <c r="U16" s="104"/>
      <c r="V16" s="127"/>
      <c r="W16" s="127"/>
      <c r="X16" s="169"/>
      <c r="Y16" s="169"/>
      <c r="Z16" s="127"/>
      <c r="AA16" s="127"/>
      <c r="AB16" s="104"/>
      <c r="AC16" s="104"/>
      <c r="AD16" s="127"/>
      <c r="AE16" s="104"/>
      <c r="AF16" s="104"/>
      <c r="AG16" s="104"/>
      <c r="AH16" s="104"/>
      <c r="AI16" s="104"/>
      <c r="AJ16" s="104"/>
      <c r="AK16" s="104"/>
      <c r="AL16" s="104"/>
      <c r="AM16" s="104"/>
      <c r="AN16" s="104"/>
      <c r="AO16" s="104"/>
      <c r="AP16" s="104"/>
      <c r="AQ16" s="104"/>
      <c r="AR16" s="104"/>
      <c r="AS16" s="104"/>
      <c r="BA16" s="135"/>
      <c r="BB16" s="135"/>
      <c r="BC16" s="135"/>
    </row>
    <row r="17" spans="1:1" ht="14.5" x14ac:dyDescent="0.35">
      <c r="A17" s="134"/>
    </row>
  </sheetData>
  <mergeCells count="58">
    <mergeCell ref="BF2:BF4"/>
    <mergeCell ref="A2:A4"/>
    <mergeCell ref="B2:B4"/>
    <mergeCell ref="C2:C4"/>
    <mergeCell ref="D2:D4"/>
    <mergeCell ref="E2:E4"/>
    <mergeCell ref="F2:F4"/>
    <mergeCell ref="G2:G4"/>
    <mergeCell ref="H2:H4"/>
    <mergeCell ref="I2:I4"/>
    <mergeCell ref="J2:J4"/>
    <mergeCell ref="K2:K4"/>
    <mergeCell ref="L2:L4"/>
    <mergeCell ref="M2:M4"/>
    <mergeCell ref="N2:N4"/>
    <mergeCell ref="O2:O4"/>
    <mergeCell ref="P2:P4"/>
    <mergeCell ref="Q2:Q4"/>
    <mergeCell ref="R2:R4"/>
    <mergeCell ref="S2:S4"/>
    <mergeCell ref="T2:T4"/>
    <mergeCell ref="U2:U4"/>
    <mergeCell ref="V2:V4"/>
    <mergeCell ref="W2:W4"/>
    <mergeCell ref="X2:X4"/>
    <mergeCell ref="Y2:Y4"/>
    <mergeCell ref="Z2:Z4"/>
    <mergeCell ref="AA2:AA4"/>
    <mergeCell ref="AB2:AB4"/>
    <mergeCell ref="AC2:AC4"/>
    <mergeCell ref="AD2:AD4"/>
    <mergeCell ref="AE2:AE4"/>
    <mergeCell ref="AF2:AF4"/>
    <mergeCell ref="AG2:AG4"/>
    <mergeCell ref="AH2:AH4"/>
    <mergeCell ref="AI2:AI4"/>
    <mergeCell ref="AJ2:AJ4"/>
    <mergeCell ref="AK2:AK4"/>
    <mergeCell ref="AL2:AL4"/>
    <mergeCell ref="AM2:AM4"/>
    <mergeCell ref="AN2:AN4"/>
    <mergeCell ref="AO2:AO4"/>
    <mergeCell ref="AP2:AP4"/>
    <mergeCell ref="AQ2:AQ4"/>
    <mergeCell ref="AR2:AR4"/>
    <mergeCell ref="AS2:AS4"/>
    <mergeCell ref="AT2:AT4"/>
    <mergeCell ref="AU2:AU4"/>
    <mergeCell ref="AV2:AV4"/>
    <mergeCell ref="AW2:AW4"/>
    <mergeCell ref="AX2:AX4"/>
    <mergeCell ref="BD2:BD4"/>
    <mergeCell ref="BE2:BE4"/>
    <mergeCell ref="AY2:AY4"/>
    <mergeCell ref="AZ2:AZ4"/>
    <mergeCell ref="BA2:BA4"/>
    <mergeCell ref="BB2:BB4"/>
    <mergeCell ref="BC2:BC4"/>
  </mergeCells>
  <dataValidations count="2">
    <dataValidation type="list" allowBlank="1" showErrorMessage="1" sqref="X5:X14" xr:uid="{00000000-0002-0000-1F00-000000000000}">
      <formula1>sandiBank</formula1>
    </dataValidation>
    <dataValidation type="list" allowBlank="1" showErrorMessage="1" sqref="G5:G8" xr:uid="{C960E82A-0339-4D0B-ACDF-B58942E7EE69}">
      <formula1>sandiJenisKredit</formula1>
    </dataValidation>
  </dataValidations>
  <hyperlinks>
    <hyperlink ref="G1" location="Header!A1" display="Back to Header" xr:uid="{00000000-0004-0000-1F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19">
        <x14:dataValidation type="list" allowBlank="1" showErrorMessage="1" xr:uid="{00000000-0002-0000-1F00-000001000000}">
          <x14:formula1>
            <xm:f>DATA!$C$734:$C$735</xm:f>
          </x14:formula1>
          <xm:sqref>AV5:AV14 G9:G14</xm:sqref>
        </x14:dataValidation>
        <x14:dataValidation type="list" allowBlank="1" showErrorMessage="1" xr:uid="{00000000-0002-0000-1F00-000002000000}">
          <x14:formula1>
            <xm:f>DATA!$C$379:$C$382</xm:f>
          </x14:formula1>
          <xm:sqref>H5:H14</xm:sqref>
        </x14:dataValidation>
        <x14:dataValidation type="list" allowBlank="1" showErrorMessage="1" xr:uid="{00000000-0002-0000-1F00-000003000000}">
          <x14:formula1>
            <xm:f>DATA!$C$386:$C$391</xm:f>
          </x14:formula1>
          <xm:sqref>I5:I14</xm:sqref>
        </x14:dataValidation>
        <x14:dataValidation type="list" allowBlank="1" showErrorMessage="1" xr:uid="{00000000-0002-0000-1F00-000004000000}">
          <x14:formula1>
            <xm:f>DATA!$C$401:$C$405</xm:f>
          </x14:formula1>
          <xm:sqref>K5:K14</xm:sqref>
        </x14:dataValidation>
        <x14:dataValidation type="list" allowBlank="1" showErrorMessage="1" xr:uid="{00000000-0002-0000-1F00-000005000000}">
          <x14:formula1>
            <xm:f>DATA!$C$409:$C$416</xm:f>
          </x14:formula1>
          <xm:sqref>L5:M14</xm:sqref>
        </x14:dataValidation>
        <x14:dataValidation type="list" allowBlank="1" showErrorMessage="1" xr:uid="{00000000-0002-0000-1F00-000006000000}">
          <x14:formula1>
            <xm:f>DATA!$C$349:$C$351</xm:f>
          </x14:formula1>
          <xm:sqref>Q9:Q14</xm:sqref>
        </x14:dataValidation>
        <x14:dataValidation type="list" allowBlank="1" showErrorMessage="1" xr:uid="{00000000-0002-0000-1F00-000007000000}">
          <x14:formula1>
            <xm:f>DATA!$C$76:$C$102</xm:f>
          </x14:formula1>
          <xm:sqref>W5:W14 AD5:AD14</xm:sqref>
        </x14:dataValidation>
        <x14:dataValidation type="list" allowBlank="1" showErrorMessage="1" xr:uid="{00000000-0002-0000-1F00-000009000000}">
          <x14:formula1>
            <xm:f>DATA!$C$428:$C$431</xm:f>
          </x14:formula1>
          <xm:sqref>Z5:Z14</xm:sqref>
        </x14:dataValidation>
        <x14:dataValidation type="list" allowBlank="1" showErrorMessage="1" xr:uid="{00000000-0002-0000-1F00-00000A000000}">
          <x14:formula1>
            <xm:f>DATA!$G$4:$G$565</xm:f>
          </x14:formula1>
          <xm:sqref>AA5:AA14</xm:sqref>
        </x14:dataValidation>
        <x14:dataValidation type="list" allowBlank="1" showErrorMessage="1" xr:uid="{00000000-0002-0000-1F00-00000B000000}">
          <x14:formula1>
            <xm:f>DATA!$C$123:$C$126</xm:f>
          </x14:formula1>
          <xm:sqref>AC5:AC14</xm:sqref>
        </x14:dataValidation>
        <x14:dataValidation type="list" allowBlank="1" showErrorMessage="1" xr:uid="{00000000-0002-0000-1F00-00000C000000}">
          <x14:formula1>
            <xm:f>DATA!$C$361:$C$367</xm:f>
          </x14:formula1>
          <xm:sqref>AU5:AU14</xm:sqref>
        </x14:dataValidation>
        <x14:dataValidation type="list" allowBlank="1" showErrorMessage="1" xr:uid="{00000000-0002-0000-1F00-00000D000000}">
          <x14:formula1>
            <xm:f>DATA!$C$615:$C$623</xm:f>
          </x14:formula1>
          <xm:sqref>AW5:AW14</xm:sqref>
        </x14:dataValidation>
        <x14:dataValidation type="list" allowBlank="1" showErrorMessage="1" xr:uid="{00000000-0002-0000-1F00-00000E000000}">
          <x14:formula1>
            <xm:f>DATA!$C$627:$C$635</xm:f>
          </x14:formula1>
          <xm:sqref>AX5:AX14</xm:sqref>
        </x14:dataValidation>
        <x14:dataValidation type="list" allowBlank="1" showErrorMessage="1" xr:uid="{00000000-0002-0000-1F00-00000F000000}">
          <x14:formula1>
            <xm:f>DATA!$U$4:$U$104</xm:f>
          </x14:formula1>
          <xm:sqref>BA5:BA14</xm:sqref>
        </x14:dataValidation>
        <x14:dataValidation type="list" allowBlank="1" showErrorMessage="1" xr:uid="{00000000-0002-0000-1F00-000010000000}">
          <x14:formula1>
            <xm:f>DATA!$C$747:$C$749</xm:f>
          </x14:formula1>
          <xm:sqref>BE5:BE14</xm:sqref>
        </x14:dataValidation>
        <x14:dataValidation type="list" allowBlank="1" showErrorMessage="1" xr:uid="{00000000-0002-0000-1F00-000011000000}">
          <x14:formula1>
            <xm:f>DATA!$C$754:$C$755</xm:f>
          </x14:formula1>
          <xm:sqref>BF5:BF14</xm:sqref>
        </x14:dataValidation>
        <x14:dataValidation type="list" allowBlank="1" showErrorMessage="1" xr:uid="{00000000-0002-0000-1F00-000012000000}">
          <x14:formula1>
            <xm:f>DATA!$C$55:$C$60</xm:f>
          </x14:formula1>
          <xm:sqref>J5:J14</xm:sqref>
        </x14:dataValidation>
        <x14:dataValidation type="list" allowBlank="1" showErrorMessage="1" xr:uid="{198CD09D-9871-4301-93A9-CC687CE7EC59}">
          <x14:formula1>
            <xm:f>DATA!$C$420:$C$424</xm:f>
          </x14:formula1>
          <xm:sqref>Q5:Q8</xm:sqref>
        </x14:dataValidation>
        <x14:dataValidation type="list" allowBlank="1" showErrorMessage="1" xr:uid="{1278FEFE-60BA-405A-B67E-28903774C984}">
          <x14:formula1>
            <xm:f>DATA!$G$570:$G$1050</xm:f>
          </x14:formula1>
          <xm:sqref>Y5:Y14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orm_0601">
    <tabColor rgb="FFFFFF00"/>
  </sheetPr>
  <dimension ref="A1:L5"/>
  <sheetViews>
    <sheetView showGridLines="0" workbookViewId="0">
      <selection activeCell="I13" sqref="I13"/>
    </sheetView>
  </sheetViews>
  <sheetFormatPr defaultColWidth="14.453125" defaultRowHeight="15" customHeight="1" x14ac:dyDescent="0.35"/>
  <cols>
    <col min="1" max="1" width="6.90625" customWidth="1"/>
    <col min="2" max="2" width="17" customWidth="1"/>
    <col min="3" max="3" width="16.54296875" customWidth="1"/>
    <col min="4" max="4" width="13.90625" customWidth="1"/>
    <col min="5" max="5" width="38.08984375" bestFit="1" customWidth="1"/>
    <col min="6" max="6" width="13" customWidth="1"/>
    <col min="7" max="7" width="11.54296875" customWidth="1"/>
    <col min="8" max="8" width="11.08984375" customWidth="1"/>
    <col min="9" max="9" width="24.08984375" customWidth="1"/>
    <col min="10" max="10" width="18.6328125" customWidth="1"/>
    <col min="11" max="12" width="19" customWidth="1"/>
    <col min="13" max="26" width="8.54296875" customWidth="1"/>
  </cols>
  <sheetData>
    <row r="1" spans="1:12" ht="14.5" x14ac:dyDescent="0.35">
      <c r="A1" s="103" t="str">
        <f>CONCATENATE("FORM ",Header!A40," - ",Header!B40)</f>
        <v>FORM 0601 - DAFTAR AGUNAN</v>
      </c>
      <c r="D1" s="320" t="s">
        <v>5124</v>
      </c>
      <c r="H1" s="134"/>
      <c r="I1" s="134"/>
    </row>
    <row r="2" spans="1:12" ht="14.5" x14ac:dyDescent="0.35">
      <c r="A2" s="460" t="s">
        <v>5662</v>
      </c>
      <c r="B2" s="460" t="s">
        <v>5232</v>
      </c>
      <c r="C2" s="491" t="s">
        <v>5558</v>
      </c>
      <c r="D2" s="491" t="s">
        <v>5529</v>
      </c>
      <c r="E2" s="494" t="s">
        <v>1159</v>
      </c>
      <c r="F2" s="491" t="s">
        <v>5559</v>
      </c>
      <c r="G2" s="491" t="s">
        <v>5560</v>
      </c>
      <c r="H2" s="492" t="s">
        <v>5561</v>
      </c>
      <c r="I2" s="493"/>
      <c r="J2" s="465"/>
      <c r="K2" s="492" t="s">
        <v>6108</v>
      </c>
      <c r="L2" s="465"/>
    </row>
    <row r="3" spans="1:12" ht="29" x14ac:dyDescent="0.35">
      <c r="A3" s="399"/>
      <c r="B3" s="399"/>
      <c r="C3" s="462"/>
      <c r="D3" s="462"/>
      <c r="E3" s="462"/>
      <c r="F3" s="462"/>
      <c r="G3" s="462"/>
      <c r="H3" s="106" t="s">
        <v>5155</v>
      </c>
      <c r="I3" s="128" t="s">
        <v>5562</v>
      </c>
      <c r="J3" s="128" t="s">
        <v>5563</v>
      </c>
      <c r="K3" s="106" t="s">
        <v>5564</v>
      </c>
      <c r="L3" s="106" t="s">
        <v>5565</v>
      </c>
    </row>
    <row r="4" spans="1:12" ht="14.5" x14ac:dyDescent="0.35">
      <c r="A4" s="122" t="s">
        <v>5663</v>
      </c>
      <c r="B4" s="122" t="s">
        <v>783</v>
      </c>
      <c r="C4" s="132" t="s">
        <v>5979</v>
      </c>
      <c r="D4" s="132" t="s">
        <v>5980</v>
      </c>
      <c r="E4" s="132" t="s">
        <v>5723</v>
      </c>
      <c r="F4" s="132" t="s">
        <v>5675</v>
      </c>
      <c r="G4" s="132">
        <v>100000</v>
      </c>
      <c r="H4" s="132">
        <v>500000</v>
      </c>
      <c r="I4" s="132" t="s">
        <v>5724</v>
      </c>
      <c r="J4" s="122" t="s">
        <v>5736</v>
      </c>
      <c r="K4" s="132">
        <v>2000</v>
      </c>
      <c r="L4" s="132"/>
    </row>
    <row r="5" spans="1:12" ht="14.5" x14ac:dyDescent="0.35">
      <c r="A5" s="122" t="s">
        <v>5663</v>
      </c>
      <c r="B5" s="122" t="s">
        <v>30</v>
      </c>
      <c r="C5" s="132" t="s">
        <v>5981</v>
      </c>
      <c r="D5" s="132" t="s">
        <v>5982</v>
      </c>
      <c r="E5" s="132" t="s">
        <v>5306</v>
      </c>
      <c r="F5" s="132" t="s">
        <v>5675</v>
      </c>
      <c r="G5" s="132">
        <v>100000</v>
      </c>
      <c r="H5" s="132">
        <v>500000</v>
      </c>
      <c r="I5" s="132" t="s">
        <v>5983</v>
      </c>
      <c r="J5" s="122" t="s">
        <v>5747</v>
      </c>
      <c r="K5" s="132"/>
      <c r="L5" s="132">
        <v>1000</v>
      </c>
    </row>
  </sheetData>
  <mergeCells count="9">
    <mergeCell ref="F2:F3"/>
    <mergeCell ref="G2:G3"/>
    <mergeCell ref="H2:J2"/>
    <mergeCell ref="K2:L2"/>
    <mergeCell ref="A2:A3"/>
    <mergeCell ref="B2:B3"/>
    <mergeCell ref="C2:C3"/>
    <mergeCell ref="D2:D3"/>
    <mergeCell ref="E2:E3"/>
  </mergeCells>
  <hyperlinks>
    <hyperlink ref="D1" location="Header!A1" display="Back to Header" xr:uid="{00000000-0004-0000-20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2000-000000000000}">
          <x14:formula1>
            <xm:f>DATA!$C$130:$C$148</xm:f>
          </x14:formula1>
          <xm:sqref>E4:E20</xm:sqref>
        </x14:dataValidation>
        <x14:dataValidation type="list" allowBlank="1" showErrorMessage="1" xr:uid="{00000000-0002-0000-2000-000001000000}">
          <x14:formula1>
            <xm:f>DATA!$C$435:$C$436</xm:f>
          </x14:formula1>
          <xm:sqref>I4:I20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6">
    <tabColor theme="5"/>
  </sheetPr>
  <dimension ref="A1:Q15"/>
  <sheetViews>
    <sheetView topLeftCell="H1" workbookViewId="0">
      <selection activeCell="A4" sqref="A4:Q5"/>
    </sheetView>
  </sheetViews>
  <sheetFormatPr defaultColWidth="14.453125" defaultRowHeight="15" customHeight="1" x14ac:dyDescent="0.35"/>
  <cols>
    <col min="1" max="1" width="8.08984375" customWidth="1"/>
    <col min="2" max="4" width="17.36328125" customWidth="1"/>
    <col min="5" max="8" width="15.08984375" customWidth="1"/>
    <col min="9" max="9" width="26.36328125" bestFit="1" customWidth="1"/>
    <col min="10" max="10" width="18" customWidth="1"/>
    <col min="11" max="11" width="29.36328125" bestFit="1" customWidth="1"/>
    <col min="12" max="12" width="14.08984375" customWidth="1"/>
    <col min="13" max="17" width="12.54296875" customWidth="1"/>
    <col min="18" max="26" width="8.54296875" customWidth="1"/>
  </cols>
  <sheetData>
    <row r="1" spans="1:17" ht="14.5" x14ac:dyDescent="0.35">
      <c r="A1" s="103" t="str">
        <f>CONCATENATE("FORM ",Header!A41," - ",Header!B41)</f>
        <v>FORM 0602 - DAFTAR KREDIT SINDIKASI</v>
      </c>
      <c r="F1" s="320" t="s">
        <v>5124</v>
      </c>
    </row>
    <row r="2" spans="1:17" ht="14.5" x14ac:dyDescent="0.35">
      <c r="A2" s="460" t="s">
        <v>5232</v>
      </c>
      <c r="B2" s="495" t="s">
        <v>5378</v>
      </c>
      <c r="C2" s="495" t="s">
        <v>5190</v>
      </c>
      <c r="D2" s="495" t="s">
        <v>5529</v>
      </c>
      <c r="E2" s="483" t="s">
        <v>5566</v>
      </c>
      <c r="F2" s="402"/>
      <c r="G2" s="483" t="s">
        <v>5567</v>
      </c>
      <c r="H2" s="402"/>
      <c r="I2" s="495" t="s">
        <v>3291</v>
      </c>
      <c r="J2" s="495" t="s">
        <v>5568</v>
      </c>
      <c r="K2" s="495" t="s">
        <v>6073</v>
      </c>
      <c r="L2" s="495" t="s">
        <v>5569</v>
      </c>
      <c r="M2" s="495" t="s">
        <v>5570</v>
      </c>
      <c r="N2" s="483" t="s">
        <v>5571</v>
      </c>
      <c r="O2" s="402"/>
      <c r="P2" s="483" t="s">
        <v>5572</v>
      </c>
      <c r="Q2" s="402"/>
    </row>
    <row r="3" spans="1:17" ht="14.5" x14ac:dyDescent="0.35">
      <c r="A3" s="399"/>
      <c r="B3" s="399"/>
      <c r="C3" s="399"/>
      <c r="D3" s="399"/>
      <c r="E3" s="106" t="s">
        <v>5273</v>
      </c>
      <c r="F3" s="106" t="s">
        <v>5276</v>
      </c>
      <c r="G3" s="106" t="s">
        <v>5273</v>
      </c>
      <c r="H3" s="106" t="s">
        <v>5276</v>
      </c>
      <c r="I3" s="399"/>
      <c r="J3" s="399"/>
      <c r="K3" s="399"/>
      <c r="L3" s="399"/>
      <c r="M3" s="399"/>
      <c r="N3" s="106" t="s">
        <v>5573</v>
      </c>
      <c r="O3" s="106" t="s">
        <v>5574</v>
      </c>
      <c r="P3" s="106" t="s">
        <v>5573</v>
      </c>
      <c r="Q3" s="106" t="s">
        <v>5574</v>
      </c>
    </row>
    <row r="4" spans="1:17" ht="14.5" x14ac:dyDescent="0.35">
      <c r="A4" s="122" t="s">
        <v>783</v>
      </c>
      <c r="B4" s="122" t="s">
        <v>6119</v>
      </c>
      <c r="C4" s="122" t="s">
        <v>6121</v>
      </c>
      <c r="D4" s="122" t="s">
        <v>6120</v>
      </c>
      <c r="E4" s="122" t="s">
        <v>6122</v>
      </c>
      <c r="F4" s="122" t="s">
        <v>6122</v>
      </c>
      <c r="G4" s="122" t="s">
        <v>6123</v>
      </c>
      <c r="H4" s="122" t="s">
        <v>6123</v>
      </c>
      <c r="I4" s="122">
        <v>601233</v>
      </c>
      <c r="J4" s="122" t="s">
        <v>5725</v>
      </c>
      <c r="K4" s="122" t="s">
        <v>6126</v>
      </c>
      <c r="L4" s="122" t="s">
        <v>104</v>
      </c>
      <c r="M4" s="122" t="s">
        <v>5709</v>
      </c>
      <c r="N4" s="122" t="s">
        <v>6127</v>
      </c>
      <c r="O4" s="122" t="s">
        <v>6127</v>
      </c>
      <c r="P4" s="122" t="s">
        <v>6127</v>
      </c>
      <c r="Q4" s="122" t="s">
        <v>6127</v>
      </c>
    </row>
    <row r="5" spans="1:17" ht="14.5" x14ac:dyDescent="0.35">
      <c r="A5" s="122" t="s">
        <v>783</v>
      </c>
      <c r="B5" s="122" t="s">
        <v>6119</v>
      </c>
      <c r="C5" s="122" t="s">
        <v>6121</v>
      </c>
      <c r="D5" s="122" t="s">
        <v>6120</v>
      </c>
      <c r="E5" s="122" t="s">
        <v>6122</v>
      </c>
      <c r="F5" s="122" t="s">
        <v>6122</v>
      </c>
      <c r="G5" s="122" t="s">
        <v>6124</v>
      </c>
      <c r="H5" s="122" t="s">
        <v>6124</v>
      </c>
      <c r="I5" s="122">
        <v>601233</v>
      </c>
      <c r="J5" s="122" t="s">
        <v>6125</v>
      </c>
      <c r="K5" s="122" t="s">
        <v>6126</v>
      </c>
      <c r="L5" s="122" t="s">
        <v>118</v>
      </c>
      <c r="M5" s="122" t="s">
        <v>5709</v>
      </c>
      <c r="N5" s="122" t="s">
        <v>6127</v>
      </c>
      <c r="O5" s="122" t="s">
        <v>6127</v>
      </c>
      <c r="P5" s="122" t="s">
        <v>6127</v>
      </c>
      <c r="Q5" s="122" t="s">
        <v>6127</v>
      </c>
    </row>
    <row r="6" spans="1:17" ht="14.5" x14ac:dyDescent="0.35">
      <c r="A6" s="122"/>
      <c r="B6" s="122"/>
      <c r="C6" s="122"/>
      <c r="D6" s="122"/>
      <c r="E6" s="122"/>
      <c r="F6" s="122"/>
      <c r="G6" s="122"/>
      <c r="H6" s="122"/>
      <c r="I6" s="122"/>
      <c r="J6" s="122"/>
      <c r="K6" s="122"/>
      <c r="L6" s="122"/>
      <c r="M6" s="122"/>
      <c r="N6" s="122"/>
      <c r="O6" s="122"/>
      <c r="P6" s="122"/>
      <c r="Q6" s="122"/>
    </row>
    <row r="7" spans="1:17" ht="14.5" x14ac:dyDescent="0.35">
      <c r="A7" s="122"/>
      <c r="B7" s="122"/>
      <c r="C7" s="122"/>
      <c r="D7" s="122"/>
      <c r="E7" s="122"/>
      <c r="F7" s="122"/>
      <c r="G7" s="122"/>
      <c r="H7" s="122"/>
      <c r="I7" s="122"/>
      <c r="J7" s="122"/>
      <c r="K7" s="122"/>
      <c r="L7" s="122"/>
      <c r="M7" s="122"/>
      <c r="N7" s="122"/>
      <c r="O7" s="122"/>
      <c r="P7" s="122"/>
      <c r="Q7" s="122"/>
    </row>
    <row r="8" spans="1:17" ht="14.5" x14ac:dyDescent="0.35">
      <c r="A8" s="122"/>
      <c r="B8" s="122"/>
      <c r="C8" s="122"/>
      <c r="D8" s="122"/>
      <c r="E8" s="122"/>
      <c r="F8" s="122"/>
      <c r="G8" s="122"/>
      <c r="H8" s="122"/>
      <c r="I8" s="122"/>
      <c r="J8" s="122"/>
      <c r="K8" s="122"/>
      <c r="L8" s="122"/>
      <c r="M8" s="122"/>
      <c r="N8" s="122"/>
      <c r="O8" s="122"/>
      <c r="P8" s="122"/>
      <c r="Q8" s="122"/>
    </row>
    <row r="9" spans="1:17" ht="14.5" x14ac:dyDescent="0.35">
      <c r="A9" s="122"/>
      <c r="B9" s="122"/>
      <c r="C9" s="122"/>
      <c r="D9" s="122"/>
      <c r="E9" s="122"/>
      <c r="F9" s="122"/>
      <c r="G9" s="122"/>
      <c r="H9" s="122"/>
      <c r="I9" s="122"/>
      <c r="J9" s="122"/>
      <c r="K9" s="122"/>
      <c r="L9" s="122"/>
      <c r="M9" s="122"/>
      <c r="N9" s="122"/>
      <c r="O9" s="122"/>
      <c r="P9" s="122"/>
      <c r="Q9" s="122"/>
    </row>
    <row r="10" spans="1:17" ht="15" customHeight="1" x14ac:dyDescent="0.35">
      <c r="J10" s="132"/>
    </row>
    <row r="12" spans="1:17" ht="14.5" x14ac:dyDescent="0.35">
      <c r="D12" s="88"/>
    </row>
    <row r="13" spans="1:17" ht="14.5" x14ac:dyDescent="0.35">
      <c r="D13" s="88"/>
    </row>
    <row r="14" spans="1:17" ht="14.5" x14ac:dyDescent="0.35">
      <c r="G14" s="88"/>
    </row>
    <row r="15" spans="1:17" ht="14.5" x14ac:dyDescent="0.35">
      <c r="H15" s="88"/>
    </row>
  </sheetData>
  <mergeCells count="13">
    <mergeCell ref="P2:Q2"/>
    <mergeCell ref="A2:A3"/>
    <mergeCell ref="B2:B3"/>
    <mergeCell ref="C2:C3"/>
    <mergeCell ref="D2:D3"/>
    <mergeCell ref="E2:F2"/>
    <mergeCell ref="G2:H2"/>
    <mergeCell ref="I2:I3"/>
    <mergeCell ref="J2:J3"/>
    <mergeCell ref="K2:K3"/>
    <mergeCell ref="L2:L3"/>
    <mergeCell ref="M2:M3"/>
    <mergeCell ref="N2:O2"/>
  </mergeCells>
  <dataValidations count="1">
    <dataValidation type="list" allowBlank="1" showErrorMessage="1" sqref="I4:I9" xr:uid="{00000000-0002-0000-2100-000000000000}">
      <formula1>sandiBank</formula1>
    </dataValidation>
  </dataValidations>
  <hyperlinks>
    <hyperlink ref="F1" location="Header!A1" display="Back to Header" xr:uid="{00000000-0004-0000-21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4">
        <x14:dataValidation type="list" allowBlank="1" showErrorMessage="1" xr:uid="{00000000-0002-0000-2100-000001000000}">
          <x14:formula1>
            <xm:f>DATA!$C$690:$C$691</xm:f>
          </x14:formula1>
          <xm:sqref>J4:J10</xm:sqref>
        </x14:dataValidation>
        <x14:dataValidation type="list" allowBlank="1" showErrorMessage="1" xr:uid="{00000000-0002-0000-2100-000002000000}">
          <x14:formula1>
            <xm:f>DATA!$A$10:$A$11</xm:f>
          </x14:formula1>
          <xm:sqref>L4:L9</xm:sqref>
        </x14:dataValidation>
        <x14:dataValidation type="list" allowBlank="1" showErrorMessage="1" xr:uid="{00000000-0002-0000-2100-000003000000}">
          <x14:formula1>
            <xm:f>DATA!$C$349:$C$351</xm:f>
          </x14:formula1>
          <xm:sqref>M6:M9</xm:sqref>
        </x14:dataValidation>
        <x14:dataValidation type="list" allowBlank="1" showErrorMessage="1" xr:uid="{4BE5AA55-D6E3-4045-AEEE-9F4524C8E2F8}">
          <x14:formula1>
            <xm:f>DATA!$C$420:$C$424</xm:f>
          </x14:formula1>
          <xm:sqref>M4:M5</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orm_0800">
    <tabColor rgb="FFFFFF00"/>
  </sheetPr>
  <dimension ref="A1:J6"/>
  <sheetViews>
    <sheetView showGridLines="0" workbookViewId="0"/>
  </sheetViews>
  <sheetFormatPr defaultColWidth="14.453125" defaultRowHeight="15" customHeight="1" x14ac:dyDescent="0.35"/>
  <cols>
    <col min="1" max="1" width="7" customWidth="1"/>
    <col min="2" max="2" width="9.54296875" customWidth="1"/>
    <col min="3" max="3" width="51.08984375" bestFit="1" customWidth="1"/>
    <col min="4" max="4" width="29" bestFit="1" customWidth="1"/>
    <col min="5" max="5" width="19.36328125" bestFit="1" customWidth="1"/>
    <col min="6" max="8" width="21.453125" customWidth="1"/>
    <col min="9" max="9" width="8.54296875" customWidth="1"/>
    <col min="10" max="10" width="16.54296875" customWidth="1"/>
    <col min="11" max="26" width="8.54296875" customWidth="1"/>
  </cols>
  <sheetData>
    <row r="1" spans="1:10" ht="14.5" x14ac:dyDescent="0.35">
      <c r="A1" s="103" t="str">
        <f>CONCATENATE("FORM ",Header!A43," - ",Header!B43)</f>
        <v>FORM 0800 - DAFTAR ASET TETAP, INVENTARIS DAN ASET TIDAK BERWUJUD</v>
      </c>
      <c r="G1" s="168" t="s">
        <v>5124</v>
      </c>
    </row>
    <row r="2" spans="1:10" ht="29" x14ac:dyDescent="0.35">
      <c r="A2" s="128" t="s">
        <v>5662</v>
      </c>
      <c r="B2" s="128" t="s">
        <v>5232</v>
      </c>
      <c r="C2" s="173" t="s">
        <v>5579</v>
      </c>
      <c r="D2" s="106" t="s">
        <v>2589</v>
      </c>
      <c r="E2" s="164" t="s">
        <v>5580</v>
      </c>
      <c r="F2" s="164" t="s">
        <v>3249</v>
      </c>
      <c r="G2" s="164" t="s">
        <v>5581</v>
      </c>
      <c r="H2" s="174" t="s">
        <v>5577</v>
      </c>
      <c r="I2" s="106" t="s">
        <v>5582</v>
      </c>
      <c r="J2" s="106" t="s">
        <v>5691</v>
      </c>
    </row>
    <row r="3" spans="1:10" ht="14.5" x14ac:dyDescent="0.35">
      <c r="A3" s="122" t="s">
        <v>5663</v>
      </c>
      <c r="B3" s="122" t="s">
        <v>783</v>
      </c>
      <c r="C3" s="132" t="s">
        <v>5986</v>
      </c>
      <c r="D3" s="132" t="s">
        <v>5987</v>
      </c>
      <c r="E3" s="132" t="s">
        <v>5988</v>
      </c>
      <c r="F3" s="132">
        <v>4000000</v>
      </c>
      <c r="G3" s="132">
        <v>200000</v>
      </c>
      <c r="H3" s="132">
        <v>200000</v>
      </c>
      <c r="I3" s="132">
        <f>F3-G3-H3</f>
        <v>3600000</v>
      </c>
      <c r="J3" s="132" t="s">
        <v>5694</v>
      </c>
    </row>
    <row r="4" spans="1:10" ht="14.5" x14ac:dyDescent="0.35">
      <c r="A4" s="122" t="s">
        <v>5663</v>
      </c>
      <c r="B4" s="122" t="s">
        <v>783</v>
      </c>
      <c r="C4" s="132" t="s">
        <v>6023</v>
      </c>
      <c r="D4" s="132" t="s">
        <v>5989</v>
      </c>
      <c r="E4" s="132" t="s">
        <v>5686</v>
      </c>
      <c r="F4" s="132">
        <v>2000000</v>
      </c>
      <c r="G4" s="132">
        <v>1000000</v>
      </c>
      <c r="H4" s="132">
        <v>445500</v>
      </c>
      <c r="I4" s="132">
        <f t="shared" ref="I4:I6" si="0">F4-G4-H4</f>
        <v>554500</v>
      </c>
      <c r="J4" s="132" t="s">
        <v>5696</v>
      </c>
    </row>
    <row r="5" spans="1:10" ht="14.5" x14ac:dyDescent="0.35">
      <c r="A5" s="122" t="s">
        <v>5663</v>
      </c>
      <c r="B5" s="122" t="s">
        <v>30</v>
      </c>
      <c r="C5" s="132" t="s">
        <v>5986</v>
      </c>
      <c r="D5" s="132" t="s">
        <v>5685</v>
      </c>
      <c r="E5" s="132" t="s">
        <v>5988</v>
      </c>
      <c r="F5" s="132">
        <v>4000000</v>
      </c>
      <c r="G5" s="132">
        <v>200000</v>
      </c>
      <c r="H5" s="132">
        <v>200000</v>
      </c>
      <c r="I5" s="132">
        <f t="shared" si="0"/>
        <v>3600000</v>
      </c>
      <c r="J5" s="132" t="s">
        <v>5694</v>
      </c>
    </row>
    <row r="6" spans="1:10" ht="14.5" x14ac:dyDescent="0.35">
      <c r="A6" s="122" t="s">
        <v>5663</v>
      </c>
      <c r="B6" s="122" t="s">
        <v>30</v>
      </c>
      <c r="C6" s="132" t="s">
        <v>6023</v>
      </c>
      <c r="D6" s="132" t="s">
        <v>5990</v>
      </c>
      <c r="E6" s="132" t="s">
        <v>5686</v>
      </c>
      <c r="F6" s="132">
        <v>2000000</v>
      </c>
      <c r="G6" s="132">
        <v>1000000</v>
      </c>
      <c r="H6" s="132">
        <v>139500</v>
      </c>
      <c r="I6" s="132">
        <f t="shared" si="0"/>
        <v>860500</v>
      </c>
      <c r="J6" s="132" t="s">
        <v>5696</v>
      </c>
    </row>
  </sheetData>
  <hyperlinks>
    <hyperlink ref="G1" location="Header!A1" display="Back to Header" xr:uid="{00000000-0004-0000-23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5">
        <x14:dataValidation type="list" allowBlank="1" showErrorMessage="1" xr:uid="{00000000-0002-0000-2300-000000000000}">
          <x14:formula1>
            <xm:f>DATA!$C$440:$C$446</xm:f>
          </x14:formula1>
          <xm:sqref>C7:C12</xm:sqref>
        </x14:dataValidation>
        <x14:dataValidation type="list" allowBlank="1" showErrorMessage="1" xr:uid="{F5E657DC-8EE7-403B-A72A-D453DD3ACAAA}">
          <x14:formula1>
            <xm:f>DATA!$C$440:$C$447</xm:f>
          </x14:formula1>
          <xm:sqref>C3:C6</xm:sqref>
        </x14:dataValidation>
        <x14:dataValidation type="list" allowBlank="1" showErrorMessage="1" xr:uid="{00000000-0002-0000-2300-000001000000}">
          <x14:formula1>
            <xm:f>DATA!$C$457:$C$458</xm:f>
          </x14:formula1>
          <xm:sqref>E3:E12</xm:sqref>
        </x14:dataValidation>
        <x14:dataValidation type="list" allowBlank="1" showErrorMessage="1" xr:uid="{00000000-0002-0000-2300-000002000000}">
          <x14:formula1>
            <xm:f>DATA!$C$450:$C$453</xm:f>
          </x14:formula1>
          <xm:sqref>D3:D12</xm:sqref>
        </x14:dataValidation>
        <x14:dataValidation type="list" allowBlank="1" showErrorMessage="1" xr:uid="{00000000-0002-0000-2300-000003000000}">
          <x14:formula1>
            <xm:f>DATA!$C$754:$C$755</xm:f>
          </x14:formula1>
          <xm:sqref>J3:J12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orm_0700">
    <tabColor rgb="FF99FF33"/>
  </sheetPr>
  <dimension ref="A1:I5"/>
  <sheetViews>
    <sheetView showGridLines="0" workbookViewId="0">
      <selection activeCell="G5" sqref="G5"/>
    </sheetView>
  </sheetViews>
  <sheetFormatPr defaultColWidth="14.453125" defaultRowHeight="15" customHeight="1" x14ac:dyDescent="0.35"/>
  <cols>
    <col min="1" max="1" width="7" customWidth="1"/>
    <col min="2" max="2" width="11.54296875" customWidth="1"/>
    <col min="3" max="3" width="28.08984375" customWidth="1"/>
    <col min="4" max="4" width="31.36328125" customWidth="1"/>
    <col min="5" max="9" width="23.36328125" customWidth="1"/>
    <col min="10" max="26" width="8.54296875" customWidth="1"/>
  </cols>
  <sheetData>
    <row r="1" spans="1:9" ht="14.5" x14ac:dyDescent="0.35">
      <c r="A1" s="103" t="str">
        <f>CONCATENATE("FORM ",Header!A42," - ",Header!B42)</f>
        <v>FORM 0700 - DAFTAR  AGUNAN YANG DIAMBIL ALIH</v>
      </c>
      <c r="D1" s="134"/>
      <c r="F1" s="168" t="s">
        <v>5124</v>
      </c>
    </row>
    <row r="2" spans="1:9" ht="29" x14ac:dyDescent="0.35">
      <c r="A2" s="139" t="s">
        <v>5662</v>
      </c>
      <c r="B2" s="139" t="s">
        <v>5232</v>
      </c>
      <c r="C2" s="164" t="s">
        <v>1159</v>
      </c>
      <c r="D2" s="164" t="s">
        <v>5559</v>
      </c>
      <c r="E2" s="128" t="s">
        <v>5575</v>
      </c>
      <c r="F2" s="164" t="s">
        <v>5576</v>
      </c>
      <c r="G2" s="164" t="s">
        <v>5577</v>
      </c>
      <c r="H2" s="164" t="s">
        <v>5265</v>
      </c>
      <c r="I2" s="172" t="s">
        <v>5578</v>
      </c>
    </row>
    <row r="3" spans="1:9" ht="14.5" x14ac:dyDescent="0.35">
      <c r="A3" s="122" t="s">
        <v>5663</v>
      </c>
      <c r="B3" s="122" t="s">
        <v>783</v>
      </c>
      <c r="C3" s="138" t="s">
        <v>5688</v>
      </c>
      <c r="D3" s="132" t="s">
        <v>5689</v>
      </c>
      <c r="E3" s="122" t="s">
        <v>5341</v>
      </c>
      <c r="F3" s="132">
        <v>100000</v>
      </c>
      <c r="G3" s="132">
        <v>1000</v>
      </c>
      <c r="H3" s="132">
        <v>11000</v>
      </c>
      <c r="I3" s="132">
        <v>11000</v>
      </c>
    </row>
    <row r="4" spans="1:9" ht="14.5" x14ac:dyDescent="0.35">
      <c r="A4" s="122" t="s">
        <v>5663</v>
      </c>
      <c r="B4" s="122" t="s">
        <v>783</v>
      </c>
      <c r="C4" s="138" t="s">
        <v>5984</v>
      </c>
      <c r="D4" s="132" t="s">
        <v>5689</v>
      </c>
      <c r="E4" s="122" t="s">
        <v>5341</v>
      </c>
      <c r="F4" s="132">
        <v>100000</v>
      </c>
      <c r="G4" s="132">
        <v>1000</v>
      </c>
      <c r="H4" s="132">
        <v>11000</v>
      </c>
      <c r="I4" s="132">
        <v>11000</v>
      </c>
    </row>
    <row r="5" spans="1:9" ht="14.5" x14ac:dyDescent="0.35">
      <c r="A5" s="122" t="s">
        <v>5663</v>
      </c>
      <c r="B5" s="122" t="s">
        <v>30</v>
      </c>
      <c r="C5" s="138" t="s">
        <v>5985</v>
      </c>
      <c r="D5" s="132" t="s">
        <v>5689</v>
      </c>
      <c r="E5" s="122" t="s">
        <v>5341</v>
      </c>
      <c r="F5" s="132">
        <v>100000</v>
      </c>
      <c r="G5" s="132">
        <v>1000</v>
      </c>
      <c r="H5" s="132">
        <v>11000</v>
      </c>
      <c r="I5" s="132">
        <v>11000</v>
      </c>
    </row>
  </sheetData>
  <hyperlinks>
    <hyperlink ref="F1" location="Header!A1" display="Back to Header" xr:uid="{00000000-0004-0000-22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1">
        <x14:dataValidation type="list" allowBlank="1" showErrorMessage="1" xr:uid="{00000000-0002-0000-2200-000000000000}">
          <x14:formula1>
            <xm:f>DATA!$C$476:$C$481</xm:f>
          </x14:formula1>
          <xm:sqref>C3:C20</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orm_0900"/>
  <dimension ref="A1:L27"/>
  <sheetViews>
    <sheetView showGridLines="0" workbookViewId="0">
      <selection activeCell="D5" sqref="D5"/>
    </sheetView>
  </sheetViews>
  <sheetFormatPr defaultColWidth="14.453125" defaultRowHeight="15" customHeight="1" x14ac:dyDescent="0.35"/>
  <cols>
    <col min="1" max="1" width="7.54296875" customWidth="1"/>
    <col min="2" max="2" width="7.453125" customWidth="1"/>
    <col min="3" max="3" width="45.90625" customWidth="1"/>
    <col min="5" max="5" width="14.54296875" customWidth="1"/>
    <col min="6" max="6" width="8.54296875" customWidth="1"/>
    <col min="7" max="7" width="10.81640625" bestFit="1" customWidth="1"/>
    <col min="8" max="26" width="8.54296875" customWidth="1"/>
  </cols>
  <sheetData>
    <row r="1" spans="1:12" ht="14.5" x14ac:dyDescent="0.35">
      <c r="A1" s="103" t="str">
        <f>CONCATENATE("FORM ",Header!A44," - ",Header!B44)</f>
        <v>FORM 0900 - RINCIAN ASET LAINNYA</v>
      </c>
      <c r="B1" s="255"/>
      <c r="C1" s="255"/>
      <c r="D1" s="256" t="s">
        <v>5124</v>
      </c>
      <c r="E1" s="257"/>
    </row>
    <row r="2" spans="1:12" ht="29" x14ac:dyDescent="0.35">
      <c r="A2" s="258" t="s">
        <v>5662</v>
      </c>
      <c r="B2" s="259" t="s">
        <v>5232</v>
      </c>
      <c r="C2" s="260" t="s">
        <v>5764</v>
      </c>
      <c r="D2" s="259" t="s">
        <v>5391</v>
      </c>
      <c r="E2" s="258" t="s">
        <v>5265</v>
      </c>
      <c r="G2">
        <v>1299000000</v>
      </c>
    </row>
    <row r="3" spans="1:12" ht="14.5" x14ac:dyDescent="0.35">
      <c r="A3" s="248" t="s">
        <v>5144</v>
      </c>
      <c r="B3" s="249"/>
      <c r="C3" s="250" t="s">
        <v>5526</v>
      </c>
      <c r="D3" s="275"/>
      <c r="E3" s="109"/>
    </row>
    <row r="4" spans="1:12" ht="14.5" x14ac:dyDescent="0.35">
      <c r="A4" s="248" t="s">
        <v>5128</v>
      </c>
      <c r="B4" s="251" t="s">
        <v>783</v>
      </c>
      <c r="C4" s="250" t="s">
        <v>5869</v>
      </c>
      <c r="D4" s="275" t="s">
        <v>5583</v>
      </c>
      <c r="E4" s="132">
        <v>10000</v>
      </c>
      <c r="G4" t="s">
        <v>6193</v>
      </c>
    </row>
    <row r="5" spans="1:12" ht="14.5" x14ac:dyDescent="0.35">
      <c r="A5" s="248" t="s">
        <v>5128</v>
      </c>
      <c r="B5" s="251" t="s">
        <v>783</v>
      </c>
      <c r="C5" s="250" t="s">
        <v>5870</v>
      </c>
      <c r="D5" s="275">
        <v>1299010200</v>
      </c>
      <c r="E5" s="132">
        <v>200000</v>
      </c>
      <c r="G5" t="s">
        <v>6194</v>
      </c>
    </row>
    <row r="6" spans="1:12" ht="14.5" x14ac:dyDescent="0.35">
      <c r="A6" s="248" t="s">
        <v>5128</v>
      </c>
      <c r="B6" s="251" t="s">
        <v>783</v>
      </c>
      <c r="C6" s="351" t="s">
        <v>6109</v>
      </c>
      <c r="D6" s="275" t="s">
        <v>6111</v>
      </c>
      <c r="E6" s="132">
        <v>200000</v>
      </c>
      <c r="G6" t="s">
        <v>6195</v>
      </c>
    </row>
    <row r="7" spans="1:12" ht="14.5" x14ac:dyDescent="0.35">
      <c r="A7" s="248" t="s">
        <v>5128</v>
      </c>
      <c r="B7" s="251" t="s">
        <v>783</v>
      </c>
      <c r="C7" s="351" t="s">
        <v>6110</v>
      </c>
      <c r="D7" s="275" t="s">
        <v>6112</v>
      </c>
      <c r="E7" s="132">
        <v>200000</v>
      </c>
      <c r="G7" s="361" t="s">
        <v>6195</v>
      </c>
    </row>
    <row r="8" spans="1:12" ht="14.5" x14ac:dyDescent="0.35">
      <c r="A8" s="248" t="s">
        <v>5128</v>
      </c>
      <c r="B8" s="251" t="s">
        <v>783</v>
      </c>
      <c r="C8" s="250" t="s">
        <v>5871</v>
      </c>
      <c r="D8" s="275">
        <v>1299020000</v>
      </c>
      <c r="E8" s="132">
        <v>100000</v>
      </c>
    </row>
    <row r="9" spans="1:12" ht="14.5" x14ac:dyDescent="0.35">
      <c r="A9" s="248" t="s">
        <v>5128</v>
      </c>
      <c r="B9" s="251" t="s">
        <v>783</v>
      </c>
      <c r="C9" s="250" t="s">
        <v>5872</v>
      </c>
      <c r="D9" s="275">
        <v>1299030000</v>
      </c>
      <c r="E9" s="132">
        <v>100000</v>
      </c>
    </row>
    <row r="10" spans="1:12" ht="14.5" x14ac:dyDescent="0.35">
      <c r="A10" s="248" t="s">
        <v>5128</v>
      </c>
      <c r="B10" s="251" t="s">
        <v>783</v>
      </c>
      <c r="C10" s="250" t="s">
        <v>5873</v>
      </c>
      <c r="D10" s="275">
        <v>1299040000</v>
      </c>
      <c r="E10" s="132">
        <v>100000</v>
      </c>
    </row>
    <row r="11" spans="1:12" ht="14.5" x14ac:dyDescent="0.35">
      <c r="A11" s="248" t="s">
        <v>5128</v>
      </c>
      <c r="B11" s="251" t="s">
        <v>783</v>
      </c>
      <c r="C11" s="250" t="s">
        <v>5874</v>
      </c>
      <c r="D11" s="275">
        <v>1299050000</v>
      </c>
      <c r="E11" s="132">
        <v>100000</v>
      </c>
    </row>
    <row r="12" spans="1:12" ht="14.5" x14ac:dyDescent="0.35">
      <c r="A12" s="248" t="s">
        <v>5128</v>
      </c>
      <c r="B12" s="251" t="s">
        <v>783</v>
      </c>
      <c r="C12" s="250" t="s">
        <v>5875</v>
      </c>
      <c r="D12" s="275">
        <v>1299060000</v>
      </c>
      <c r="E12" s="132">
        <v>100000</v>
      </c>
    </row>
    <row r="13" spans="1:12" ht="14.5" x14ac:dyDescent="0.35">
      <c r="A13" s="248" t="s">
        <v>5128</v>
      </c>
      <c r="B13" s="251" t="s">
        <v>783</v>
      </c>
      <c r="C13" s="250" t="s">
        <v>5876</v>
      </c>
      <c r="D13" s="275">
        <v>1299070000</v>
      </c>
      <c r="E13" s="132">
        <v>400000</v>
      </c>
    </row>
    <row r="14" spans="1:12" ht="14.5" x14ac:dyDescent="0.35">
      <c r="A14" s="248" t="s">
        <v>5128</v>
      </c>
      <c r="B14" s="251" t="s">
        <v>783</v>
      </c>
      <c r="C14" s="250" t="s">
        <v>331</v>
      </c>
      <c r="D14" s="275" t="s">
        <v>5584</v>
      </c>
      <c r="E14" s="132">
        <v>700000</v>
      </c>
    </row>
    <row r="15" spans="1:12" ht="29" x14ac:dyDescent="0.35">
      <c r="A15" s="261" t="s">
        <v>5125</v>
      </c>
      <c r="B15" s="262" t="s">
        <v>5232</v>
      </c>
      <c r="C15" s="263" t="s">
        <v>5764</v>
      </c>
      <c r="D15" s="276" t="s">
        <v>5391</v>
      </c>
      <c r="E15" s="277" t="s">
        <v>5265</v>
      </c>
      <c r="L15" s="178" t="s">
        <v>5035</v>
      </c>
    </row>
    <row r="16" spans="1:12" ht="14.5" x14ac:dyDescent="0.35">
      <c r="A16" s="252" t="s">
        <v>5144</v>
      </c>
      <c r="B16" s="253"/>
      <c r="C16" s="254" t="s">
        <v>5526</v>
      </c>
      <c r="D16" s="278"/>
      <c r="E16" s="279"/>
    </row>
    <row r="17" spans="1:5" ht="14.5" x14ac:dyDescent="0.35">
      <c r="A17" s="252" t="s">
        <v>5128</v>
      </c>
      <c r="B17" s="251" t="s">
        <v>30</v>
      </c>
      <c r="C17" s="254" t="s">
        <v>5869</v>
      </c>
      <c r="D17" s="278">
        <v>1299010100</v>
      </c>
      <c r="E17" s="132">
        <v>0</v>
      </c>
    </row>
    <row r="18" spans="1:5" ht="14.5" x14ac:dyDescent="0.35">
      <c r="A18" s="252" t="s">
        <v>5128</v>
      </c>
      <c r="B18" s="251" t="s">
        <v>30</v>
      </c>
      <c r="C18" s="254" t="s">
        <v>5870</v>
      </c>
      <c r="D18" s="278">
        <v>1299010200</v>
      </c>
      <c r="E18" s="132">
        <v>0</v>
      </c>
    </row>
    <row r="19" spans="1:5" ht="14.5" x14ac:dyDescent="0.35">
      <c r="A19" s="252" t="s">
        <v>5128</v>
      </c>
      <c r="B19" s="251" t="s">
        <v>30</v>
      </c>
      <c r="C19" s="352" t="s">
        <v>6109</v>
      </c>
      <c r="D19" s="353" t="s">
        <v>6111</v>
      </c>
      <c r="E19" s="132">
        <v>0</v>
      </c>
    </row>
    <row r="20" spans="1:5" ht="14.5" x14ac:dyDescent="0.35">
      <c r="A20" s="252" t="s">
        <v>5128</v>
      </c>
      <c r="B20" s="251" t="s">
        <v>30</v>
      </c>
      <c r="C20" s="352" t="s">
        <v>6110</v>
      </c>
      <c r="D20" s="353" t="s">
        <v>6112</v>
      </c>
      <c r="E20" s="132">
        <v>0</v>
      </c>
    </row>
    <row r="21" spans="1:5" ht="14.5" x14ac:dyDescent="0.35">
      <c r="A21" s="252" t="s">
        <v>5128</v>
      </c>
      <c r="B21" s="251" t="s">
        <v>30</v>
      </c>
      <c r="C21" s="254" t="s">
        <v>5871</v>
      </c>
      <c r="D21" s="278">
        <v>1299020000</v>
      </c>
      <c r="E21" s="132">
        <v>100000</v>
      </c>
    </row>
    <row r="22" spans="1:5" ht="14.5" x14ac:dyDescent="0.35">
      <c r="A22" s="252" t="s">
        <v>5128</v>
      </c>
      <c r="B22" s="251" t="s">
        <v>30</v>
      </c>
      <c r="C22" s="254" t="s">
        <v>5872</v>
      </c>
      <c r="D22" s="278">
        <v>1299030000</v>
      </c>
      <c r="E22" s="132">
        <v>100000</v>
      </c>
    </row>
    <row r="23" spans="1:5" ht="14.5" x14ac:dyDescent="0.35">
      <c r="A23" s="252" t="s">
        <v>5128</v>
      </c>
      <c r="B23" s="251" t="s">
        <v>30</v>
      </c>
      <c r="C23" s="254" t="s">
        <v>5873</v>
      </c>
      <c r="D23" s="278">
        <v>1299040000</v>
      </c>
      <c r="E23" s="132">
        <v>100000</v>
      </c>
    </row>
    <row r="24" spans="1:5" ht="14.5" x14ac:dyDescent="0.35">
      <c r="A24" s="252" t="s">
        <v>5128</v>
      </c>
      <c r="B24" s="251" t="s">
        <v>30</v>
      </c>
      <c r="C24" s="254" t="s">
        <v>5874</v>
      </c>
      <c r="D24" s="278">
        <v>1299050000</v>
      </c>
      <c r="E24" s="132">
        <v>100000</v>
      </c>
    </row>
    <row r="25" spans="1:5" ht="15.75" customHeight="1" x14ac:dyDescent="0.35">
      <c r="A25" s="252" t="s">
        <v>5128</v>
      </c>
      <c r="B25" s="251" t="s">
        <v>30</v>
      </c>
      <c r="C25" s="254" t="s">
        <v>5875</v>
      </c>
      <c r="D25" s="278">
        <v>1299060000</v>
      </c>
      <c r="E25" s="132">
        <v>100000</v>
      </c>
    </row>
    <row r="26" spans="1:5" ht="15.75" customHeight="1" x14ac:dyDescent="0.35">
      <c r="A26" s="252" t="s">
        <v>5128</v>
      </c>
      <c r="B26" s="251" t="s">
        <v>30</v>
      </c>
      <c r="C26" s="254" t="s">
        <v>5876</v>
      </c>
      <c r="D26" s="278">
        <v>1299070000</v>
      </c>
      <c r="E26" s="132">
        <v>100000</v>
      </c>
    </row>
    <row r="27" spans="1:5" ht="15.75" customHeight="1" x14ac:dyDescent="0.35">
      <c r="A27" s="252" t="s">
        <v>5128</v>
      </c>
      <c r="B27" s="251" t="s">
        <v>30</v>
      </c>
      <c r="C27" s="254" t="s">
        <v>331</v>
      </c>
      <c r="D27" s="278">
        <v>1299990000</v>
      </c>
      <c r="E27" s="132">
        <v>300000</v>
      </c>
    </row>
  </sheetData>
  <hyperlinks>
    <hyperlink ref="D1" location="Header!A1" display="Back to Header" xr:uid="{00000000-0004-0000-2400-000000000000}"/>
  </hyperlinks>
  <pageMargins left="0.7" right="0.7" top="0.75" bottom="0.75" header="0" footer="0"/>
  <pageSetup orientation="landscape"/>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orm_0901"/>
  <dimension ref="A1:D10"/>
  <sheetViews>
    <sheetView showGridLines="0" workbookViewId="0"/>
  </sheetViews>
  <sheetFormatPr defaultColWidth="14.453125" defaultRowHeight="15" customHeight="1" x14ac:dyDescent="0.35"/>
  <cols>
    <col min="1" max="1" width="7.453125" customWidth="1"/>
    <col min="2" max="2" width="34" customWidth="1"/>
    <col min="3" max="3" width="15" customWidth="1"/>
    <col min="4" max="4" width="16.90625" customWidth="1"/>
    <col min="5" max="26" width="8.54296875" customWidth="1"/>
  </cols>
  <sheetData>
    <row r="1" spans="1:4" ht="14.5" x14ac:dyDescent="0.35">
      <c r="A1" s="103" t="str">
        <f>CONCATENATE("FORM ",Header!A45," - ",Header!B45)</f>
        <v>FORM 0901 - RINCIAN ASET LAINNYA LAIN-LAIN</v>
      </c>
      <c r="D1" s="168" t="s">
        <v>5124</v>
      </c>
    </row>
    <row r="2" spans="1:4" ht="29" x14ac:dyDescent="0.35">
      <c r="A2" s="128" t="s">
        <v>5662</v>
      </c>
      <c r="B2" s="128" t="s">
        <v>5232</v>
      </c>
      <c r="C2" s="106" t="s">
        <v>5512</v>
      </c>
      <c r="D2" s="106" t="s">
        <v>5265</v>
      </c>
    </row>
    <row r="3" spans="1:4" ht="14.5" x14ac:dyDescent="0.35">
      <c r="A3" s="165" t="s">
        <v>5663</v>
      </c>
      <c r="B3" s="165" t="s">
        <v>783</v>
      </c>
      <c r="C3" s="132" t="s">
        <v>5585</v>
      </c>
      <c r="D3" s="132">
        <v>100000</v>
      </c>
    </row>
    <row r="4" spans="1:4" ht="14.5" x14ac:dyDescent="0.35">
      <c r="A4" s="165" t="s">
        <v>5663</v>
      </c>
      <c r="B4" s="165" t="s">
        <v>783</v>
      </c>
      <c r="C4" s="132" t="s">
        <v>5586</v>
      </c>
      <c r="D4" s="132">
        <v>100000</v>
      </c>
    </row>
    <row r="5" spans="1:4" ht="14.5" x14ac:dyDescent="0.35">
      <c r="A5" s="165" t="s">
        <v>5663</v>
      </c>
      <c r="B5" s="165" t="s">
        <v>783</v>
      </c>
      <c r="C5" s="132" t="s">
        <v>5587</v>
      </c>
      <c r="D5" s="132">
        <v>100000</v>
      </c>
    </row>
    <row r="6" spans="1:4" ht="14.5" x14ac:dyDescent="0.35">
      <c r="A6" s="165" t="s">
        <v>5663</v>
      </c>
      <c r="B6" s="165" t="s">
        <v>783</v>
      </c>
      <c r="C6" s="132" t="s">
        <v>5588</v>
      </c>
      <c r="D6" s="132">
        <v>100000</v>
      </c>
    </row>
    <row r="7" spans="1:4" ht="14.5" x14ac:dyDescent="0.35">
      <c r="A7" s="165" t="s">
        <v>5663</v>
      </c>
      <c r="B7" s="165" t="s">
        <v>783</v>
      </c>
      <c r="C7" s="132" t="s">
        <v>5589</v>
      </c>
      <c r="D7" s="132">
        <v>100000</v>
      </c>
    </row>
    <row r="8" spans="1:4" ht="14.5" x14ac:dyDescent="0.35">
      <c r="A8" s="165" t="s">
        <v>5663</v>
      </c>
      <c r="B8" s="165" t="s">
        <v>783</v>
      </c>
      <c r="C8" s="132" t="s">
        <v>5590</v>
      </c>
      <c r="D8" s="132">
        <v>100000</v>
      </c>
    </row>
    <row r="9" spans="1:4" ht="14.5" x14ac:dyDescent="0.35">
      <c r="A9" s="165" t="s">
        <v>5663</v>
      </c>
      <c r="B9" s="165" t="s">
        <v>783</v>
      </c>
      <c r="C9" s="132" t="s">
        <v>5591</v>
      </c>
      <c r="D9" s="132">
        <v>100000</v>
      </c>
    </row>
    <row r="10" spans="1:4" ht="14.5" x14ac:dyDescent="0.35">
      <c r="A10" s="165" t="s">
        <v>5663</v>
      </c>
      <c r="B10" s="165" t="s">
        <v>30</v>
      </c>
      <c r="C10" s="132" t="s">
        <v>5590</v>
      </c>
      <c r="D10" s="132">
        <v>300000</v>
      </c>
    </row>
  </sheetData>
  <hyperlinks>
    <hyperlink ref="D1" location="Header!A1" display="Back to Header" xr:uid="{00000000-0004-0000-2500-000000000000}"/>
  </hyperlinks>
  <pageMargins left="0.7" right="0.7" top="0.75" bottom="0.75" header="0" footer="0"/>
  <pageSetup orientation="landscape"/>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orm_1000"/>
  <dimension ref="A1:G19"/>
  <sheetViews>
    <sheetView workbookViewId="0">
      <selection activeCell="G3" sqref="G3"/>
    </sheetView>
  </sheetViews>
  <sheetFormatPr defaultColWidth="14.453125" defaultRowHeight="15" customHeight="1" x14ac:dyDescent="0.35"/>
  <cols>
    <col min="1" max="1" width="7.54296875" customWidth="1"/>
    <col min="2" max="2" width="7.453125" customWidth="1"/>
    <col min="3" max="3" width="65.453125" customWidth="1"/>
    <col min="5" max="5" width="14.54296875" customWidth="1"/>
    <col min="6" max="6" width="8.54296875" customWidth="1"/>
    <col min="7" max="7" width="12.54296875" customWidth="1"/>
    <col min="8" max="26" width="8.54296875" customWidth="1"/>
  </cols>
  <sheetData>
    <row r="1" spans="1:7" ht="14.5" x14ac:dyDescent="0.35">
      <c r="A1" s="103" t="str">
        <f>CONCATENATE("FORM ",Header!A46," - ",Header!B46)</f>
        <v>FORM 1000 - RINCIAN LIABILITAS SEGERA</v>
      </c>
      <c r="B1" s="257"/>
      <c r="C1" s="257"/>
      <c r="D1" s="256" t="s">
        <v>5124</v>
      </c>
      <c r="E1" s="257"/>
    </row>
    <row r="2" spans="1:7" ht="29" x14ac:dyDescent="0.35">
      <c r="A2" s="258" t="s">
        <v>5662</v>
      </c>
      <c r="B2" s="259" t="s">
        <v>5232</v>
      </c>
      <c r="C2" s="260" t="s">
        <v>5764</v>
      </c>
      <c r="D2" s="259" t="s">
        <v>5391</v>
      </c>
      <c r="E2" s="258" t="s">
        <v>5265</v>
      </c>
    </row>
    <row r="3" spans="1:7" ht="14.5" x14ac:dyDescent="0.35">
      <c r="A3" s="248" t="s">
        <v>5128</v>
      </c>
      <c r="B3" s="251" t="s">
        <v>783</v>
      </c>
      <c r="C3" s="250" t="s">
        <v>5877</v>
      </c>
      <c r="D3" s="275">
        <v>2101010000</v>
      </c>
      <c r="E3" s="132">
        <v>9710101</v>
      </c>
      <c r="G3" s="395" t="s">
        <v>6196</v>
      </c>
    </row>
    <row r="4" spans="1:7" ht="14.5" x14ac:dyDescent="0.35">
      <c r="A4" s="248" t="s">
        <v>5128</v>
      </c>
      <c r="B4" s="251" t="s">
        <v>783</v>
      </c>
      <c r="C4" s="250" t="s">
        <v>5878</v>
      </c>
      <c r="D4" s="275">
        <v>2101020000</v>
      </c>
      <c r="E4" s="132">
        <v>98800</v>
      </c>
    </row>
    <row r="5" spans="1:7" ht="14.5" x14ac:dyDescent="0.35">
      <c r="A5" s="248" t="s">
        <v>5128</v>
      </c>
      <c r="B5" s="251" t="s">
        <v>783</v>
      </c>
      <c r="C5" s="250" t="s">
        <v>5879</v>
      </c>
      <c r="D5" s="275">
        <v>2101030000</v>
      </c>
      <c r="E5" s="132">
        <v>190000</v>
      </c>
    </row>
    <row r="6" spans="1:7" ht="14.5" x14ac:dyDescent="0.35">
      <c r="A6" s="248" t="s">
        <v>5128</v>
      </c>
      <c r="B6" s="251" t="s">
        <v>783</v>
      </c>
      <c r="C6" s="250" t="s">
        <v>5880</v>
      </c>
      <c r="D6" s="275">
        <v>2101040000</v>
      </c>
      <c r="E6" s="132">
        <v>100000</v>
      </c>
    </row>
    <row r="7" spans="1:7" ht="14.5" x14ac:dyDescent="0.35">
      <c r="A7" s="248" t="s">
        <v>5128</v>
      </c>
      <c r="B7" s="251" t="s">
        <v>783</v>
      </c>
      <c r="C7" s="250" t="s">
        <v>5881</v>
      </c>
      <c r="D7" s="275">
        <v>2101050000</v>
      </c>
      <c r="E7" s="132">
        <v>100000</v>
      </c>
    </row>
    <row r="8" spans="1:7" ht="14.5" x14ac:dyDescent="0.35">
      <c r="A8" s="248" t="s">
        <v>5128</v>
      </c>
      <c r="B8" s="251" t="s">
        <v>783</v>
      </c>
      <c r="C8" s="250" t="s">
        <v>5882</v>
      </c>
      <c r="D8" s="275">
        <v>2101060000</v>
      </c>
      <c r="E8" s="132">
        <v>100000</v>
      </c>
    </row>
    <row r="9" spans="1:7" ht="14.5" x14ac:dyDescent="0.35">
      <c r="A9" s="248" t="s">
        <v>5128</v>
      </c>
      <c r="B9" s="251" t="s">
        <v>783</v>
      </c>
      <c r="C9" s="250" t="s">
        <v>5883</v>
      </c>
      <c r="D9" s="275">
        <v>2101070000</v>
      </c>
      <c r="E9" s="132">
        <v>100000</v>
      </c>
    </row>
    <row r="10" spans="1:7" ht="14.5" x14ac:dyDescent="0.35">
      <c r="A10" s="248" t="s">
        <v>5128</v>
      </c>
      <c r="B10" s="251" t="s">
        <v>783</v>
      </c>
      <c r="C10" s="250" t="s">
        <v>331</v>
      </c>
      <c r="D10" s="275">
        <v>2101990000</v>
      </c>
      <c r="E10" s="132">
        <v>500000</v>
      </c>
    </row>
    <row r="11" spans="1:7" ht="29" x14ac:dyDescent="0.35">
      <c r="A11" s="261" t="s">
        <v>5125</v>
      </c>
      <c r="B11" s="262" t="s">
        <v>5232</v>
      </c>
      <c r="C11" s="263" t="s">
        <v>5764</v>
      </c>
      <c r="D11" s="276" t="s">
        <v>5391</v>
      </c>
      <c r="E11" s="277" t="s">
        <v>5265</v>
      </c>
    </row>
    <row r="12" spans="1:7" ht="14.5" x14ac:dyDescent="0.35">
      <c r="A12" s="252" t="s">
        <v>5128</v>
      </c>
      <c r="B12" s="251" t="s">
        <v>30</v>
      </c>
      <c r="C12" s="254" t="s">
        <v>5877</v>
      </c>
      <c r="D12" s="278">
        <v>2101010000</v>
      </c>
      <c r="E12" s="132">
        <v>9499900</v>
      </c>
    </row>
    <row r="13" spans="1:7" ht="14.5" x14ac:dyDescent="0.35">
      <c r="A13" s="252" t="s">
        <v>5128</v>
      </c>
      <c r="B13" s="251" t="s">
        <v>30</v>
      </c>
      <c r="C13" s="254" t="s">
        <v>5878</v>
      </c>
      <c r="D13" s="278">
        <v>2101020000</v>
      </c>
      <c r="E13" s="132">
        <v>100000</v>
      </c>
    </row>
    <row r="14" spans="1:7" ht="14.5" x14ac:dyDescent="0.35">
      <c r="A14" s="252" t="s">
        <v>5128</v>
      </c>
      <c r="B14" s="251" t="s">
        <v>30</v>
      </c>
      <c r="C14" s="254" t="s">
        <v>5879</v>
      </c>
      <c r="D14" s="278">
        <v>2101030000</v>
      </c>
      <c r="E14" s="132">
        <v>100000</v>
      </c>
    </row>
    <row r="15" spans="1:7" ht="14.5" x14ac:dyDescent="0.35">
      <c r="A15" s="252" t="s">
        <v>5128</v>
      </c>
      <c r="B15" s="251" t="s">
        <v>30</v>
      </c>
      <c r="C15" s="254" t="s">
        <v>5880</v>
      </c>
      <c r="D15" s="278">
        <v>2101040000</v>
      </c>
      <c r="E15" s="132">
        <v>100000</v>
      </c>
    </row>
    <row r="16" spans="1:7" ht="14.5" x14ac:dyDescent="0.35">
      <c r="A16" s="252" t="s">
        <v>5128</v>
      </c>
      <c r="B16" s="251" t="s">
        <v>30</v>
      </c>
      <c r="C16" s="254" t="s">
        <v>5881</v>
      </c>
      <c r="D16" s="278">
        <v>2101050000</v>
      </c>
      <c r="E16" s="132">
        <v>100000</v>
      </c>
    </row>
    <row r="17" spans="1:5" ht="14.5" x14ac:dyDescent="0.35">
      <c r="A17" s="252" t="s">
        <v>5128</v>
      </c>
      <c r="B17" s="251" t="s">
        <v>30</v>
      </c>
      <c r="C17" s="254" t="s">
        <v>5882</v>
      </c>
      <c r="D17" s="278">
        <v>2101060000</v>
      </c>
      <c r="E17" s="132">
        <v>100000</v>
      </c>
    </row>
    <row r="18" spans="1:5" ht="14.5" x14ac:dyDescent="0.35">
      <c r="A18" s="252" t="s">
        <v>5128</v>
      </c>
      <c r="B18" s="251" t="s">
        <v>30</v>
      </c>
      <c r="C18" s="254" t="s">
        <v>5883</v>
      </c>
      <c r="D18" s="278">
        <v>2101070000</v>
      </c>
      <c r="E18" s="132">
        <v>200000</v>
      </c>
    </row>
    <row r="19" spans="1:5" ht="14.5" x14ac:dyDescent="0.35">
      <c r="A19" s="252" t="s">
        <v>5128</v>
      </c>
      <c r="B19" s="251" t="s">
        <v>30</v>
      </c>
      <c r="C19" s="254" t="s">
        <v>331</v>
      </c>
      <c r="D19" s="278">
        <v>2101990000</v>
      </c>
      <c r="E19" s="132">
        <v>400000</v>
      </c>
    </row>
  </sheetData>
  <hyperlinks>
    <hyperlink ref="D1" location="Header!A1" display="Back to Header" xr:uid="{00000000-0004-0000-2600-000000000000}"/>
  </hyperlinks>
  <pageMargins left="0.7" right="0.7" top="0.75" bottom="0.75" header="0" footer="0"/>
  <pageSetup paperSize="9" orientation="portrai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orm_1100">
    <tabColor rgb="FF99FF33"/>
  </sheetPr>
  <dimension ref="A1:T7"/>
  <sheetViews>
    <sheetView showGridLines="0" topLeftCell="F1" workbookViewId="0">
      <selection activeCell="E11" sqref="E11"/>
    </sheetView>
  </sheetViews>
  <sheetFormatPr defaultColWidth="14.453125" defaultRowHeight="15" customHeight="1" x14ac:dyDescent="0.35"/>
  <cols>
    <col min="1" max="1" width="7.08984375" customWidth="1"/>
    <col min="2" max="2" width="9.90625" customWidth="1"/>
    <col min="3" max="3" width="15.453125" customWidth="1"/>
    <col min="4" max="4" width="13.90625" customWidth="1"/>
    <col min="5" max="5" width="44.54296875" bestFit="1" customWidth="1"/>
    <col min="6" max="6" width="16.90625" customWidth="1"/>
    <col min="7" max="7" width="14" customWidth="1"/>
    <col min="8" max="8" width="17" bestFit="1" customWidth="1"/>
    <col min="9" max="10" width="13.453125" customWidth="1"/>
    <col min="11" max="11" width="8.08984375" customWidth="1"/>
    <col min="12" max="12" width="18.54296875" customWidth="1"/>
    <col min="13" max="13" width="13.90625" customWidth="1"/>
    <col min="14" max="15" width="15.54296875" customWidth="1"/>
    <col min="16" max="16" width="19" customWidth="1"/>
    <col min="17" max="19" width="17.6328125" customWidth="1"/>
    <col min="20" max="20" width="43.36328125" bestFit="1" customWidth="1"/>
    <col min="21" max="26" width="8.54296875" customWidth="1"/>
  </cols>
  <sheetData>
    <row r="1" spans="1:20" ht="14.5" x14ac:dyDescent="0.35">
      <c r="A1" s="103" t="str">
        <f>CONCATENATE("FORM ",Header!A47," - ",Header!B47)</f>
        <v>FORM 1100 - DAFTAR TABUNGAN</v>
      </c>
      <c r="F1" s="168" t="s">
        <v>5124</v>
      </c>
      <c r="H1" s="134"/>
      <c r="I1" s="134"/>
      <c r="J1" s="134"/>
    </row>
    <row r="2" spans="1:20" ht="15" customHeight="1" x14ac:dyDescent="0.35">
      <c r="A2" s="460" t="s">
        <v>5662</v>
      </c>
      <c r="B2" s="460" t="s">
        <v>5232</v>
      </c>
      <c r="C2" s="498" t="s">
        <v>5378</v>
      </c>
      <c r="D2" s="491" t="s">
        <v>5592</v>
      </c>
      <c r="E2" s="463" t="s">
        <v>3180</v>
      </c>
      <c r="F2" s="491" t="s">
        <v>5270</v>
      </c>
      <c r="G2" s="491" t="s">
        <v>5593</v>
      </c>
      <c r="H2" s="491" t="s">
        <v>5594</v>
      </c>
      <c r="I2" s="464" t="s">
        <v>5271</v>
      </c>
      <c r="J2" s="465"/>
      <c r="K2" s="463" t="s">
        <v>5272</v>
      </c>
      <c r="L2" s="497" t="s">
        <v>5155</v>
      </c>
      <c r="M2" s="491" t="s">
        <v>5525</v>
      </c>
      <c r="N2" s="491" t="s">
        <v>2325</v>
      </c>
      <c r="O2" s="491" t="s">
        <v>5277</v>
      </c>
      <c r="P2" s="497" t="s">
        <v>5265</v>
      </c>
      <c r="Q2" s="496" t="s">
        <v>5379</v>
      </c>
      <c r="R2" s="496" t="s">
        <v>3305</v>
      </c>
      <c r="S2" s="496" t="s">
        <v>3318</v>
      </c>
      <c r="T2" s="496" t="s">
        <v>3334</v>
      </c>
    </row>
    <row r="3" spans="1:20" ht="29" x14ac:dyDescent="0.35">
      <c r="A3" s="399"/>
      <c r="B3" s="399"/>
      <c r="C3" s="462"/>
      <c r="D3" s="462"/>
      <c r="E3" s="462"/>
      <c r="F3" s="499"/>
      <c r="G3" s="462"/>
      <c r="H3" s="462"/>
      <c r="I3" s="128" t="s">
        <v>5280</v>
      </c>
      <c r="J3" s="128" t="s">
        <v>5281</v>
      </c>
      <c r="K3" s="462"/>
      <c r="L3" s="462"/>
      <c r="M3" s="462"/>
      <c r="N3" s="462"/>
      <c r="O3" s="462"/>
      <c r="P3" s="462"/>
      <c r="Q3" s="462"/>
      <c r="R3" s="462"/>
      <c r="S3" s="462"/>
      <c r="T3" s="462"/>
    </row>
    <row r="4" spans="1:20" ht="14.5" x14ac:dyDescent="0.35">
      <c r="A4" s="122" t="s">
        <v>5663</v>
      </c>
      <c r="B4" s="122" t="s">
        <v>783</v>
      </c>
      <c r="C4" s="132" t="s">
        <v>5935</v>
      </c>
      <c r="D4" s="132" t="s">
        <v>5599</v>
      </c>
      <c r="E4" s="132" t="s">
        <v>5726</v>
      </c>
      <c r="F4" s="132" t="s">
        <v>5712</v>
      </c>
      <c r="G4" s="132" t="s">
        <v>5637</v>
      </c>
      <c r="H4" s="132" t="s">
        <v>5991</v>
      </c>
      <c r="I4" s="122" t="s">
        <v>5341</v>
      </c>
      <c r="J4" s="122"/>
      <c r="K4" s="122">
        <v>5.5</v>
      </c>
      <c r="L4" s="132">
        <v>2000000</v>
      </c>
      <c r="M4" s="132">
        <v>20000</v>
      </c>
      <c r="N4" s="132" t="s">
        <v>5602</v>
      </c>
      <c r="O4" s="132">
        <v>1000</v>
      </c>
      <c r="P4" s="132">
        <f>L4-O4</f>
        <v>1999000</v>
      </c>
      <c r="Q4" s="132" t="s">
        <v>5992</v>
      </c>
      <c r="R4" s="132" t="s">
        <v>5728</v>
      </c>
      <c r="S4" s="132" t="s">
        <v>5727</v>
      </c>
      <c r="T4" s="132" t="s">
        <v>5729</v>
      </c>
    </row>
    <row r="5" spans="1:20" ht="14.5" x14ac:dyDescent="0.35">
      <c r="A5" s="122" t="s">
        <v>5663</v>
      </c>
      <c r="B5" s="122" t="s">
        <v>783</v>
      </c>
      <c r="C5" s="132" t="s">
        <v>5935</v>
      </c>
      <c r="D5" s="132" t="s">
        <v>5604</v>
      </c>
      <c r="E5" s="132" t="s">
        <v>5993</v>
      </c>
      <c r="F5" s="132" t="s">
        <v>5938</v>
      </c>
      <c r="G5" s="132" t="s">
        <v>5637</v>
      </c>
      <c r="H5" s="132" t="s">
        <v>5991</v>
      </c>
      <c r="I5" s="122" t="s">
        <v>5341</v>
      </c>
      <c r="J5" s="122" t="s">
        <v>5290</v>
      </c>
      <c r="K5" s="122">
        <v>5.51</v>
      </c>
      <c r="L5" s="132">
        <v>2000000</v>
      </c>
      <c r="M5" s="132">
        <v>20000</v>
      </c>
      <c r="N5" s="132" t="s">
        <v>5606</v>
      </c>
      <c r="O5" s="132">
        <v>1000</v>
      </c>
      <c r="P5" s="132">
        <f t="shared" ref="P5:P7" si="0">L5-O5</f>
        <v>1999000</v>
      </c>
      <c r="Q5" s="132" t="s">
        <v>5994</v>
      </c>
      <c r="R5" s="132" t="s">
        <v>5728</v>
      </c>
      <c r="S5" s="132" t="s">
        <v>5995</v>
      </c>
      <c r="T5" s="132" t="s">
        <v>5996</v>
      </c>
    </row>
    <row r="6" spans="1:20" ht="14.5" x14ac:dyDescent="0.35">
      <c r="A6" s="122" t="s">
        <v>5663</v>
      </c>
      <c r="B6" s="122" t="s">
        <v>30</v>
      </c>
      <c r="C6" s="132" t="s">
        <v>5935</v>
      </c>
      <c r="D6" s="132" t="s">
        <v>5608</v>
      </c>
      <c r="E6" s="132" t="s">
        <v>5726</v>
      </c>
      <c r="F6" s="132" t="s">
        <v>5712</v>
      </c>
      <c r="G6" s="132" t="s">
        <v>5637</v>
      </c>
      <c r="H6" s="132" t="s">
        <v>5991</v>
      </c>
      <c r="I6" s="122" t="s">
        <v>5341</v>
      </c>
      <c r="J6" s="122"/>
      <c r="K6" s="122">
        <v>5.52</v>
      </c>
      <c r="L6" s="132">
        <v>2000000</v>
      </c>
      <c r="M6" s="132">
        <v>20000</v>
      </c>
      <c r="N6" s="132" t="s">
        <v>5606</v>
      </c>
      <c r="O6" s="132">
        <v>1000</v>
      </c>
      <c r="P6" s="132">
        <f t="shared" si="0"/>
        <v>1999000</v>
      </c>
      <c r="Q6" s="132" t="s">
        <v>5997</v>
      </c>
      <c r="R6" s="132" t="s">
        <v>5728</v>
      </c>
      <c r="S6" s="132" t="s">
        <v>5998</v>
      </c>
      <c r="T6" s="132" t="s">
        <v>5729</v>
      </c>
    </row>
    <row r="7" spans="1:20" ht="14.5" x14ac:dyDescent="0.35">
      <c r="A7" s="122" t="s">
        <v>5663</v>
      </c>
      <c r="B7" s="122" t="s">
        <v>30</v>
      </c>
      <c r="C7" s="132" t="s">
        <v>5935</v>
      </c>
      <c r="D7" s="132" t="s">
        <v>5612</v>
      </c>
      <c r="E7" s="132" t="s">
        <v>5993</v>
      </c>
      <c r="F7" s="132" t="s">
        <v>5938</v>
      </c>
      <c r="G7" s="132" t="s">
        <v>5637</v>
      </c>
      <c r="H7" s="132" t="s">
        <v>5991</v>
      </c>
      <c r="I7" s="122" t="s">
        <v>5341</v>
      </c>
      <c r="J7" s="122" t="s">
        <v>5290</v>
      </c>
      <c r="K7" s="122">
        <v>5.53</v>
      </c>
      <c r="L7" s="132">
        <v>2000000</v>
      </c>
      <c r="M7" s="132">
        <v>20000</v>
      </c>
      <c r="N7" s="132" t="s">
        <v>5610</v>
      </c>
      <c r="O7" s="132">
        <v>1000</v>
      </c>
      <c r="P7" s="132">
        <f t="shared" si="0"/>
        <v>1999000</v>
      </c>
      <c r="Q7" s="132" t="s">
        <v>5999</v>
      </c>
      <c r="R7" s="132" t="s">
        <v>6000</v>
      </c>
      <c r="S7" s="132" t="s">
        <v>5727</v>
      </c>
      <c r="T7" s="132" t="s">
        <v>5996</v>
      </c>
    </row>
  </sheetData>
  <mergeCells count="19">
    <mergeCell ref="T2:T3"/>
    <mergeCell ref="A2:A3"/>
    <mergeCell ref="B2:B3"/>
    <mergeCell ref="C2:C3"/>
    <mergeCell ref="D2:D3"/>
    <mergeCell ref="E2:E3"/>
    <mergeCell ref="F2:F3"/>
    <mergeCell ref="G2:G3"/>
    <mergeCell ref="P2:P3"/>
    <mergeCell ref="Q2:Q3"/>
    <mergeCell ref="R2:R3"/>
    <mergeCell ref="H2:H3"/>
    <mergeCell ref="I2:J2"/>
    <mergeCell ref="S2:S3"/>
    <mergeCell ref="K2:K3"/>
    <mergeCell ref="L2:L3"/>
    <mergeCell ref="M2:M3"/>
    <mergeCell ref="N2:N3"/>
    <mergeCell ref="O2:O3"/>
  </mergeCells>
  <hyperlinks>
    <hyperlink ref="F1" location="Header!A1" display="Back to Header" xr:uid="{00000000-0004-0000-27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8">
        <x14:dataValidation type="list" allowBlank="1" showErrorMessage="1" xr:uid="{00000000-0002-0000-2700-000000000000}">
          <x14:formula1>
            <xm:f>DATA!$C$462:$C$463</xm:f>
          </x14:formula1>
          <xm:sqref>E4:E20</xm:sqref>
        </x14:dataValidation>
        <x14:dataValidation type="list" allowBlank="1" showErrorMessage="1" xr:uid="{00000000-0002-0000-2700-000001000000}">
          <x14:formula1>
            <xm:f>DATA!$C$55:$C$60</xm:f>
          </x14:formula1>
          <xm:sqref>F4:F20</xm:sqref>
        </x14:dataValidation>
        <x14:dataValidation type="list" allowBlank="1" showErrorMessage="1" xr:uid="{00000000-0002-0000-2700-000002000000}">
          <x14:formula1>
            <xm:f>DATA!$C$76:$C$102</xm:f>
          </x14:formula1>
          <xm:sqref>G4:G20</xm:sqref>
        </x14:dataValidation>
        <x14:dataValidation type="list" allowBlank="1" showErrorMessage="1" xr:uid="{00000000-0002-0000-2700-000003000000}">
          <x14:formula1>
            <xm:f>DATA!$G$5:$G$566</xm:f>
          </x14:formula1>
          <xm:sqref>H4:H20</xm:sqref>
        </x14:dataValidation>
        <x14:dataValidation type="list" allowBlank="1" showErrorMessage="1" xr:uid="{00000000-0002-0000-2700-000004000000}">
          <x14:formula1>
            <xm:f>DATA!$C$355:$C$357</xm:f>
          </x14:formula1>
          <xm:sqref>N4:N20</xm:sqref>
        </x14:dataValidation>
        <x14:dataValidation type="list" allowBlank="1" showErrorMessage="1" xr:uid="{00000000-0002-0000-2700-000005000000}">
          <x14:formula1>
            <xm:f>DATA!$C$695:$C$696</xm:f>
          </x14:formula1>
          <xm:sqref>R4:R20</xm:sqref>
        </x14:dataValidation>
        <x14:dataValidation type="list" allowBlank="1" showErrorMessage="1" xr:uid="{00000000-0002-0000-2700-000006000000}">
          <x14:formula1>
            <xm:f>DATA!$C$700:$C$702</xm:f>
          </x14:formula1>
          <xm:sqref>S4:S20</xm:sqref>
        </x14:dataValidation>
        <x14:dataValidation type="list" allowBlank="1" showErrorMessage="1" xr:uid="{00000000-0002-0000-2700-000007000000}">
          <x14:formula1>
            <xm:f>DATA!$C$706:$C$707</xm:f>
          </x14:formula1>
          <xm:sqref>T4:T20</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orm_1200">
    <tabColor rgb="FF99FF33"/>
  </sheetPr>
  <dimension ref="A1:S7"/>
  <sheetViews>
    <sheetView showGridLines="0" topLeftCell="M1" workbookViewId="0">
      <selection activeCell="S9" sqref="S9"/>
    </sheetView>
  </sheetViews>
  <sheetFormatPr defaultColWidth="14.453125" defaultRowHeight="15" customHeight="1" x14ac:dyDescent="0.35"/>
  <cols>
    <col min="1" max="1" width="6.90625" customWidth="1"/>
    <col min="2" max="2" width="12.54296875" customWidth="1"/>
    <col min="3" max="3" width="18.54296875" customWidth="1"/>
    <col min="4" max="4" width="18.08984375" customWidth="1"/>
    <col min="5" max="5" width="27.453125" customWidth="1"/>
    <col min="6" max="6" width="19.54296875" customWidth="1"/>
    <col min="7" max="7" width="17" bestFit="1" customWidth="1"/>
    <col min="8" max="8" width="12.453125" customWidth="1"/>
    <col min="9" max="9" width="11.08984375" customWidth="1"/>
    <col min="10" max="11" width="18.54296875" customWidth="1"/>
    <col min="12" max="12" width="13.453125" customWidth="1"/>
    <col min="13" max="13" width="19.453125" customWidth="1"/>
    <col min="14" max="14" width="15.54296875" customWidth="1"/>
    <col min="15" max="15" width="14.54296875" customWidth="1"/>
    <col min="16" max="16" width="15.54296875" bestFit="1" customWidth="1"/>
    <col min="17" max="17" width="9.08984375" bestFit="1" customWidth="1"/>
    <col min="18" max="18" width="14.453125" bestFit="1" customWidth="1"/>
    <col min="19" max="19" width="43.36328125" bestFit="1" customWidth="1"/>
    <col min="20" max="26" width="8.54296875" customWidth="1"/>
  </cols>
  <sheetData>
    <row r="1" spans="1:19" ht="14.5" x14ac:dyDescent="0.35">
      <c r="A1" s="103" t="str">
        <f>CONCATENATE("FORM ",Header!A48," - ",Header!B48)</f>
        <v>FORM 1200 - DAFTAR DEPOSITO</v>
      </c>
      <c r="D1" s="168" t="s">
        <v>5124</v>
      </c>
      <c r="G1" s="134"/>
      <c r="H1" s="134"/>
      <c r="I1" s="134"/>
    </row>
    <row r="2" spans="1:19" ht="15" customHeight="1" x14ac:dyDescent="0.35">
      <c r="A2" s="460" t="s">
        <v>5662</v>
      </c>
      <c r="B2" s="460" t="s">
        <v>5232</v>
      </c>
      <c r="C2" s="498" t="s">
        <v>5378</v>
      </c>
      <c r="D2" s="491" t="s">
        <v>5592</v>
      </c>
      <c r="E2" s="491" t="s">
        <v>5270</v>
      </c>
      <c r="F2" s="491" t="s">
        <v>5593</v>
      </c>
      <c r="G2" s="491" t="s">
        <v>5594</v>
      </c>
      <c r="H2" s="464" t="s">
        <v>5271</v>
      </c>
      <c r="I2" s="465"/>
      <c r="J2" s="463" t="s">
        <v>5272</v>
      </c>
      <c r="K2" s="497" t="s">
        <v>5155</v>
      </c>
      <c r="L2" s="500" t="s">
        <v>5525</v>
      </c>
      <c r="M2" s="491" t="s">
        <v>2325</v>
      </c>
      <c r="N2" s="500" t="s">
        <v>5277</v>
      </c>
      <c r="O2" s="497" t="s">
        <v>5265</v>
      </c>
      <c r="P2" s="496" t="s">
        <v>5379</v>
      </c>
      <c r="Q2" s="496" t="s">
        <v>3305</v>
      </c>
      <c r="R2" s="496" t="s">
        <v>3318</v>
      </c>
      <c r="S2" s="496" t="s">
        <v>3334</v>
      </c>
    </row>
    <row r="3" spans="1:19" ht="29" x14ac:dyDescent="0.35">
      <c r="A3" s="399"/>
      <c r="B3" s="399"/>
      <c r="C3" s="462"/>
      <c r="D3" s="462"/>
      <c r="E3" s="499"/>
      <c r="F3" s="462"/>
      <c r="G3" s="462"/>
      <c r="H3" s="128" t="s">
        <v>5595</v>
      </c>
      <c r="I3" s="128" t="s">
        <v>5596</v>
      </c>
      <c r="J3" s="462"/>
      <c r="K3" s="462"/>
      <c r="L3" s="462"/>
      <c r="M3" s="462"/>
      <c r="N3" s="462"/>
      <c r="O3" s="462"/>
      <c r="P3" s="462"/>
      <c r="Q3" s="462"/>
      <c r="R3" s="462"/>
      <c r="S3" s="462"/>
    </row>
    <row r="4" spans="1:19" ht="14.5" x14ac:dyDescent="0.35">
      <c r="A4" s="122" t="s">
        <v>5663</v>
      </c>
      <c r="B4" s="122" t="s">
        <v>783</v>
      </c>
      <c r="C4" s="132" t="s">
        <v>6001</v>
      </c>
      <c r="D4" s="132" t="s">
        <v>5980</v>
      </c>
      <c r="E4" s="132" t="s">
        <v>5938</v>
      </c>
      <c r="F4" s="132" t="s">
        <v>6011</v>
      </c>
      <c r="G4" s="132" t="s">
        <v>5991</v>
      </c>
      <c r="H4" s="122" t="s">
        <v>5341</v>
      </c>
      <c r="I4" s="122" t="s">
        <v>5290</v>
      </c>
      <c r="J4" s="122" t="s">
        <v>6012</v>
      </c>
      <c r="K4" s="132">
        <v>2000000</v>
      </c>
      <c r="L4" s="132">
        <v>1000</v>
      </c>
      <c r="M4" s="132" t="s">
        <v>5602</v>
      </c>
      <c r="N4" s="132">
        <v>1000</v>
      </c>
      <c r="O4" s="132">
        <f>K4-N4</f>
        <v>1999000</v>
      </c>
      <c r="P4" s="132" t="s">
        <v>5992</v>
      </c>
      <c r="Q4" s="132" t="s">
        <v>5728</v>
      </c>
      <c r="R4" s="132" t="s">
        <v>5727</v>
      </c>
      <c r="S4" s="132" t="s">
        <v>5729</v>
      </c>
    </row>
    <row r="5" spans="1:19" ht="14.5" x14ac:dyDescent="0.35">
      <c r="A5" s="122" t="s">
        <v>5663</v>
      </c>
      <c r="B5" s="122" t="s">
        <v>783</v>
      </c>
      <c r="C5" s="132" t="s">
        <v>6001</v>
      </c>
      <c r="D5" s="132" t="s">
        <v>5982</v>
      </c>
      <c r="E5" s="132" t="s">
        <v>5938</v>
      </c>
      <c r="F5" s="132" t="s">
        <v>5637</v>
      </c>
      <c r="G5" s="132" t="s">
        <v>5991</v>
      </c>
      <c r="H5" s="122" t="s">
        <v>5341</v>
      </c>
      <c r="I5" s="122" t="s">
        <v>5290</v>
      </c>
      <c r="J5" s="122">
        <v>5.51</v>
      </c>
      <c r="K5" s="132">
        <v>2000000</v>
      </c>
      <c r="L5" s="132">
        <v>1000</v>
      </c>
      <c r="M5" s="132" t="s">
        <v>5606</v>
      </c>
      <c r="N5" s="132">
        <v>1000</v>
      </c>
      <c r="O5" s="132">
        <f t="shared" ref="O5:O7" si="0">K5-N5</f>
        <v>1999000</v>
      </c>
      <c r="P5" s="132" t="s">
        <v>5994</v>
      </c>
      <c r="Q5" s="132" t="s">
        <v>5728</v>
      </c>
      <c r="R5" s="132" t="s">
        <v>5995</v>
      </c>
      <c r="S5" s="132" t="s">
        <v>5996</v>
      </c>
    </row>
    <row r="6" spans="1:19" ht="14.5" x14ac:dyDescent="0.35">
      <c r="A6" s="122" t="s">
        <v>5663</v>
      </c>
      <c r="B6" s="122" t="s">
        <v>30</v>
      </c>
      <c r="C6" s="132" t="s">
        <v>6001</v>
      </c>
      <c r="D6" s="132" t="s">
        <v>6002</v>
      </c>
      <c r="E6" s="132" t="s">
        <v>5712</v>
      </c>
      <c r="F6" s="132" t="s">
        <v>5637</v>
      </c>
      <c r="G6" s="132" t="s">
        <v>5991</v>
      </c>
      <c r="H6" s="122" t="s">
        <v>5341</v>
      </c>
      <c r="I6" s="122" t="s">
        <v>5290</v>
      </c>
      <c r="J6" s="122" t="s">
        <v>6012</v>
      </c>
      <c r="K6" s="132">
        <v>2000000</v>
      </c>
      <c r="L6" s="132">
        <v>1000</v>
      </c>
      <c r="M6" s="132" t="s">
        <v>5602</v>
      </c>
      <c r="N6" s="132">
        <v>1000</v>
      </c>
      <c r="O6" s="132">
        <f t="shared" si="0"/>
        <v>1999000</v>
      </c>
      <c r="P6" s="132" t="s">
        <v>5997</v>
      </c>
      <c r="Q6" s="132" t="s">
        <v>5728</v>
      </c>
      <c r="R6" s="132" t="s">
        <v>5998</v>
      </c>
      <c r="S6" s="132" t="s">
        <v>5729</v>
      </c>
    </row>
    <row r="7" spans="1:19" ht="14.5" x14ac:dyDescent="0.35">
      <c r="A7" s="122" t="s">
        <v>5663</v>
      </c>
      <c r="B7" s="122" t="s">
        <v>30</v>
      </c>
      <c r="C7" s="132" t="s">
        <v>6001</v>
      </c>
      <c r="D7" s="132" t="s">
        <v>6003</v>
      </c>
      <c r="E7" s="132" t="s">
        <v>5942</v>
      </c>
      <c r="F7" s="132" t="s">
        <v>5637</v>
      </c>
      <c r="G7" s="132" t="s">
        <v>5991</v>
      </c>
      <c r="H7" s="122" t="s">
        <v>5341</v>
      </c>
      <c r="I7" s="122" t="s">
        <v>5290</v>
      </c>
      <c r="J7" s="122">
        <v>5.52</v>
      </c>
      <c r="K7" s="132">
        <v>2000000</v>
      </c>
      <c r="L7" s="132">
        <v>1000</v>
      </c>
      <c r="M7" s="132" t="s">
        <v>5610</v>
      </c>
      <c r="N7" s="132">
        <v>1000</v>
      </c>
      <c r="O7" s="132">
        <f t="shared" si="0"/>
        <v>1999000</v>
      </c>
      <c r="P7" s="132" t="s">
        <v>5999</v>
      </c>
      <c r="Q7" s="132" t="s">
        <v>5728</v>
      </c>
      <c r="R7" s="132" t="s">
        <v>5727</v>
      </c>
      <c r="S7" s="132" t="s">
        <v>5996</v>
      </c>
    </row>
  </sheetData>
  <mergeCells count="18">
    <mergeCell ref="A2:A3"/>
    <mergeCell ref="B2:B3"/>
    <mergeCell ref="F2:F3"/>
    <mergeCell ref="P2:P3"/>
    <mergeCell ref="Q2:Q3"/>
    <mergeCell ref="J2:J3"/>
    <mergeCell ref="K2:K3"/>
    <mergeCell ref="L2:L3"/>
    <mergeCell ref="M2:M3"/>
    <mergeCell ref="N2:N3"/>
    <mergeCell ref="O2:O3"/>
    <mergeCell ref="S2:S3"/>
    <mergeCell ref="C2:C3"/>
    <mergeCell ref="D2:D3"/>
    <mergeCell ref="E2:E3"/>
    <mergeCell ref="G2:G3"/>
    <mergeCell ref="H2:I2"/>
    <mergeCell ref="R2:R3"/>
  </mergeCells>
  <hyperlinks>
    <hyperlink ref="D1" location="Header!A1" display="Back to Header" xr:uid="{00000000-0004-0000-28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7">
        <x14:dataValidation type="list" allowBlank="1" showErrorMessage="1" xr:uid="{00000000-0002-0000-2800-000000000000}">
          <x14:formula1>
            <xm:f>DATA!$C$706:$C$707</xm:f>
          </x14:formula1>
          <xm:sqref>S4:S20</xm:sqref>
        </x14:dataValidation>
        <x14:dataValidation type="list" allowBlank="1" showErrorMessage="1" xr:uid="{00000000-0002-0000-2800-000001000000}">
          <x14:formula1>
            <xm:f>DATA!$C$700:$C$702</xm:f>
          </x14:formula1>
          <xm:sqref>R4:R20</xm:sqref>
        </x14:dataValidation>
        <x14:dataValidation type="list" allowBlank="1" showErrorMessage="1" xr:uid="{00000000-0002-0000-2800-000002000000}">
          <x14:formula1>
            <xm:f>DATA!$C$695:$C$696</xm:f>
          </x14:formula1>
          <xm:sqref>Q4:Q20</xm:sqref>
        </x14:dataValidation>
        <x14:dataValidation type="list" allowBlank="1" showErrorMessage="1" xr:uid="{00000000-0002-0000-2800-000003000000}">
          <x14:formula1>
            <xm:f>DATA!$C$355:$C$357</xm:f>
          </x14:formula1>
          <xm:sqref>M4:M20</xm:sqref>
        </x14:dataValidation>
        <x14:dataValidation type="list" allowBlank="1" showErrorMessage="1" xr:uid="{00000000-0002-0000-2800-000004000000}">
          <x14:formula1>
            <xm:f>DATA!$G$5:$G$566</xm:f>
          </x14:formula1>
          <xm:sqref>G4:G20</xm:sqref>
        </x14:dataValidation>
        <x14:dataValidation type="list" allowBlank="1" showErrorMessage="1" xr:uid="{00000000-0002-0000-2800-000005000000}">
          <x14:formula1>
            <xm:f>DATA!$C$76:$C$102</xm:f>
          </x14:formula1>
          <xm:sqref>F4:F20</xm:sqref>
        </x14:dataValidation>
        <x14:dataValidation type="list" allowBlank="1" showErrorMessage="1" xr:uid="{00000000-0002-0000-2800-000006000000}">
          <x14:formula1>
            <xm:f>DATA!$C$55:$C$60</xm:f>
          </x14:formula1>
          <xm:sqref>E4:E20</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orm_1300">
    <tabColor rgb="FFFFFF00"/>
  </sheetPr>
  <dimension ref="A1:Q27"/>
  <sheetViews>
    <sheetView showGridLines="0" topLeftCell="I1" workbookViewId="0">
      <selection activeCell="N16" sqref="N16"/>
    </sheetView>
  </sheetViews>
  <sheetFormatPr defaultColWidth="14.453125" defaultRowHeight="15" customHeight="1" x14ac:dyDescent="0.35"/>
  <cols>
    <col min="1" max="1" width="7.453125" customWidth="1"/>
    <col min="2" max="2" width="12.54296875" customWidth="1"/>
    <col min="3" max="3" width="18.54296875" customWidth="1"/>
    <col min="4" max="4" width="30.54296875" customWidth="1"/>
    <col min="5" max="5" width="29.08984375" customWidth="1"/>
    <col min="6" max="6" width="37.453125" bestFit="1" customWidth="1"/>
    <col min="7" max="7" width="36.6328125" customWidth="1"/>
    <col min="8" max="8" width="17.453125" customWidth="1"/>
    <col min="9" max="9" width="25" customWidth="1"/>
    <col min="10" max="10" width="14.453125" customWidth="1"/>
    <col min="11" max="11" width="13.90625" customWidth="1"/>
    <col min="12" max="12" width="11.36328125" customWidth="1"/>
    <col min="13" max="13" width="18.54296875" customWidth="1"/>
    <col min="14" max="14" width="27.54296875" customWidth="1"/>
    <col min="15" max="15" width="25.90625" bestFit="1" customWidth="1"/>
    <col min="16" max="16" width="15.54296875" customWidth="1"/>
    <col min="17" max="26" width="8.54296875" customWidth="1"/>
  </cols>
  <sheetData>
    <row r="1" spans="1:17" ht="14.5" x14ac:dyDescent="0.35">
      <c r="A1" s="103" t="str">
        <f>CONCATENATE("FORM ",Header!A49," - ",Header!B49)</f>
        <v>FORM 1300 - DAFTAR SIMPANAN DARI BANK LAIN</v>
      </c>
      <c r="E1" s="168" t="s">
        <v>5124</v>
      </c>
      <c r="I1" s="134"/>
      <c r="J1" s="134"/>
      <c r="K1" s="134"/>
    </row>
    <row r="2" spans="1:17" ht="15" customHeight="1" x14ac:dyDescent="0.35">
      <c r="A2" s="495" t="s">
        <v>5662</v>
      </c>
      <c r="B2" s="495" t="s">
        <v>5232</v>
      </c>
      <c r="C2" s="502" t="s">
        <v>5378</v>
      </c>
      <c r="D2" s="491" t="s">
        <v>5592</v>
      </c>
      <c r="E2" s="491" t="s">
        <v>5597</v>
      </c>
      <c r="F2" s="491" t="s">
        <v>5268</v>
      </c>
      <c r="G2" s="491" t="s">
        <v>5524</v>
      </c>
      <c r="H2" s="491" t="s">
        <v>3180</v>
      </c>
      <c r="I2" s="491" t="s">
        <v>5270</v>
      </c>
      <c r="J2" s="464" t="s">
        <v>5271</v>
      </c>
      <c r="K2" s="465"/>
      <c r="L2" s="463" t="s">
        <v>5272</v>
      </c>
      <c r="M2" s="497" t="s">
        <v>5155</v>
      </c>
      <c r="N2" s="491" t="s">
        <v>5525</v>
      </c>
      <c r="O2" s="491" t="s">
        <v>2325</v>
      </c>
      <c r="P2" s="500" t="s">
        <v>5277</v>
      </c>
      <c r="Q2" s="497" t="s">
        <v>5265</v>
      </c>
    </row>
    <row r="3" spans="1:17" ht="29" x14ac:dyDescent="0.35">
      <c r="A3" s="399"/>
      <c r="B3" s="399"/>
      <c r="C3" s="462"/>
      <c r="D3" s="462"/>
      <c r="E3" s="462"/>
      <c r="F3" s="462"/>
      <c r="G3" s="462"/>
      <c r="H3" s="462"/>
      <c r="I3" s="499"/>
      <c r="J3" s="128" t="s">
        <v>5280</v>
      </c>
      <c r="K3" s="128" t="s">
        <v>5281</v>
      </c>
      <c r="L3" s="462"/>
      <c r="M3" s="462"/>
      <c r="N3" s="501"/>
      <c r="O3" s="462"/>
      <c r="P3" s="462"/>
      <c r="Q3" s="462"/>
    </row>
    <row r="4" spans="1:17" ht="14.5" x14ac:dyDescent="0.35">
      <c r="A4" s="165" t="s">
        <v>5663</v>
      </c>
      <c r="B4" s="165" t="s">
        <v>783</v>
      </c>
      <c r="C4" s="132" t="s">
        <v>5598</v>
      </c>
      <c r="D4" s="132" t="s">
        <v>5599</v>
      </c>
      <c r="E4" s="132" t="s">
        <v>5285</v>
      </c>
      <c r="F4" s="132" t="s">
        <v>5730</v>
      </c>
      <c r="G4" s="132" t="s">
        <v>5719</v>
      </c>
      <c r="H4" s="132" t="s">
        <v>5605</v>
      </c>
      <c r="I4" s="132" t="s">
        <v>5303</v>
      </c>
      <c r="J4" s="122">
        <v>20180101</v>
      </c>
      <c r="K4" s="122" t="s">
        <v>5601</v>
      </c>
      <c r="L4" s="192">
        <v>5.5</v>
      </c>
      <c r="M4" s="132">
        <v>200000</v>
      </c>
      <c r="N4" s="132">
        <v>10000</v>
      </c>
      <c r="O4" s="132" t="s">
        <v>5602</v>
      </c>
      <c r="P4" s="132">
        <v>100000</v>
      </c>
      <c r="Q4" s="175">
        <v>100000</v>
      </c>
    </row>
    <row r="5" spans="1:17" ht="14.5" x14ac:dyDescent="0.35">
      <c r="A5" s="165" t="s">
        <v>5663</v>
      </c>
      <c r="B5" s="165" t="s">
        <v>783</v>
      </c>
      <c r="C5" s="132" t="s">
        <v>5603</v>
      </c>
      <c r="D5" s="132" t="s">
        <v>5604</v>
      </c>
      <c r="E5" s="132" t="s">
        <v>5285</v>
      </c>
      <c r="F5" s="132" t="s">
        <v>5730</v>
      </c>
      <c r="G5" s="132" t="s">
        <v>5719</v>
      </c>
      <c r="H5" s="132" t="s">
        <v>5600</v>
      </c>
      <c r="I5" s="132" t="s">
        <v>5303</v>
      </c>
      <c r="J5" s="122">
        <v>20180101</v>
      </c>
      <c r="K5" s="122" t="s">
        <v>5601</v>
      </c>
      <c r="L5" s="192">
        <v>5.56</v>
      </c>
      <c r="M5" s="132">
        <v>200000</v>
      </c>
      <c r="N5" s="132">
        <v>10000</v>
      </c>
      <c r="O5" s="132" t="s">
        <v>5606</v>
      </c>
      <c r="P5" s="132">
        <v>100000</v>
      </c>
      <c r="Q5" s="175">
        <v>100000</v>
      </c>
    </row>
    <row r="6" spans="1:17" ht="14.5" x14ac:dyDescent="0.35">
      <c r="A6" s="165" t="s">
        <v>5663</v>
      </c>
      <c r="B6" s="165" t="s">
        <v>783</v>
      </c>
      <c r="C6" s="132" t="s">
        <v>5607</v>
      </c>
      <c r="D6" s="132" t="s">
        <v>5608</v>
      </c>
      <c r="E6" s="132" t="s">
        <v>5285</v>
      </c>
      <c r="F6" s="132" t="s">
        <v>5730</v>
      </c>
      <c r="G6" s="132" t="s">
        <v>5719</v>
      </c>
      <c r="H6" s="132" t="s">
        <v>5605</v>
      </c>
      <c r="I6" s="132" t="s">
        <v>5289</v>
      </c>
      <c r="J6" s="122">
        <v>20180101</v>
      </c>
      <c r="K6" s="122" t="s">
        <v>5601</v>
      </c>
      <c r="L6" s="192">
        <v>5.57</v>
      </c>
      <c r="M6" s="132">
        <v>200000</v>
      </c>
      <c r="N6" s="132">
        <v>10000</v>
      </c>
      <c r="O6" s="132" t="s">
        <v>5610</v>
      </c>
      <c r="P6" s="132">
        <v>100000</v>
      </c>
      <c r="Q6" s="175">
        <v>100000</v>
      </c>
    </row>
    <row r="7" spans="1:17" ht="14.5" x14ac:dyDescent="0.35">
      <c r="A7" s="165" t="s">
        <v>5663</v>
      </c>
      <c r="B7" s="165" t="s">
        <v>783</v>
      </c>
      <c r="C7" s="132" t="s">
        <v>5611</v>
      </c>
      <c r="D7" s="132" t="s">
        <v>5612</v>
      </c>
      <c r="E7" s="132" t="s">
        <v>5285</v>
      </c>
      <c r="F7" s="132" t="s">
        <v>5730</v>
      </c>
      <c r="G7" s="132" t="s">
        <v>5719</v>
      </c>
      <c r="H7" s="132" t="s">
        <v>5600</v>
      </c>
      <c r="I7" s="132" t="s">
        <v>5303</v>
      </c>
      <c r="J7" s="122">
        <v>20180101</v>
      </c>
      <c r="K7" s="122" t="s">
        <v>5601</v>
      </c>
      <c r="L7" s="192">
        <v>5.58</v>
      </c>
      <c r="M7" s="132">
        <v>200000</v>
      </c>
      <c r="N7" s="132">
        <v>10000</v>
      </c>
      <c r="O7" s="132" t="s">
        <v>5602</v>
      </c>
      <c r="P7" s="132">
        <v>100000</v>
      </c>
      <c r="Q7" s="175">
        <v>100000</v>
      </c>
    </row>
    <row r="8" spans="1:17" ht="14.5" x14ac:dyDescent="0.35">
      <c r="A8" s="165" t="s">
        <v>5663</v>
      </c>
      <c r="B8" s="165" t="s">
        <v>783</v>
      </c>
      <c r="C8" s="132" t="s">
        <v>5613</v>
      </c>
      <c r="D8" s="132" t="s">
        <v>5614</v>
      </c>
      <c r="E8" s="132" t="s">
        <v>5285</v>
      </c>
      <c r="F8" s="132" t="s">
        <v>5730</v>
      </c>
      <c r="G8" s="132" t="s">
        <v>5719</v>
      </c>
      <c r="H8" s="132" t="s">
        <v>5605</v>
      </c>
      <c r="I8" s="132" t="s">
        <v>5289</v>
      </c>
      <c r="J8" s="122">
        <v>20180101</v>
      </c>
      <c r="K8" s="122" t="s">
        <v>5601</v>
      </c>
      <c r="L8" s="192">
        <v>5.59</v>
      </c>
      <c r="M8" s="132">
        <v>200000</v>
      </c>
      <c r="N8" s="132">
        <v>10000</v>
      </c>
      <c r="O8" s="132" t="s">
        <v>5606</v>
      </c>
      <c r="P8" s="132">
        <v>100000</v>
      </c>
      <c r="Q8" s="175">
        <v>100000</v>
      </c>
    </row>
    <row r="9" spans="1:17" ht="14.5" x14ac:dyDescent="0.35">
      <c r="A9" s="165" t="s">
        <v>5663</v>
      </c>
      <c r="B9" s="165" t="s">
        <v>30</v>
      </c>
      <c r="C9" s="132" t="s">
        <v>5615</v>
      </c>
      <c r="D9" s="132" t="s">
        <v>5616</v>
      </c>
      <c r="E9" s="132" t="s">
        <v>5285</v>
      </c>
      <c r="F9" s="132" t="s">
        <v>5730</v>
      </c>
      <c r="G9" s="132" t="s">
        <v>5719</v>
      </c>
      <c r="H9" s="132" t="s">
        <v>5600</v>
      </c>
      <c r="I9" s="132" t="s">
        <v>5303</v>
      </c>
      <c r="J9" s="122">
        <v>20180101</v>
      </c>
      <c r="K9" s="122" t="s">
        <v>5601</v>
      </c>
      <c r="L9" s="192">
        <v>5.6</v>
      </c>
      <c r="M9" s="132">
        <v>200000</v>
      </c>
      <c r="N9" s="132">
        <v>10000</v>
      </c>
      <c r="O9" s="132" t="s">
        <v>5610</v>
      </c>
      <c r="P9" s="132">
        <v>100000</v>
      </c>
      <c r="Q9" s="175">
        <v>100000</v>
      </c>
    </row>
    <row r="10" spans="1:17" ht="14.5" x14ac:dyDescent="0.35">
      <c r="A10" s="165" t="s">
        <v>5663</v>
      </c>
      <c r="B10" s="165" t="s">
        <v>30</v>
      </c>
      <c r="C10" s="132" t="s">
        <v>5617</v>
      </c>
      <c r="D10" s="132" t="s">
        <v>5618</v>
      </c>
      <c r="E10" s="132" t="s">
        <v>5285</v>
      </c>
      <c r="F10" s="132" t="s">
        <v>5730</v>
      </c>
      <c r="G10" s="132" t="s">
        <v>5719</v>
      </c>
      <c r="H10" s="132" t="s">
        <v>5605</v>
      </c>
      <c r="I10" s="132" t="s">
        <v>5289</v>
      </c>
      <c r="J10" s="122">
        <v>20180101</v>
      </c>
      <c r="K10" s="122" t="s">
        <v>5601</v>
      </c>
      <c r="L10" s="192">
        <v>5.61</v>
      </c>
      <c r="M10" s="132">
        <v>200000</v>
      </c>
      <c r="N10" s="132">
        <v>10000</v>
      </c>
      <c r="O10" s="132" t="s">
        <v>5602</v>
      </c>
      <c r="P10" s="132">
        <v>100000</v>
      </c>
      <c r="Q10" s="175">
        <v>100000</v>
      </c>
    </row>
    <row r="11" spans="1:17" ht="14.5" x14ac:dyDescent="0.35">
      <c r="A11" s="165" t="s">
        <v>5663</v>
      </c>
      <c r="B11" s="165" t="s">
        <v>30</v>
      </c>
      <c r="C11" s="132" t="s">
        <v>5619</v>
      </c>
      <c r="D11" s="132" t="s">
        <v>5620</v>
      </c>
      <c r="E11" s="132" t="s">
        <v>5285</v>
      </c>
      <c r="F11" s="132" t="s">
        <v>5730</v>
      </c>
      <c r="G11" s="132" t="s">
        <v>5719</v>
      </c>
      <c r="H11" s="132" t="s">
        <v>5623</v>
      </c>
      <c r="I11" s="132" t="s">
        <v>5303</v>
      </c>
      <c r="J11" s="122">
        <v>20180101</v>
      </c>
      <c r="K11" s="122" t="s">
        <v>5601</v>
      </c>
      <c r="L11" s="192">
        <v>4</v>
      </c>
      <c r="M11" s="132">
        <v>200000</v>
      </c>
      <c r="N11" s="132">
        <v>10000</v>
      </c>
      <c r="O11" s="132" t="s">
        <v>5606</v>
      </c>
      <c r="P11" s="132">
        <v>100000</v>
      </c>
      <c r="Q11" s="175">
        <v>100000</v>
      </c>
    </row>
    <row r="12" spans="1:17" ht="14.5" x14ac:dyDescent="0.35">
      <c r="A12" s="165" t="s">
        <v>5663</v>
      </c>
      <c r="B12" s="165" t="s">
        <v>30</v>
      </c>
      <c r="C12" s="132" t="s">
        <v>5621</v>
      </c>
      <c r="D12" s="132" t="s">
        <v>5622</v>
      </c>
      <c r="E12" s="132" t="s">
        <v>5285</v>
      </c>
      <c r="F12" s="132" t="s">
        <v>5730</v>
      </c>
      <c r="G12" s="132" t="s">
        <v>5719</v>
      </c>
      <c r="H12" s="132" t="s">
        <v>5626</v>
      </c>
      <c r="I12" s="132" t="s">
        <v>5289</v>
      </c>
      <c r="J12" s="122">
        <v>20180101</v>
      </c>
      <c r="K12" s="122" t="s">
        <v>5601</v>
      </c>
      <c r="L12" s="192">
        <v>5.63</v>
      </c>
      <c r="M12" s="132">
        <v>200000</v>
      </c>
      <c r="N12" s="132">
        <v>10000</v>
      </c>
      <c r="O12" s="132" t="s">
        <v>5610</v>
      </c>
      <c r="P12" s="132">
        <v>100000</v>
      </c>
      <c r="Q12" s="175">
        <v>100000</v>
      </c>
    </row>
    <row r="13" spans="1:17" ht="14.5" x14ac:dyDescent="0.35">
      <c r="A13" s="165" t="s">
        <v>5663</v>
      </c>
      <c r="B13" s="165" t="s">
        <v>30</v>
      </c>
      <c r="C13" s="132" t="s">
        <v>5624</v>
      </c>
      <c r="D13" s="132" t="s">
        <v>5625</v>
      </c>
      <c r="E13" s="132" t="s">
        <v>5285</v>
      </c>
      <c r="F13" s="132" t="s">
        <v>5730</v>
      </c>
      <c r="G13" s="132" t="s">
        <v>5719</v>
      </c>
      <c r="H13" s="132" t="s">
        <v>5719</v>
      </c>
      <c r="I13" s="132" t="s">
        <v>5303</v>
      </c>
      <c r="J13" s="122">
        <v>20180101</v>
      </c>
      <c r="K13" s="122" t="s">
        <v>5601</v>
      </c>
      <c r="L13" s="192">
        <v>5.64</v>
      </c>
      <c r="M13" s="132">
        <v>200000</v>
      </c>
      <c r="N13" s="132">
        <v>0</v>
      </c>
      <c r="O13" s="122"/>
      <c r="P13" s="132">
        <v>100000</v>
      </c>
      <c r="Q13" s="175">
        <v>100000</v>
      </c>
    </row>
    <row r="14" spans="1:17" ht="15" customHeight="1" x14ac:dyDescent="0.35">
      <c r="L14" s="322"/>
    </row>
    <row r="15" spans="1:17" ht="15" customHeight="1" x14ac:dyDescent="0.35">
      <c r="L15" s="322"/>
    </row>
    <row r="16" spans="1:17" ht="15" customHeight="1" x14ac:dyDescent="0.35">
      <c r="L16" s="322"/>
    </row>
    <row r="17" spans="12:12" ht="15" customHeight="1" x14ac:dyDescent="0.35">
      <c r="L17" s="322"/>
    </row>
    <row r="18" spans="12:12" ht="15" customHeight="1" x14ac:dyDescent="0.35">
      <c r="L18" s="322"/>
    </row>
    <row r="19" spans="12:12" ht="15" customHeight="1" x14ac:dyDescent="0.35">
      <c r="L19" s="322"/>
    </row>
    <row r="20" spans="12:12" ht="15" customHeight="1" x14ac:dyDescent="0.35">
      <c r="L20" s="322"/>
    </row>
    <row r="21" spans="12:12" ht="15" customHeight="1" x14ac:dyDescent="0.35">
      <c r="L21" s="322"/>
    </row>
    <row r="22" spans="12:12" ht="15" customHeight="1" x14ac:dyDescent="0.35">
      <c r="L22" s="322"/>
    </row>
    <row r="23" spans="12:12" ht="15" customHeight="1" x14ac:dyDescent="0.35">
      <c r="L23" s="322"/>
    </row>
    <row r="24" spans="12:12" ht="15" customHeight="1" x14ac:dyDescent="0.35">
      <c r="L24" s="322"/>
    </row>
    <row r="25" spans="12:12" ht="15" customHeight="1" x14ac:dyDescent="0.35">
      <c r="L25" s="322"/>
    </row>
    <row r="26" spans="12:12" ht="15" customHeight="1" x14ac:dyDescent="0.35">
      <c r="L26" s="322"/>
    </row>
    <row r="27" spans="12:12" ht="15" customHeight="1" x14ac:dyDescent="0.35">
      <c r="L27" s="322"/>
    </row>
  </sheetData>
  <mergeCells count="16">
    <mergeCell ref="Q2:Q3"/>
    <mergeCell ref="N2:N3"/>
    <mergeCell ref="O2:O3"/>
    <mergeCell ref="P2:P3"/>
    <mergeCell ref="A2:A3"/>
    <mergeCell ref="B2:B3"/>
    <mergeCell ref="C2:C3"/>
    <mergeCell ref="D2:D3"/>
    <mergeCell ref="E2:E3"/>
    <mergeCell ref="F2:F3"/>
    <mergeCell ref="G2:G3"/>
    <mergeCell ref="H2:H3"/>
    <mergeCell ref="L2:L3"/>
    <mergeCell ref="M2:M3"/>
    <mergeCell ref="I2:I3"/>
    <mergeCell ref="J2:K2"/>
  </mergeCells>
  <hyperlinks>
    <hyperlink ref="E1" location="Header!A1" display="Back to Header" xr:uid="{00000000-0004-0000-29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6">
        <x14:dataValidation type="list" allowBlank="1" showErrorMessage="1" xr:uid="{00000000-0002-0000-2900-000000000000}">
          <x14:formula1>
            <xm:f>DATA!$C$76:$C$102</xm:f>
          </x14:formula1>
          <xm:sqref>E4:E20</xm:sqref>
        </x14:dataValidation>
        <x14:dataValidation type="list" allowBlank="1" showErrorMessage="1" xr:uid="{00000000-0002-0000-2900-000002000000}">
          <x14:formula1>
            <xm:f>DATA!$G$5:$G$566</xm:f>
          </x14:formula1>
          <xm:sqref>G4:G20</xm:sqref>
        </x14:dataValidation>
        <x14:dataValidation type="list" allowBlank="1" showErrorMessage="1" xr:uid="{00000000-0002-0000-2900-000003000000}">
          <x14:formula1>
            <xm:f>DATA!$C$590:$C$593</xm:f>
          </x14:formula1>
          <xm:sqref>H4:H20</xm:sqref>
        </x14:dataValidation>
        <x14:dataValidation type="list" allowBlank="1" showErrorMessage="1" xr:uid="{00000000-0002-0000-2900-000004000000}">
          <x14:formula1>
            <xm:f>DATA!$C$118:$C$119</xm:f>
          </x14:formula1>
          <xm:sqref>I4:I20</xm:sqref>
        </x14:dataValidation>
        <x14:dataValidation type="list" allowBlank="1" showErrorMessage="1" xr:uid="{00000000-0002-0000-2900-000005000000}">
          <x14:formula1>
            <xm:f>DATA!$C$355:$C$357</xm:f>
          </x14:formula1>
          <xm:sqref>O4:O12 O14:O20</xm:sqref>
        </x14:dataValidation>
        <x14:dataValidation type="list" allowBlank="1" showErrorMessage="1" xr:uid="{00000000-0002-0000-2900-000001000000}">
          <x14:formula1>
            <xm:f>DATA!$K$209:$K$2004</xm:f>
          </x14:formula1>
          <xm:sqref>F4:F20</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orm_1400"/>
  <dimension ref="A1:E47"/>
  <sheetViews>
    <sheetView showGridLines="0" zoomScale="70" zoomScaleNormal="70" workbookViewId="0">
      <selection activeCell="D18" sqref="D18"/>
    </sheetView>
  </sheetViews>
  <sheetFormatPr defaultColWidth="14.453125" defaultRowHeight="15" customHeight="1" x14ac:dyDescent="0.35"/>
  <cols>
    <col min="1" max="1" width="7.54296875" customWidth="1"/>
    <col min="2" max="2" width="7.453125" customWidth="1"/>
    <col min="3" max="3" width="52.453125" customWidth="1"/>
    <col min="5" max="5" width="14.54296875" customWidth="1"/>
    <col min="6" max="26" width="8.54296875" customWidth="1"/>
  </cols>
  <sheetData>
    <row r="1" spans="1:5" ht="14.5" x14ac:dyDescent="0.35">
      <c r="A1" s="103" t="str">
        <f>CONCATENATE("FORM ",Header!A50," - ",Header!B50)</f>
        <v>FORM 1400 - RINCIAN LIABILITAS LAINNYA</v>
      </c>
      <c r="B1" s="257"/>
      <c r="C1" s="257"/>
      <c r="D1" s="256" t="s">
        <v>5124</v>
      </c>
      <c r="E1" s="257"/>
    </row>
    <row r="2" spans="1:5" ht="29" x14ac:dyDescent="0.35">
      <c r="A2" s="258" t="s">
        <v>5662</v>
      </c>
      <c r="B2" s="259" t="s">
        <v>5232</v>
      </c>
      <c r="C2" s="260" t="s">
        <v>5764</v>
      </c>
      <c r="D2" s="259" t="s">
        <v>5391</v>
      </c>
      <c r="E2" s="258" t="s">
        <v>5265</v>
      </c>
    </row>
    <row r="3" spans="1:5" ht="14.5" x14ac:dyDescent="0.35">
      <c r="A3" s="248" t="s">
        <v>5144</v>
      </c>
      <c r="B3" s="251" t="s">
        <v>783</v>
      </c>
      <c r="C3" s="250" t="s">
        <v>5884</v>
      </c>
      <c r="D3" s="275"/>
      <c r="E3" s="109"/>
    </row>
    <row r="4" spans="1:5" ht="14.5" x14ac:dyDescent="0.35">
      <c r="A4" s="248" t="s">
        <v>5128</v>
      </c>
      <c r="B4" s="251" t="s">
        <v>783</v>
      </c>
      <c r="C4" s="250" t="s">
        <v>5885</v>
      </c>
      <c r="D4" s="275">
        <v>2299010100</v>
      </c>
      <c r="E4" s="132">
        <v>100000</v>
      </c>
    </row>
    <row r="5" spans="1:5" ht="14.5" x14ac:dyDescent="0.35">
      <c r="A5" s="248" t="s">
        <v>5144</v>
      </c>
      <c r="B5" s="251" t="s">
        <v>783</v>
      </c>
      <c r="C5" s="250" t="s">
        <v>2638</v>
      </c>
      <c r="D5" s="275"/>
      <c r="E5" s="109"/>
    </row>
    <row r="6" spans="1:5" ht="14.5" x14ac:dyDescent="0.35">
      <c r="A6" s="248" t="s">
        <v>5128</v>
      </c>
      <c r="B6" s="251" t="s">
        <v>783</v>
      </c>
      <c r="C6" s="250" t="s">
        <v>5886</v>
      </c>
      <c r="D6" s="275">
        <v>2299010201</v>
      </c>
      <c r="E6" s="132">
        <v>50000</v>
      </c>
    </row>
    <row r="7" spans="1:5" ht="14.5" x14ac:dyDescent="0.35">
      <c r="A7" s="248" t="s">
        <v>5128</v>
      </c>
      <c r="B7" s="251" t="s">
        <v>783</v>
      </c>
      <c r="C7" s="250" t="s">
        <v>5887</v>
      </c>
      <c r="D7" s="280">
        <v>2299010202</v>
      </c>
      <c r="E7" s="280">
        <v>100000</v>
      </c>
    </row>
    <row r="8" spans="1:5" ht="14.5" x14ac:dyDescent="0.35">
      <c r="A8" s="248" t="s">
        <v>5144</v>
      </c>
      <c r="B8" s="251" t="s">
        <v>783</v>
      </c>
      <c r="C8" s="250" t="s">
        <v>5406</v>
      </c>
      <c r="D8" s="275"/>
      <c r="E8" s="109"/>
    </row>
    <row r="9" spans="1:5" ht="14.5" x14ac:dyDescent="0.35">
      <c r="A9" s="248" t="s">
        <v>5128</v>
      </c>
      <c r="B9" s="251" t="s">
        <v>783</v>
      </c>
      <c r="C9" s="250" t="s">
        <v>5886</v>
      </c>
      <c r="D9" s="275">
        <v>2299010301</v>
      </c>
      <c r="E9" s="132">
        <v>50000</v>
      </c>
    </row>
    <row r="10" spans="1:5" ht="14.5" x14ac:dyDescent="0.35">
      <c r="A10" s="248" t="s">
        <v>5128</v>
      </c>
      <c r="B10" s="251" t="s">
        <v>783</v>
      </c>
      <c r="C10" s="250" t="s">
        <v>5887</v>
      </c>
      <c r="D10" s="275">
        <v>2299010302</v>
      </c>
      <c r="E10" s="132">
        <v>50000</v>
      </c>
    </row>
    <row r="11" spans="1:5" ht="14.5" x14ac:dyDescent="0.35">
      <c r="A11" s="248" t="s">
        <v>5144</v>
      </c>
      <c r="B11" s="251" t="s">
        <v>783</v>
      </c>
      <c r="C11" s="250" t="s">
        <v>5888</v>
      </c>
      <c r="D11" s="275"/>
      <c r="E11" s="109"/>
    </row>
    <row r="12" spans="1:5" ht="14.5" x14ac:dyDescent="0.35">
      <c r="A12" s="248" t="s">
        <v>5128</v>
      </c>
      <c r="B12" s="251" t="s">
        <v>783</v>
      </c>
      <c r="C12" s="250" t="s">
        <v>5886</v>
      </c>
      <c r="D12" s="275">
        <v>2299010401</v>
      </c>
      <c r="E12" s="132">
        <v>50000</v>
      </c>
    </row>
    <row r="13" spans="1:5" ht="14.5" x14ac:dyDescent="0.35">
      <c r="A13" s="248" t="s">
        <v>5128</v>
      </c>
      <c r="B13" s="251" t="s">
        <v>783</v>
      </c>
      <c r="C13" s="250" t="s">
        <v>5887</v>
      </c>
      <c r="D13" s="275">
        <v>2299010402</v>
      </c>
      <c r="E13" s="132">
        <v>50000</v>
      </c>
    </row>
    <row r="14" spans="1:5" ht="14.5" x14ac:dyDescent="0.35">
      <c r="A14" s="248" t="s">
        <v>5144</v>
      </c>
      <c r="B14" s="251" t="s">
        <v>783</v>
      </c>
      <c r="C14" s="250" t="s">
        <v>5889</v>
      </c>
      <c r="D14" s="275"/>
      <c r="E14" s="109"/>
    </row>
    <row r="15" spans="1:5" ht="14.5" x14ac:dyDescent="0.35">
      <c r="A15" s="248" t="s">
        <v>5128</v>
      </c>
      <c r="B15" s="251" t="s">
        <v>783</v>
      </c>
      <c r="C15" s="250" t="s">
        <v>5886</v>
      </c>
      <c r="D15" s="275">
        <v>2299010501</v>
      </c>
      <c r="E15" s="132">
        <v>50000</v>
      </c>
    </row>
    <row r="16" spans="1:5" ht="14.5" x14ac:dyDescent="0.35">
      <c r="A16" s="248" t="s">
        <v>5128</v>
      </c>
      <c r="B16" s="251" t="s">
        <v>783</v>
      </c>
      <c r="C16" s="250" t="s">
        <v>5887</v>
      </c>
      <c r="D16" s="275">
        <v>2299010502</v>
      </c>
      <c r="E16" s="132">
        <v>50000</v>
      </c>
    </row>
    <row r="17" spans="1:5" ht="14.5" x14ac:dyDescent="0.35">
      <c r="A17" s="248" t="s">
        <v>5128</v>
      </c>
      <c r="B17" s="251" t="s">
        <v>783</v>
      </c>
      <c r="C17" s="250" t="s">
        <v>5890</v>
      </c>
      <c r="D17" s="275">
        <v>2299019900</v>
      </c>
      <c r="E17" s="132">
        <v>50000</v>
      </c>
    </row>
    <row r="18" spans="1:5" ht="14.5" x14ac:dyDescent="0.35">
      <c r="A18" s="248" t="s">
        <v>5128</v>
      </c>
      <c r="B18" s="251" t="s">
        <v>783</v>
      </c>
      <c r="C18" s="250" t="s">
        <v>5891</v>
      </c>
      <c r="D18" s="275">
        <v>2299020000</v>
      </c>
      <c r="E18" s="132">
        <v>50000</v>
      </c>
    </row>
    <row r="19" spans="1:5" ht="14.5" x14ac:dyDescent="0.35">
      <c r="A19" s="248" t="s">
        <v>5128</v>
      </c>
      <c r="B19" s="251" t="s">
        <v>783</v>
      </c>
      <c r="C19" s="250" t="s">
        <v>5892</v>
      </c>
      <c r="D19" s="275">
        <v>2299030000</v>
      </c>
      <c r="E19" s="132">
        <v>50000</v>
      </c>
    </row>
    <row r="20" spans="1:5" ht="14.5" x14ac:dyDescent="0.35">
      <c r="A20" s="248" t="s">
        <v>5128</v>
      </c>
      <c r="B20" s="251" t="s">
        <v>783</v>
      </c>
      <c r="C20" s="250" t="s">
        <v>5893</v>
      </c>
      <c r="D20" s="275">
        <v>2299040000</v>
      </c>
      <c r="E20" s="132">
        <v>50000</v>
      </c>
    </row>
    <row r="21" spans="1:5" ht="15.75" customHeight="1" x14ac:dyDescent="0.35">
      <c r="A21" s="248" t="s">
        <v>5128</v>
      </c>
      <c r="B21" s="251" t="s">
        <v>783</v>
      </c>
      <c r="C21" s="250" t="s">
        <v>5894</v>
      </c>
      <c r="D21" s="275">
        <v>2299050000</v>
      </c>
      <c r="E21" s="132">
        <v>50000</v>
      </c>
    </row>
    <row r="22" spans="1:5" ht="15.75" customHeight="1" x14ac:dyDescent="0.35">
      <c r="A22" s="248" t="s">
        <v>5128</v>
      </c>
      <c r="B22" s="251" t="s">
        <v>783</v>
      </c>
      <c r="C22" s="250" t="s">
        <v>5895</v>
      </c>
      <c r="D22" s="275">
        <v>2299060000</v>
      </c>
      <c r="E22" s="132">
        <v>50000</v>
      </c>
    </row>
    <row r="23" spans="1:5" ht="15.75" customHeight="1" x14ac:dyDescent="0.35">
      <c r="A23" s="248" t="s">
        <v>5128</v>
      </c>
      <c r="B23" s="251" t="s">
        <v>783</v>
      </c>
      <c r="C23" s="250" t="s">
        <v>5896</v>
      </c>
      <c r="D23" s="275">
        <v>2299070000</v>
      </c>
      <c r="E23" s="132">
        <v>50000</v>
      </c>
    </row>
    <row r="24" spans="1:5" ht="15.75" customHeight="1" x14ac:dyDescent="0.35">
      <c r="A24" s="248" t="s">
        <v>5128</v>
      </c>
      <c r="B24" s="251" t="s">
        <v>783</v>
      </c>
      <c r="C24" s="250" t="s">
        <v>331</v>
      </c>
      <c r="D24" s="275">
        <v>2299990000</v>
      </c>
      <c r="E24" s="132">
        <v>100000</v>
      </c>
    </row>
    <row r="25" spans="1:5" ht="15.75" customHeight="1" x14ac:dyDescent="0.35">
      <c r="A25" s="261" t="s">
        <v>5125</v>
      </c>
      <c r="B25" s="262" t="s">
        <v>5232</v>
      </c>
      <c r="C25" s="263" t="s">
        <v>5764</v>
      </c>
      <c r="D25" s="276" t="s">
        <v>5391</v>
      </c>
      <c r="E25" s="277" t="s">
        <v>5265</v>
      </c>
    </row>
    <row r="26" spans="1:5" ht="15.75" customHeight="1" x14ac:dyDescent="0.35">
      <c r="A26" s="252" t="s">
        <v>5144</v>
      </c>
      <c r="B26" s="251" t="s">
        <v>30</v>
      </c>
      <c r="C26" s="254" t="s">
        <v>5884</v>
      </c>
      <c r="D26" s="278"/>
      <c r="E26" s="279"/>
    </row>
    <row r="27" spans="1:5" ht="15.75" customHeight="1" x14ac:dyDescent="0.35">
      <c r="A27" s="252" t="s">
        <v>5128</v>
      </c>
      <c r="B27" s="251" t="s">
        <v>30</v>
      </c>
      <c r="C27" s="254" t="s">
        <v>5885</v>
      </c>
      <c r="D27" s="278">
        <v>2299010100</v>
      </c>
      <c r="E27" s="132">
        <v>100000</v>
      </c>
    </row>
    <row r="28" spans="1:5" ht="15.75" customHeight="1" x14ac:dyDescent="0.35">
      <c r="A28" s="252" t="s">
        <v>5144</v>
      </c>
      <c r="B28" s="251" t="s">
        <v>30</v>
      </c>
      <c r="C28" s="254" t="s">
        <v>2638</v>
      </c>
      <c r="D28" s="278"/>
      <c r="E28" s="109"/>
    </row>
    <row r="29" spans="1:5" ht="15.75" customHeight="1" x14ac:dyDescent="0.35">
      <c r="A29" s="252" t="s">
        <v>5128</v>
      </c>
      <c r="B29" s="251" t="s">
        <v>30</v>
      </c>
      <c r="C29" s="254" t="s">
        <v>5886</v>
      </c>
      <c r="D29" s="278">
        <v>2299010201</v>
      </c>
      <c r="E29" s="132">
        <v>50000</v>
      </c>
    </row>
    <row r="30" spans="1:5" ht="15.75" customHeight="1" x14ac:dyDescent="0.35">
      <c r="A30" s="252" t="s">
        <v>5128</v>
      </c>
      <c r="B30" s="251" t="s">
        <v>30</v>
      </c>
      <c r="C30" s="254" t="s">
        <v>5887</v>
      </c>
      <c r="D30" s="278">
        <v>2299010202</v>
      </c>
      <c r="E30" s="132">
        <v>100000</v>
      </c>
    </row>
    <row r="31" spans="1:5" ht="15.75" customHeight="1" x14ac:dyDescent="0.35">
      <c r="A31" s="252" t="s">
        <v>5144</v>
      </c>
      <c r="B31" s="251" t="s">
        <v>30</v>
      </c>
      <c r="C31" s="254" t="s">
        <v>5406</v>
      </c>
      <c r="D31" s="278"/>
      <c r="E31" s="109"/>
    </row>
    <row r="32" spans="1:5" ht="15.75" customHeight="1" x14ac:dyDescent="0.35">
      <c r="A32" s="252" t="s">
        <v>5128</v>
      </c>
      <c r="B32" s="251" t="s">
        <v>30</v>
      </c>
      <c r="C32" s="254" t="s">
        <v>5886</v>
      </c>
      <c r="D32" s="278">
        <v>2299010301</v>
      </c>
      <c r="E32" s="132">
        <v>50000</v>
      </c>
    </row>
    <row r="33" spans="1:5" ht="15.75" customHeight="1" x14ac:dyDescent="0.35">
      <c r="A33" s="252" t="s">
        <v>5128</v>
      </c>
      <c r="B33" s="251" t="s">
        <v>30</v>
      </c>
      <c r="C33" s="254" t="s">
        <v>5887</v>
      </c>
      <c r="D33" s="278">
        <v>2299010302</v>
      </c>
      <c r="E33" s="132">
        <v>50000</v>
      </c>
    </row>
    <row r="34" spans="1:5" ht="15.75" customHeight="1" x14ac:dyDescent="0.35">
      <c r="A34" s="252" t="s">
        <v>5144</v>
      </c>
      <c r="B34" s="251" t="s">
        <v>30</v>
      </c>
      <c r="C34" s="254" t="s">
        <v>5888</v>
      </c>
      <c r="D34" s="278"/>
      <c r="E34" s="109"/>
    </row>
    <row r="35" spans="1:5" ht="15.75" customHeight="1" x14ac:dyDescent="0.35">
      <c r="A35" s="252" t="s">
        <v>5128</v>
      </c>
      <c r="B35" s="251" t="s">
        <v>30</v>
      </c>
      <c r="C35" s="254" t="s">
        <v>5886</v>
      </c>
      <c r="D35" s="278">
        <v>2299010401</v>
      </c>
      <c r="E35" s="132">
        <v>50000</v>
      </c>
    </row>
    <row r="36" spans="1:5" ht="15.75" customHeight="1" x14ac:dyDescent="0.35">
      <c r="A36" s="252" t="s">
        <v>5128</v>
      </c>
      <c r="B36" s="251" t="s">
        <v>30</v>
      </c>
      <c r="C36" s="254" t="s">
        <v>5887</v>
      </c>
      <c r="D36" s="278">
        <v>2299010402</v>
      </c>
      <c r="E36" s="132">
        <v>50000</v>
      </c>
    </row>
    <row r="37" spans="1:5" ht="15.75" customHeight="1" x14ac:dyDescent="0.35">
      <c r="A37" s="252" t="s">
        <v>5144</v>
      </c>
      <c r="B37" s="251" t="s">
        <v>30</v>
      </c>
      <c r="C37" s="254" t="s">
        <v>5889</v>
      </c>
      <c r="D37" s="278"/>
      <c r="E37" s="109"/>
    </row>
    <row r="38" spans="1:5" ht="15.75" customHeight="1" x14ac:dyDescent="0.35">
      <c r="A38" s="252" t="s">
        <v>5128</v>
      </c>
      <c r="B38" s="251" t="s">
        <v>30</v>
      </c>
      <c r="C38" s="254" t="s">
        <v>5886</v>
      </c>
      <c r="D38" s="278">
        <v>2299010501</v>
      </c>
      <c r="E38" s="132">
        <v>50000</v>
      </c>
    </row>
    <row r="39" spans="1:5" ht="15.75" customHeight="1" x14ac:dyDescent="0.35">
      <c r="A39" s="252" t="s">
        <v>5128</v>
      </c>
      <c r="B39" s="251" t="s">
        <v>30</v>
      </c>
      <c r="C39" s="254" t="s">
        <v>5887</v>
      </c>
      <c r="D39" s="278">
        <v>2299010502</v>
      </c>
      <c r="E39" s="132">
        <v>50000</v>
      </c>
    </row>
    <row r="40" spans="1:5" ht="15.75" customHeight="1" x14ac:dyDescent="0.35">
      <c r="A40" s="252" t="s">
        <v>5128</v>
      </c>
      <c r="B40" s="251" t="s">
        <v>30</v>
      </c>
      <c r="C40" s="254" t="s">
        <v>5890</v>
      </c>
      <c r="D40" s="278">
        <v>2299019900</v>
      </c>
      <c r="E40" s="132">
        <v>50000</v>
      </c>
    </row>
    <row r="41" spans="1:5" ht="15.75" customHeight="1" x14ac:dyDescent="0.35">
      <c r="A41" s="252" t="s">
        <v>5128</v>
      </c>
      <c r="B41" s="251" t="s">
        <v>30</v>
      </c>
      <c r="C41" s="254" t="s">
        <v>5891</v>
      </c>
      <c r="D41" s="278">
        <v>2299020000</v>
      </c>
      <c r="E41" s="132">
        <v>50000</v>
      </c>
    </row>
    <row r="42" spans="1:5" ht="15.75" customHeight="1" x14ac:dyDescent="0.35">
      <c r="A42" s="252" t="s">
        <v>5128</v>
      </c>
      <c r="B42" s="251" t="s">
        <v>30</v>
      </c>
      <c r="C42" s="254" t="s">
        <v>5892</v>
      </c>
      <c r="D42" s="278">
        <v>2299030000</v>
      </c>
      <c r="E42" s="132">
        <v>50000</v>
      </c>
    </row>
    <row r="43" spans="1:5" ht="15.75" customHeight="1" x14ac:dyDescent="0.35">
      <c r="A43" s="252" t="s">
        <v>5128</v>
      </c>
      <c r="B43" s="251" t="s">
        <v>30</v>
      </c>
      <c r="C43" s="254" t="s">
        <v>5893</v>
      </c>
      <c r="D43" s="278">
        <v>2299040000</v>
      </c>
      <c r="E43" s="132">
        <v>50000</v>
      </c>
    </row>
    <row r="44" spans="1:5" ht="15.75" customHeight="1" x14ac:dyDescent="0.35">
      <c r="A44" s="252" t="s">
        <v>5128</v>
      </c>
      <c r="B44" s="251" t="s">
        <v>30</v>
      </c>
      <c r="C44" s="254" t="s">
        <v>5894</v>
      </c>
      <c r="D44" s="278">
        <v>2299050000</v>
      </c>
      <c r="E44" s="132">
        <v>50000</v>
      </c>
    </row>
    <row r="45" spans="1:5" ht="15.75" customHeight="1" x14ac:dyDescent="0.35">
      <c r="A45" s="252" t="s">
        <v>5128</v>
      </c>
      <c r="B45" s="251" t="s">
        <v>30</v>
      </c>
      <c r="C45" s="254" t="s">
        <v>5895</v>
      </c>
      <c r="D45" s="278">
        <v>2299060000</v>
      </c>
      <c r="E45" s="132">
        <v>50000</v>
      </c>
    </row>
    <row r="46" spans="1:5" ht="15.75" customHeight="1" x14ac:dyDescent="0.35">
      <c r="A46" s="252" t="s">
        <v>5128</v>
      </c>
      <c r="B46" s="251" t="s">
        <v>30</v>
      </c>
      <c r="C46" s="254" t="s">
        <v>5896</v>
      </c>
      <c r="D46" s="278">
        <v>2299070000</v>
      </c>
      <c r="E46" s="132">
        <v>50000</v>
      </c>
    </row>
    <row r="47" spans="1:5" ht="15.75" customHeight="1" x14ac:dyDescent="0.35">
      <c r="A47" s="252" t="s">
        <v>5128</v>
      </c>
      <c r="B47" s="251" t="s">
        <v>30</v>
      </c>
      <c r="C47" s="254" t="s">
        <v>331</v>
      </c>
      <c r="D47" s="278">
        <v>2299990000</v>
      </c>
      <c r="E47" s="132">
        <v>100000</v>
      </c>
    </row>
  </sheetData>
  <hyperlinks>
    <hyperlink ref="D1" location="Header!A1" display="Back to Header" xr:uid="{00000000-0004-0000-2A00-000000000000}"/>
  </hyperlinks>
  <pageMargins left="0.7" right="0.7" top="0.75" bottom="0.75" header="0" footer="0"/>
  <pageSetup paperSize="9" orientation="portrai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orm_1401"/>
  <dimension ref="A1:D11"/>
  <sheetViews>
    <sheetView showGridLines="0" workbookViewId="0"/>
  </sheetViews>
  <sheetFormatPr defaultColWidth="14.453125" defaultRowHeight="15" customHeight="1" x14ac:dyDescent="0.35"/>
  <cols>
    <col min="1" max="1" width="7.453125" customWidth="1"/>
    <col min="2" max="2" width="34" customWidth="1"/>
    <col min="3" max="3" width="15" customWidth="1"/>
    <col min="4" max="4" width="18" customWidth="1"/>
    <col min="5" max="26" width="8.54296875" customWidth="1"/>
  </cols>
  <sheetData>
    <row r="1" spans="1:4" ht="14.5" x14ac:dyDescent="0.35">
      <c r="A1" s="103" t="str">
        <f>CONCATENATE("FORM ",Header!A51," - ",Header!B51)</f>
        <v>FORM 1401 - RINCIAN LIABILITAS LAINNYA LAIN-LAIN</v>
      </c>
      <c r="D1" s="168" t="s">
        <v>5124</v>
      </c>
    </row>
    <row r="2" spans="1:4" ht="29" x14ac:dyDescent="0.35">
      <c r="A2" s="139" t="s">
        <v>5232</v>
      </c>
      <c r="B2" s="164" t="s">
        <v>5512</v>
      </c>
      <c r="C2" s="164" t="s">
        <v>5265</v>
      </c>
    </row>
    <row r="3" spans="1:4" ht="15" customHeight="1" x14ac:dyDescent="0.35">
      <c r="A3" s="321"/>
      <c r="B3" s="321"/>
      <c r="C3" s="321"/>
    </row>
    <row r="4" spans="1:4" ht="15" customHeight="1" x14ac:dyDescent="0.35">
      <c r="A4" s="321"/>
      <c r="B4" s="321"/>
      <c r="C4" s="321"/>
    </row>
    <row r="5" spans="1:4" ht="15" customHeight="1" x14ac:dyDescent="0.35">
      <c r="A5" s="321"/>
      <c r="B5" s="321"/>
      <c r="C5" s="321"/>
    </row>
    <row r="6" spans="1:4" ht="15" customHeight="1" x14ac:dyDescent="0.35">
      <c r="A6" s="321"/>
      <c r="B6" s="321"/>
      <c r="C6" s="321"/>
    </row>
    <row r="7" spans="1:4" ht="15" customHeight="1" x14ac:dyDescent="0.35">
      <c r="A7" s="321"/>
      <c r="B7" s="321"/>
      <c r="C7" s="321"/>
    </row>
    <row r="8" spans="1:4" ht="15" customHeight="1" x14ac:dyDescent="0.35">
      <c r="A8" s="321"/>
      <c r="B8" s="321"/>
      <c r="C8" s="321"/>
    </row>
    <row r="9" spans="1:4" ht="15" customHeight="1" x14ac:dyDescent="0.35">
      <c r="A9" s="321"/>
      <c r="B9" s="321"/>
      <c r="C9" s="321"/>
    </row>
    <row r="10" spans="1:4" ht="15" customHeight="1" x14ac:dyDescent="0.35">
      <c r="A10" s="321"/>
      <c r="B10" s="321"/>
      <c r="C10" s="321"/>
    </row>
    <row r="11" spans="1:4" ht="15" customHeight="1" x14ac:dyDescent="0.35">
      <c r="A11" s="321"/>
      <c r="B11" s="321"/>
      <c r="C11" s="321"/>
    </row>
  </sheetData>
  <hyperlinks>
    <hyperlink ref="D1" location="Header!A1" display="Back to Header" xr:uid="{00000000-0004-0000-1C00-000000000000}"/>
  </hyperlinks>
  <pageMargins left="0.7" right="0.7" top="0.75" bottom="0.75" header="0" footer="0"/>
  <pageSetup orientation="landscape"/>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orm_1500">
    <tabColor rgb="FFFFFF00"/>
  </sheetPr>
  <dimension ref="A1:R13"/>
  <sheetViews>
    <sheetView showGridLines="0" topLeftCell="J1" workbookViewId="0">
      <selection activeCell="A2" sqref="A2:R3"/>
    </sheetView>
  </sheetViews>
  <sheetFormatPr defaultColWidth="14.453125" defaultRowHeight="15" customHeight="1" x14ac:dyDescent="0.35"/>
  <cols>
    <col min="1" max="1" width="7.08984375" customWidth="1"/>
    <col min="2" max="2" width="12.54296875" customWidth="1"/>
    <col min="3" max="3" width="18.54296875" customWidth="1"/>
    <col min="4" max="4" width="30" customWidth="1"/>
    <col min="5" max="5" width="31" customWidth="1"/>
    <col min="6" max="6" width="33.6328125" customWidth="1"/>
    <col min="7" max="7" width="22.08984375" bestFit="1" customWidth="1"/>
    <col min="8" max="13" width="13.54296875" customWidth="1"/>
    <col min="14" max="14" width="20.6328125" customWidth="1"/>
    <col min="15" max="15" width="13.08984375" customWidth="1"/>
    <col min="16" max="17" width="24" customWidth="1"/>
    <col min="18" max="18" width="17.6328125" customWidth="1"/>
    <col min="19" max="26" width="8.54296875" customWidth="1"/>
  </cols>
  <sheetData>
    <row r="1" spans="1:18" ht="14.5" x14ac:dyDescent="0.35">
      <c r="A1" s="103" t="str">
        <f>CONCATENATE("FORM ",Header!A52," - ",Header!B52)</f>
        <v>FORM 1500 - DAFTAR ASET PRODUKTIF YANG DIHAPUS BUKU</v>
      </c>
      <c r="E1" s="168" t="s">
        <v>5124</v>
      </c>
      <c r="G1" s="134"/>
    </row>
    <row r="2" spans="1:18" ht="14.5" x14ac:dyDescent="0.35">
      <c r="A2" s="460" t="s">
        <v>5662</v>
      </c>
      <c r="B2" s="460" t="s">
        <v>5232</v>
      </c>
      <c r="C2" s="502" t="s">
        <v>5378</v>
      </c>
      <c r="D2" s="491" t="s">
        <v>5529</v>
      </c>
      <c r="E2" s="491" t="s">
        <v>3180</v>
      </c>
      <c r="F2" s="491" t="s">
        <v>5627</v>
      </c>
      <c r="G2" s="491" t="s">
        <v>5270</v>
      </c>
      <c r="H2" s="463" t="s">
        <v>6082</v>
      </c>
      <c r="I2" s="492" t="s">
        <v>5628</v>
      </c>
      <c r="J2" s="493"/>
      <c r="K2" s="465"/>
      <c r="L2" s="492" t="s">
        <v>5629</v>
      </c>
      <c r="M2" s="493"/>
      <c r="N2" s="493"/>
      <c r="O2" s="465"/>
      <c r="P2" s="503" t="s">
        <v>5630</v>
      </c>
      <c r="Q2" s="493"/>
      <c r="R2" s="465"/>
    </row>
    <row r="3" spans="1:18" ht="29" x14ac:dyDescent="0.35">
      <c r="A3" s="399"/>
      <c r="B3" s="399"/>
      <c r="C3" s="462"/>
      <c r="D3" s="462"/>
      <c r="E3" s="462"/>
      <c r="F3" s="462"/>
      <c r="G3" s="499"/>
      <c r="H3" s="462"/>
      <c r="I3" s="164" t="s">
        <v>5631</v>
      </c>
      <c r="J3" s="106" t="s">
        <v>5632</v>
      </c>
      <c r="K3" s="106" t="s">
        <v>5633</v>
      </c>
      <c r="L3" s="106" t="s">
        <v>5631</v>
      </c>
      <c r="M3" s="106" t="s">
        <v>5632</v>
      </c>
      <c r="N3" s="106" t="s">
        <v>5634</v>
      </c>
      <c r="O3" s="106" t="s">
        <v>5633</v>
      </c>
      <c r="P3" s="176" t="s">
        <v>3180</v>
      </c>
      <c r="Q3" s="176" t="s">
        <v>5189</v>
      </c>
      <c r="R3" s="107" t="s">
        <v>5635</v>
      </c>
    </row>
    <row r="4" spans="1:18" ht="29" x14ac:dyDescent="0.35">
      <c r="A4" s="165" t="s">
        <v>5663</v>
      </c>
      <c r="B4" s="165" t="s">
        <v>783</v>
      </c>
      <c r="C4" s="132" t="s">
        <v>5598</v>
      </c>
      <c r="D4" s="132" t="s">
        <v>5599</v>
      </c>
      <c r="E4" s="132" t="s">
        <v>5636</v>
      </c>
      <c r="F4" s="138" t="s">
        <v>5637</v>
      </c>
      <c r="G4" s="122" t="s">
        <v>5289</v>
      </c>
      <c r="H4" s="122" t="s">
        <v>5341</v>
      </c>
      <c r="I4" s="132">
        <v>100000</v>
      </c>
      <c r="J4" s="132">
        <v>50000</v>
      </c>
      <c r="K4" s="132">
        <v>50000</v>
      </c>
      <c r="L4" s="132">
        <v>100000</v>
      </c>
      <c r="M4" s="132">
        <v>100000</v>
      </c>
      <c r="N4" s="132">
        <v>100000</v>
      </c>
      <c r="O4" s="132">
        <v>100000</v>
      </c>
      <c r="P4" s="138" t="s">
        <v>5306</v>
      </c>
      <c r="Q4" s="132" t="s">
        <v>5638</v>
      </c>
      <c r="R4" s="132">
        <v>1000000</v>
      </c>
    </row>
    <row r="5" spans="1:18" ht="29" x14ac:dyDescent="0.35">
      <c r="A5" s="165" t="s">
        <v>5663</v>
      </c>
      <c r="B5" s="165" t="s">
        <v>783</v>
      </c>
      <c r="C5" s="132" t="s">
        <v>5603</v>
      </c>
      <c r="D5" s="132" t="s">
        <v>5604</v>
      </c>
      <c r="E5" s="132" t="s">
        <v>5639</v>
      </c>
      <c r="F5" s="138" t="s">
        <v>5285</v>
      </c>
      <c r="G5" s="122" t="s">
        <v>5303</v>
      </c>
      <c r="H5" s="122" t="s">
        <v>5341</v>
      </c>
      <c r="I5" s="132">
        <v>100000</v>
      </c>
      <c r="J5" s="132">
        <v>50000</v>
      </c>
      <c r="K5" s="132">
        <v>50000</v>
      </c>
      <c r="L5" s="132">
        <v>100000</v>
      </c>
      <c r="M5" s="132">
        <v>100000</v>
      </c>
      <c r="N5" s="132">
        <v>100000</v>
      </c>
      <c r="O5" s="132">
        <v>100000</v>
      </c>
      <c r="P5" s="138" t="s">
        <v>5306</v>
      </c>
      <c r="Q5" s="132" t="s">
        <v>5640</v>
      </c>
      <c r="R5" s="132">
        <v>1000000</v>
      </c>
    </row>
    <row r="6" spans="1:18" ht="29" x14ac:dyDescent="0.35">
      <c r="A6" s="165" t="s">
        <v>5663</v>
      </c>
      <c r="B6" s="165" t="s">
        <v>783</v>
      </c>
      <c r="C6" s="132" t="s">
        <v>5607</v>
      </c>
      <c r="D6" s="132" t="s">
        <v>5608</v>
      </c>
      <c r="E6" s="132" t="s">
        <v>5636</v>
      </c>
      <c r="F6" s="138" t="s">
        <v>5637</v>
      </c>
      <c r="G6" s="122" t="s">
        <v>5289</v>
      </c>
      <c r="H6" s="122" t="s">
        <v>5341</v>
      </c>
      <c r="I6" s="132">
        <v>100000</v>
      </c>
      <c r="J6" s="132">
        <v>50000</v>
      </c>
      <c r="K6" s="132">
        <v>50000</v>
      </c>
      <c r="L6" s="132">
        <v>100000</v>
      </c>
      <c r="M6" s="132">
        <v>100000</v>
      </c>
      <c r="N6" s="132">
        <v>100000</v>
      </c>
      <c r="O6" s="132">
        <v>100000</v>
      </c>
      <c r="P6" s="138" t="s">
        <v>5306</v>
      </c>
      <c r="Q6" s="132" t="s">
        <v>5641</v>
      </c>
      <c r="R6" s="132">
        <v>1000000</v>
      </c>
    </row>
    <row r="7" spans="1:18" ht="29" x14ac:dyDescent="0.35">
      <c r="A7" s="165" t="s">
        <v>5663</v>
      </c>
      <c r="B7" s="165" t="s">
        <v>783</v>
      </c>
      <c r="C7" s="132" t="s">
        <v>5611</v>
      </c>
      <c r="D7" s="132" t="s">
        <v>5612</v>
      </c>
      <c r="E7" s="132" t="s">
        <v>5639</v>
      </c>
      <c r="F7" s="138" t="s">
        <v>5294</v>
      </c>
      <c r="G7" s="122" t="s">
        <v>5303</v>
      </c>
      <c r="H7" s="122" t="s">
        <v>5341</v>
      </c>
      <c r="I7" s="132">
        <v>100000</v>
      </c>
      <c r="J7" s="132">
        <v>50000</v>
      </c>
      <c r="K7" s="132">
        <v>50000</v>
      </c>
      <c r="L7" s="132">
        <v>100000</v>
      </c>
      <c r="M7" s="132">
        <v>100000</v>
      </c>
      <c r="N7" s="132">
        <v>100000</v>
      </c>
      <c r="O7" s="132">
        <v>100000</v>
      </c>
      <c r="P7" s="138" t="s">
        <v>5306</v>
      </c>
      <c r="Q7" s="132" t="s">
        <v>5642</v>
      </c>
      <c r="R7" s="132">
        <v>1000000</v>
      </c>
    </row>
    <row r="8" spans="1:18" ht="29" x14ac:dyDescent="0.35">
      <c r="A8" s="165" t="s">
        <v>5663</v>
      </c>
      <c r="B8" s="165" t="s">
        <v>783</v>
      </c>
      <c r="C8" s="132" t="s">
        <v>5613</v>
      </c>
      <c r="D8" s="132" t="s">
        <v>5614</v>
      </c>
      <c r="E8" s="132" t="s">
        <v>5636</v>
      </c>
      <c r="F8" s="138" t="s">
        <v>5637</v>
      </c>
      <c r="G8" s="122" t="s">
        <v>5289</v>
      </c>
      <c r="H8" s="122" t="s">
        <v>5341</v>
      </c>
      <c r="I8" s="132">
        <v>100000</v>
      </c>
      <c r="J8" s="132">
        <v>50000</v>
      </c>
      <c r="K8" s="132">
        <v>50000</v>
      </c>
      <c r="L8" s="132">
        <v>100000</v>
      </c>
      <c r="M8" s="132">
        <v>100000</v>
      </c>
      <c r="N8" s="132">
        <v>100000</v>
      </c>
      <c r="O8" s="132">
        <v>100000</v>
      </c>
      <c r="P8" s="138" t="s">
        <v>5306</v>
      </c>
      <c r="Q8" s="132" t="s">
        <v>5643</v>
      </c>
      <c r="R8" s="132">
        <v>1000000</v>
      </c>
    </row>
    <row r="9" spans="1:18" ht="29" x14ac:dyDescent="0.35">
      <c r="A9" s="165" t="s">
        <v>5663</v>
      </c>
      <c r="B9" s="165" t="s">
        <v>30</v>
      </c>
      <c r="C9" s="132" t="s">
        <v>5615</v>
      </c>
      <c r="D9" s="132" t="s">
        <v>5616</v>
      </c>
      <c r="E9" s="132" t="s">
        <v>5639</v>
      </c>
      <c r="F9" s="138" t="s">
        <v>5609</v>
      </c>
      <c r="G9" s="122" t="s">
        <v>5303</v>
      </c>
      <c r="H9" s="122" t="s">
        <v>5341</v>
      </c>
      <c r="I9" s="132">
        <v>100000</v>
      </c>
      <c r="J9" s="132">
        <v>50000</v>
      </c>
      <c r="K9" s="132">
        <v>50000</v>
      </c>
      <c r="L9" s="132">
        <v>100000</v>
      </c>
      <c r="M9" s="132">
        <v>100000</v>
      </c>
      <c r="N9" s="132">
        <v>100000</v>
      </c>
      <c r="O9" s="132">
        <v>100000</v>
      </c>
      <c r="P9" s="138" t="s">
        <v>5306</v>
      </c>
      <c r="Q9" s="132" t="s">
        <v>5644</v>
      </c>
      <c r="R9" s="132">
        <v>1000000</v>
      </c>
    </row>
    <row r="10" spans="1:18" ht="29" x14ac:dyDescent="0.35">
      <c r="A10" s="165" t="s">
        <v>5663</v>
      </c>
      <c r="B10" s="165" t="s">
        <v>30</v>
      </c>
      <c r="C10" s="132" t="s">
        <v>5617</v>
      </c>
      <c r="D10" s="132" t="s">
        <v>5618</v>
      </c>
      <c r="E10" s="132" t="s">
        <v>5636</v>
      </c>
      <c r="F10" s="138" t="s">
        <v>5637</v>
      </c>
      <c r="G10" s="122" t="s">
        <v>5289</v>
      </c>
      <c r="H10" s="122" t="s">
        <v>5341</v>
      </c>
      <c r="I10" s="132">
        <v>100000</v>
      </c>
      <c r="J10" s="132">
        <v>50000</v>
      </c>
      <c r="K10" s="132">
        <v>50000</v>
      </c>
      <c r="L10" s="132">
        <v>100000</v>
      </c>
      <c r="M10" s="132">
        <v>100000</v>
      </c>
      <c r="N10" s="132">
        <v>100000</v>
      </c>
      <c r="O10" s="132">
        <v>100000</v>
      </c>
      <c r="P10" s="138" t="s">
        <v>5306</v>
      </c>
      <c r="Q10" s="132" t="s">
        <v>5645</v>
      </c>
      <c r="R10" s="132">
        <v>1000000</v>
      </c>
    </row>
    <row r="11" spans="1:18" ht="29" x14ac:dyDescent="0.35">
      <c r="A11" s="165" t="s">
        <v>5663</v>
      </c>
      <c r="B11" s="165" t="s">
        <v>30</v>
      </c>
      <c r="C11" s="132" t="s">
        <v>5619</v>
      </c>
      <c r="D11" s="132" t="s">
        <v>5620</v>
      </c>
      <c r="E11" s="132" t="s">
        <v>5639</v>
      </c>
      <c r="F11" s="138" t="s">
        <v>5609</v>
      </c>
      <c r="G11" s="122" t="s">
        <v>5303</v>
      </c>
      <c r="H11" s="122" t="s">
        <v>5341</v>
      </c>
      <c r="I11" s="132">
        <v>100000</v>
      </c>
      <c r="J11" s="132">
        <v>50000</v>
      </c>
      <c r="K11" s="132">
        <v>50000</v>
      </c>
      <c r="L11" s="132">
        <v>100000</v>
      </c>
      <c r="M11" s="132">
        <v>100000</v>
      </c>
      <c r="N11" s="132">
        <v>100000</v>
      </c>
      <c r="O11" s="132">
        <v>100000</v>
      </c>
      <c r="P11" s="138" t="s">
        <v>5306</v>
      </c>
      <c r="Q11" s="132" t="s">
        <v>5646</v>
      </c>
      <c r="R11" s="132">
        <v>1000000</v>
      </c>
    </row>
    <row r="12" spans="1:18" ht="29" x14ac:dyDescent="0.35">
      <c r="A12" s="165" t="s">
        <v>5663</v>
      </c>
      <c r="B12" s="165" t="s">
        <v>30</v>
      </c>
      <c r="C12" s="132" t="s">
        <v>5621</v>
      </c>
      <c r="D12" s="132" t="s">
        <v>5622</v>
      </c>
      <c r="E12" s="132" t="s">
        <v>5636</v>
      </c>
      <c r="F12" s="138" t="s">
        <v>5637</v>
      </c>
      <c r="G12" s="122" t="s">
        <v>5289</v>
      </c>
      <c r="H12" s="122" t="s">
        <v>5341</v>
      </c>
      <c r="I12" s="132">
        <v>100000</v>
      </c>
      <c r="J12" s="132">
        <v>50000</v>
      </c>
      <c r="K12" s="132">
        <v>50000</v>
      </c>
      <c r="L12" s="132">
        <v>100000</v>
      </c>
      <c r="M12" s="132">
        <v>100000</v>
      </c>
      <c r="N12" s="132">
        <v>100000</v>
      </c>
      <c r="O12" s="132">
        <v>100000</v>
      </c>
      <c r="P12" s="138" t="s">
        <v>5306</v>
      </c>
      <c r="Q12" s="132" t="s">
        <v>5647</v>
      </c>
      <c r="R12" s="132">
        <v>1000000</v>
      </c>
    </row>
    <row r="13" spans="1:18" ht="29" x14ac:dyDescent="0.35">
      <c r="A13" s="165" t="s">
        <v>5663</v>
      </c>
      <c r="B13" s="165" t="s">
        <v>30</v>
      </c>
      <c r="C13" s="132" t="s">
        <v>5624</v>
      </c>
      <c r="D13" s="132" t="s">
        <v>5625</v>
      </c>
      <c r="E13" s="132" t="s">
        <v>5639</v>
      </c>
      <c r="F13" s="138" t="s">
        <v>5648</v>
      </c>
      <c r="G13" s="122" t="s">
        <v>5303</v>
      </c>
      <c r="H13" s="122" t="s">
        <v>5341</v>
      </c>
      <c r="I13" s="132">
        <v>100000</v>
      </c>
      <c r="J13" s="132">
        <v>50000</v>
      </c>
      <c r="K13" s="132">
        <v>50000</v>
      </c>
      <c r="L13" s="132">
        <v>100000</v>
      </c>
      <c r="M13" s="132">
        <v>100000</v>
      </c>
      <c r="N13" s="132">
        <v>100000</v>
      </c>
      <c r="O13" s="132">
        <v>100000</v>
      </c>
      <c r="P13" s="138" t="s">
        <v>5306</v>
      </c>
      <c r="Q13" s="132" t="s">
        <v>5649</v>
      </c>
      <c r="R13" s="132">
        <v>1000000</v>
      </c>
    </row>
  </sheetData>
  <mergeCells count="11">
    <mergeCell ref="P2:R2"/>
    <mergeCell ref="F2:F3"/>
    <mergeCell ref="G2:G3"/>
    <mergeCell ref="H2:H3"/>
    <mergeCell ref="I2:K2"/>
    <mergeCell ref="L2:O2"/>
    <mergeCell ref="A2:A3"/>
    <mergeCell ref="B2:B3"/>
    <mergeCell ref="C2:C3"/>
    <mergeCell ref="D2:D3"/>
    <mergeCell ref="E2:E3"/>
  </mergeCells>
  <hyperlinks>
    <hyperlink ref="E1" location="Header!A1" display="Back to Header" xr:uid="{00000000-0004-0000-2B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4">
        <x14:dataValidation type="list" allowBlank="1" showErrorMessage="1" xr:uid="{00000000-0002-0000-2B00-000000000000}">
          <x14:formula1>
            <xm:f>DATA!$C$130:$C$147</xm:f>
          </x14:formula1>
          <xm:sqref>P4:P13</xm:sqref>
        </x14:dataValidation>
        <x14:dataValidation type="list" allowBlank="1" showErrorMessage="1" xr:uid="{00000000-0002-0000-2B00-000001000000}">
          <x14:formula1>
            <xm:f>DATA!$C$472:$C$473</xm:f>
          </x14:formula1>
          <xm:sqref>E4:E20</xm:sqref>
        </x14:dataValidation>
        <x14:dataValidation type="list" allowBlank="1" showErrorMessage="1" xr:uid="{00000000-0002-0000-2B00-000002000000}">
          <x14:formula1>
            <xm:f>DATA!$C$118:$C$119</xm:f>
          </x14:formula1>
          <xm:sqref>G4:G20</xm:sqref>
        </x14:dataValidation>
        <x14:dataValidation type="list" allowBlank="1" showErrorMessage="1" xr:uid="{00000000-0002-0000-2B00-000003000000}">
          <x14:formula1>
            <xm:f>DATA!$C$76:$C$102</xm:f>
          </x14:formula1>
          <xm:sqref>F4:F20</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7">
    <tabColor theme="5"/>
  </sheetPr>
  <dimension ref="A1:O3"/>
  <sheetViews>
    <sheetView topLeftCell="C1" workbookViewId="0">
      <selection activeCell="K12" sqref="K12"/>
    </sheetView>
  </sheetViews>
  <sheetFormatPr defaultColWidth="14.453125" defaultRowHeight="15" customHeight="1" x14ac:dyDescent="0.35"/>
  <cols>
    <col min="1" max="1" width="8.08984375" customWidth="1"/>
    <col min="2" max="6" width="21.90625" customWidth="1"/>
    <col min="7" max="15" width="19" customWidth="1"/>
    <col min="16" max="26" width="8.54296875" customWidth="1"/>
  </cols>
  <sheetData>
    <row r="1" spans="1:15" ht="14.5" x14ac:dyDescent="0.35">
      <c r="A1" s="103" t="str">
        <f>CONCATENATE("FORM ",Header!A53," - ",Header!B53)</f>
        <v>FORM 1600 - DAFTAR PENYERTAAN MODAL</v>
      </c>
      <c r="D1" s="320" t="s">
        <v>5124</v>
      </c>
    </row>
    <row r="2" spans="1:15" ht="43.5" x14ac:dyDescent="0.35">
      <c r="A2" s="128" t="s">
        <v>5232</v>
      </c>
      <c r="B2" s="128" t="s">
        <v>5650</v>
      </c>
      <c r="C2" s="128" t="s">
        <v>5378</v>
      </c>
      <c r="D2" s="128" t="s">
        <v>3246</v>
      </c>
      <c r="E2" s="128" t="s">
        <v>2505</v>
      </c>
      <c r="F2" s="128" t="s">
        <v>3274</v>
      </c>
      <c r="G2" s="128" t="s">
        <v>5280</v>
      </c>
      <c r="H2" s="128" t="s">
        <v>5651</v>
      </c>
      <c r="I2" s="128" t="s">
        <v>5155</v>
      </c>
      <c r="J2" s="128" t="s">
        <v>5652</v>
      </c>
      <c r="K2" s="128" t="s">
        <v>5518</v>
      </c>
      <c r="L2" s="128" t="s">
        <v>5521</v>
      </c>
      <c r="M2" s="128" t="s">
        <v>5522</v>
      </c>
      <c r="N2" s="128" t="s">
        <v>5523</v>
      </c>
      <c r="O2" s="128" t="s">
        <v>5692</v>
      </c>
    </row>
    <row r="3" spans="1:15" ht="14.5" x14ac:dyDescent="0.35">
      <c r="A3" s="161" t="s">
        <v>783</v>
      </c>
      <c r="B3" s="132">
        <v>1</v>
      </c>
      <c r="C3" s="132">
        <v>1</v>
      </c>
      <c r="D3" s="122" t="s">
        <v>6004</v>
      </c>
      <c r="E3" s="122" t="s">
        <v>5709</v>
      </c>
      <c r="F3" s="122" t="s">
        <v>5709</v>
      </c>
      <c r="G3" s="132">
        <v>20240505</v>
      </c>
      <c r="H3" s="192" t="s">
        <v>6010</v>
      </c>
      <c r="I3" s="132">
        <v>10000</v>
      </c>
      <c r="J3" s="132">
        <v>1</v>
      </c>
      <c r="K3" s="132">
        <v>1000</v>
      </c>
      <c r="L3" s="132">
        <v>1000</v>
      </c>
      <c r="M3" s="132">
        <v>1000</v>
      </c>
      <c r="N3" s="132">
        <v>1000</v>
      </c>
      <c r="O3" s="122" t="s">
        <v>5709</v>
      </c>
    </row>
  </sheetData>
  <hyperlinks>
    <hyperlink ref="D1" location="Header!A1" display="Back to Header" xr:uid="{7A963CAF-6195-49A4-89CD-15DB1F840A79}"/>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5">
        <x14:dataValidation type="list" allowBlank="1" showErrorMessage="1" xr:uid="{00000000-0002-0000-2C00-000000000000}">
          <x14:formula1>
            <xm:f>DATA!$C$683:$C$684</xm:f>
          </x14:formula1>
          <xm:sqref>F3</xm:sqref>
        </x14:dataValidation>
        <x14:dataValidation type="list" allowBlank="1" showErrorMessage="1" xr:uid="{00000000-0002-0000-2C00-000001000000}">
          <x14:formula1>
            <xm:f>DATA!$C$671:$C$672</xm:f>
          </x14:formula1>
          <xm:sqref>D3:D13</xm:sqref>
        </x14:dataValidation>
        <x14:dataValidation type="list" allowBlank="1" showErrorMessage="1" xr:uid="{00000000-0002-0000-2C00-000002000000}">
          <x14:formula1>
            <xm:f>DATA!$C$676:$C$679</xm:f>
          </x14:formula1>
          <xm:sqref>E3:E13</xm:sqref>
        </x14:dataValidation>
        <x14:dataValidation type="list" allowBlank="1" showErrorMessage="1" xr:uid="{00000000-0002-0000-2C00-000003000000}">
          <x14:formula1>
            <xm:f>DATA!$C$683:$C$686</xm:f>
          </x14:formula1>
          <xm:sqref>F4:F13</xm:sqref>
        </x14:dataValidation>
        <x14:dataValidation type="list" allowBlank="1" showErrorMessage="1" xr:uid="{00000000-0002-0000-2C00-000004000000}">
          <x14:formula1>
            <xm:f>DATA!$C$754:$C$755</xm:f>
          </x14:formula1>
          <xm:sqref>O3:O13</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8">
    <tabColor theme="5"/>
  </sheetPr>
  <dimension ref="A1:J4"/>
  <sheetViews>
    <sheetView workbookViewId="0">
      <selection activeCell="B5" sqref="B5"/>
    </sheetView>
  </sheetViews>
  <sheetFormatPr defaultColWidth="14.453125" defaultRowHeight="15" customHeight="1" x14ac:dyDescent="0.35"/>
  <cols>
    <col min="1" max="1" width="9.453125" customWidth="1"/>
    <col min="2" max="5" width="19.453125" customWidth="1"/>
    <col min="6" max="6" width="20.90625" customWidth="1"/>
    <col min="7" max="7" width="19.453125" customWidth="1"/>
    <col min="8" max="8" width="22.36328125" customWidth="1"/>
    <col min="9" max="9" width="14.54296875" customWidth="1"/>
    <col min="10" max="10" width="22.54296875" customWidth="1"/>
    <col min="11" max="26" width="8.54296875" customWidth="1"/>
  </cols>
  <sheetData>
    <row r="1" spans="1:10" ht="14.5" x14ac:dyDescent="0.35">
      <c r="A1" s="103" t="str">
        <f>CONCATENATE("FORM ",Header!A54," - ",Header!B54)</f>
        <v>FORM 1700 - DAFTAR PROPERTI TERBENGKALAI</v>
      </c>
      <c r="D1" s="320" t="s">
        <v>5124</v>
      </c>
    </row>
    <row r="2" spans="1:10" ht="29" x14ac:dyDescent="0.35">
      <c r="A2" s="128" t="s">
        <v>5232</v>
      </c>
      <c r="B2" s="128" t="s">
        <v>5650</v>
      </c>
      <c r="C2" s="164" t="s">
        <v>3229</v>
      </c>
      <c r="D2" s="164" t="s">
        <v>5653</v>
      </c>
      <c r="E2" s="164" t="s">
        <v>5234</v>
      </c>
      <c r="F2" s="139" t="s">
        <v>5654</v>
      </c>
      <c r="G2" s="139" t="s">
        <v>6030</v>
      </c>
      <c r="H2" s="139" t="s">
        <v>6031</v>
      </c>
      <c r="I2" s="164" t="s">
        <v>5265</v>
      </c>
      <c r="J2" s="164" t="s">
        <v>5691</v>
      </c>
    </row>
    <row r="3" spans="1:10" ht="14.5" x14ac:dyDescent="0.35">
      <c r="A3" s="161" t="s">
        <v>783</v>
      </c>
      <c r="B3" s="132" t="s">
        <v>6005</v>
      </c>
      <c r="C3" s="122" t="s">
        <v>5731</v>
      </c>
      <c r="D3" s="132" t="s">
        <v>5689</v>
      </c>
      <c r="E3" s="132" t="s">
        <v>5690</v>
      </c>
      <c r="F3" s="132">
        <v>20240606</v>
      </c>
      <c r="G3" s="132">
        <v>100000</v>
      </c>
      <c r="H3" s="132">
        <v>10000</v>
      </c>
      <c r="I3" s="132">
        <f>G3-H3</f>
        <v>90000</v>
      </c>
      <c r="J3" s="122" t="s">
        <v>5699</v>
      </c>
    </row>
    <row r="4" spans="1:10" ht="15" customHeight="1" x14ac:dyDescent="0.35">
      <c r="A4" s="161" t="s">
        <v>783</v>
      </c>
      <c r="B4" s="132" t="s">
        <v>6103</v>
      </c>
      <c r="C4" s="122" t="s">
        <v>6101</v>
      </c>
      <c r="D4" s="132" t="s">
        <v>6100</v>
      </c>
      <c r="E4" s="132" t="s">
        <v>5690</v>
      </c>
      <c r="F4" s="132">
        <v>20240606</v>
      </c>
      <c r="G4" s="132">
        <v>100000</v>
      </c>
      <c r="H4" s="132">
        <v>10000</v>
      </c>
      <c r="I4" s="132">
        <f>G4-H4</f>
        <v>90000</v>
      </c>
      <c r="J4" s="122" t="s">
        <v>5699</v>
      </c>
    </row>
  </sheetData>
  <hyperlinks>
    <hyperlink ref="D1" location="Header!A1" display="Back to Header" xr:uid="{701252B3-F808-41D1-ABE5-3DC53F1C2BCE}"/>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2">
        <x14:dataValidation type="list" allowBlank="1" showErrorMessage="1" xr:uid="{00000000-0002-0000-2D00-000000000000}">
          <x14:formula1>
            <xm:f>DATA!$C$665:$C$667</xm:f>
          </x14:formula1>
          <xm:sqref>C3:C15</xm:sqref>
        </x14:dataValidation>
        <x14:dataValidation type="list" allowBlank="1" showErrorMessage="1" xr:uid="{00000000-0002-0000-2D00-000001000000}">
          <x14:formula1>
            <xm:f>DATA!$C$759:$C$760</xm:f>
          </x14:formula1>
          <xm:sqref>J3:J15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
    <tabColor theme="5"/>
  </sheetPr>
  <dimension ref="A1:O3"/>
  <sheetViews>
    <sheetView workbookViewId="0">
      <selection activeCell="A9" sqref="A9"/>
    </sheetView>
  </sheetViews>
  <sheetFormatPr defaultColWidth="14.453125" defaultRowHeight="15" customHeight="1" x14ac:dyDescent="0.35"/>
  <cols>
    <col min="1" max="1" width="9.54296875" customWidth="1"/>
    <col min="2" max="3" width="15.453125" customWidth="1"/>
    <col min="4" max="4" width="17.453125" bestFit="1" customWidth="1"/>
    <col min="5" max="5" width="12" customWidth="1"/>
    <col min="6" max="6" width="12.90625" customWidth="1"/>
    <col min="8" max="10" width="20.36328125" customWidth="1"/>
    <col min="11" max="13" width="29.453125" customWidth="1"/>
    <col min="14" max="14" width="41.453125" bestFit="1" customWidth="1"/>
    <col min="15" max="15" width="12.6328125" bestFit="1" customWidth="1"/>
    <col min="16" max="26" width="8.54296875" customWidth="1"/>
  </cols>
  <sheetData>
    <row r="1" spans="1:15" ht="14.5" x14ac:dyDescent="0.35">
      <c r="A1" s="103" t="str">
        <f>CONCATENATE("FORM ",Header!A55," - ",Header!B55)</f>
        <v>FORM 1800 - DAFTAR ASET KEUANGAN LAINNYA</v>
      </c>
      <c r="E1" s="320" t="s">
        <v>5124</v>
      </c>
    </row>
    <row r="2" spans="1:15" ht="29" x14ac:dyDescent="0.35">
      <c r="A2" s="128" t="s">
        <v>5232</v>
      </c>
      <c r="B2" s="128" t="s">
        <v>5592</v>
      </c>
      <c r="C2" s="128" t="s">
        <v>5378</v>
      </c>
      <c r="D2" s="128" t="s">
        <v>5655</v>
      </c>
      <c r="E2" s="128" t="s">
        <v>5280</v>
      </c>
      <c r="F2" s="128" t="s">
        <v>5281</v>
      </c>
      <c r="G2" s="128" t="s">
        <v>5272</v>
      </c>
      <c r="H2" s="128" t="s">
        <v>5155</v>
      </c>
      <c r="I2" s="128" t="s">
        <v>5656</v>
      </c>
      <c r="J2" s="128" t="s">
        <v>5657</v>
      </c>
      <c r="K2" s="128" t="s">
        <v>5521</v>
      </c>
      <c r="L2" s="128" t="s">
        <v>5522</v>
      </c>
      <c r="M2" s="128" t="s">
        <v>5523</v>
      </c>
      <c r="N2" s="128" t="s">
        <v>3434</v>
      </c>
      <c r="O2" s="128" t="s">
        <v>5692</v>
      </c>
    </row>
    <row r="3" spans="1:15" ht="14.5" x14ac:dyDescent="0.35">
      <c r="A3" s="161" t="s">
        <v>783</v>
      </c>
      <c r="B3" s="161" t="s">
        <v>5980</v>
      </c>
      <c r="C3" s="132" t="s">
        <v>6001</v>
      </c>
      <c r="D3" s="122" t="s">
        <v>5732</v>
      </c>
      <c r="E3" s="132">
        <v>20240505</v>
      </c>
      <c r="F3" s="132">
        <v>20241212</v>
      </c>
      <c r="G3" s="192">
        <v>5</v>
      </c>
      <c r="H3" s="132">
        <v>100000</v>
      </c>
      <c r="I3" s="132">
        <v>100000</v>
      </c>
      <c r="J3" s="132">
        <v>10000</v>
      </c>
      <c r="K3" s="132">
        <v>110000</v>
      </c>
      <c r="L3" s="132">
        <v>0</v>
      </c>
      <c r="M3" s="132">
        <v>0</v>
      </c>
      <c r="N3" s="132" t="s">
        <v>5708</v>
      </c>
      <c r="O3" s="122" t="s">
        <v>5694</v>
      </c>
    </row>
  </sheetData>
  <hyperlinks>
    <hyperlink ref="E1" location="Header!A1" display="Back to Header" xr:uid="{FC00F534-6F0E-4C97-8E5E-B242CAA87F67}"/>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3">
        <x14:dataValidation type="list" allowBlank="1" showErrorMessage="1" xr:uid="{00000000-0002-0000-2E00-000000000000}">
          <x14:formula1>
            <xm:f>DATA!$C$660:$C$661</xm:f>
          </x14:formula1>
          <xm:sqref>D3:D14</xm:sqref>
        </x14:dataValidation>
        <x14:dataValidation type="list" allowBlank="1" showErrorMessage="1" xr:uid="{00000000-0002-0000-2E00-000003000000}">
          <x14:formula1>
            <xm:f>DATA!$C$754:$C$755</xm:f>
          </x14:formula1>
          <xm:sqref>O3:O14</xm:sqref>
        </x14:dataValidation>
        <x14:dataValidation type="list" allowBlank="1" showInputMessage="1" showErrorMessage="1" prompt="Disesuaikan dengan kode klasifikasi aset keuangan" xr:uid="{04C82AFE-5521-403C-B57D-ACB611ED1F82}">
          <x14:formula1>
            <xm:f>DATA!$C$747:$C$749</xm:f>
          </x14:formula1>
          <xm:sqref>N3:N14</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0">
    <tabColor theme="5"/>
  </sheetPr>
  <dimension ref="A1:S4"/>
  <sheetViews>
    <sheetView workbookViewId="0">
      <selection activeCell="A4" sqref="A4"/>
    </sheetView>
  </sheetViews>
  <sheetFormatPr defaultColWidth="14.453125" defaultRowHeight="15" customHeight="1" x14ac:dyDescent="0.35"/>
  <cols>
    <col min="1" max="1" width="8.54296875" customWidth="1"/>
    <col min="2" max="2" width="23.90625" customWidth="1"/>
    <col min="3" max="3" width="13.08984375" customWidth="1"/>
    <col min="4" max="4" width="23.90625" customWidth="1"/>
    <col min="5" max="5" width="15.90625" customWidth="1"/>
    <col min="6" max="7" width="23.90625" customWidth="1"/>
    <col min="8" max="8" width="13.453125" bestFit="1" customWidth="1"/>
    <col min="9" max="9" width="19.6328125" bestFit="1" customWidth="1"/>
    <col min="10" max="15" width="23.90625" customWidth="1"/>
    <col min="16" max="17" width="20" customWidth="1"/>
    <col min="18" max="19" width="23.90625" customWidth="1"/>
    <col min="20" max="26" width="8.54296875" customWidth="1"/>
  </cols>
  <sheetData>
    <row r="1" spans="1:19" ht="13.5" customHeight="1" x14ac:dyDescent="0.35">
      <c r="A1" s="103" t="str">
        <f>CONCATENATE("FORM ",Header!A56," - ",Header!B56)</f>
        <v>FORM 1900 - DAFTAR PERBEDAAN KUALITAS ASET PRODUKTIF</v>
      </c>
      <c r="E1" s="320" t="s">
        <v>5124</v>
      </c>
    </row>
    <row r="2" spans="1:19" ht="31.5" customHeight="1" x14ac:dyDescent="0.35">
      <c r="A2" s="460" t="s">
        <v>5232</v>
      </c>
      <c r="B2" s="460" t="s">
        <v>5378</v>
      </c>
      <c r="C2" s="504" t="s">
        <v>5658</v>
      </c>
      <c r="D2" s="401"/>
      <c r="E2" s="401"/>
      <c r="F2" s="401"/>
      <c r="G2" s="401"/>
      <c r="H2" s="401"/>
      <c r="I2" s="401"/>
      <c r="J2" s="402"/>
      <c r="K2" s="504" t="s">
        <v>5659</v>
      </c>
      <c r="L2" s="401"/>
      <c r="M2" s="401"/>
      <c r="N2" s="401"/>
      <c r="O2" s="401"/>
      <c r="P2" s="401"/>
      <c r="Q2" s="401"/>
      <c r="R2" s="402"/>
      <c r="S2" s="460" t="s">
        <v>6008</v>
      </c>
    </row>
    <row r="3" spans="1:19" ht="29" x14ac:dyDescent="0.35">
      <c r="A3" s="399"/>
      <c r="B3" s="399"/>
      <c r="C3" s="139" t="s">
        <v>3420</v>
      </c>
      <c r="D3" s="139" t="s">
        <v>5592</v>
      </c>
      <c r="E3" s="139" t="s">
        <v>2412</v>
      </c>
      <c r="F3" s="139" t="s">
        <v>5660</v>
      </c>
      <c r="G3" s="139" t="s">
        <v>5276</v>
      </c>
      <c r="H3" s="139" t="s">
        <v>5280</v>
      </c>
      <c r="I3" s="139" t="s">
        <v>5281</v>
      </c>
      <c r="J3" s="139" t="s">
        <v>2505</v>
      </c>
      <c r="K3" s="139" t="s">
        <v>3420</v>
      </c>
      <c r="L3" s="139" t="s">
        <v>5661</v>
      </c>
      <c r="M3" s="139" t="s">
        <v>2412</v>
      </c>
      <c r="N3" s="139" t="s">
        <v>5660</v>
      </c>
      <c r="O3" s="139" t="s">
        <v>5276</v>
      </c>
      <c r="P3" s="139" t="s">
        <v>5280</v>
      </c>
      <c r="Q3" s="139" t="s">
        <v>5281</v>
      </c>
      <c r="R3" s="139" t="s">
        <v>2505</v>
      </c>
      <c r="S3" s="399"/>
    </row>
    <row r="4" spans="1:19" ht="14.5" x14ac:dyDescent="0.35">
      <c r="A4" s="188" t="s">
        <v>783</v>
      </c>
      <c r="B4" s="189" t="s">
        <v>6001</v>
      </c>
      <c r="C4" s="187" t="s">
        <v>6118</v>
      </c>
      <c r="D4" s="188" t="s">
        <v>6007</v>
      </c>
      <c r="E4" s="187" t="s">
        <v>5733</v>
      </c>
      <c r="F4" s="190">
        <v>1000</v>
      </c>
      <c r="G4" s="190">
        <v>1000</v>
      </c>
      <c r="H4" s="190">
        <v>20240101</v>
      </c>
      <c r="I4" s="190">
        <v>20240505</v>
      </c>
      <c r="J4" s="187" t="s">
        <v>5709</v>
      </c>
      <c r="K4" s="187" t="s">
        <v>6006</v>
      </c>
      <c r="L4" s="188" t="s">
        <v>149</v>
      </c>
      <c r="M4" s="187" t="s">
        <v>5733</v>
      </c>
      <c r="N4" s="190">
        <v>100000</v>
      </c>
      <c r="O4" s="190">
        <v>100000</v>
      </c>
      <c r="P4" s="190">
        <v>20240101</v>
      </c>
      <c r="Q4" s="190">
        <v>20240101</v>
      </c>
      <c r="R4" s="187" t="s">
        <v>5709</v>
      </c>
      <c r="S4" s="190" t="s">
        <v>6008</v>
      </c>
    </row>
  </sheetData>
  <mergeCells count="5">
    <mergeCell ref="A2:A3"/>
    <mergeCell ref="B2:B3"/>
    <mergeCell ref="C2:J2"/>
    <mergeCell ref="K2:R2"/>
    <mergeCell ref="S2:S3"/>
  </mergeCells>
  <hyperlinks>
    <hyperlink ref="E1" location="Header!A1" display="Back to Header" xr:uid="{AF12A786-DF75-4C4A-9890-7C2A025CFC1D}"/>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4">
        <x14:dataValidation type="list" allowBlank="1" showErrorMessage="1" xr:uid="{00000000-0002-0000-2F00-000000000000}">
          <x14:formula1>
            <xm:f>DATA!$C$739:$C$743</xm:f>
          </x14:formula1>
          <xm:sqref>K4:K15 C5:C15</xm:sqref>
        </x14:dataValidation>
        <x14:dataValidation type="list" allowBlank="1" showErrorMessage="1" xr:uid="{00000000-0002-0000-2F00-000001000000}">
          <x14:formula1>
            <xm:f>DATA!$C$386:$C$391</xm:f>
          </x14:formula1>
          <xm:sqref>E4:E15 M4:M15</xm:sqref>
        </x14:dataValidation>
        <x14:dataValidation type="list" allowBlank="1" showErrorMessage="1" xr:uid="{00000000-0002-0000-2F00-000002000000}">
          <x14:formula1>
            <xm:f>DATA!$C$420:$C$424</xm:f>
          </x14:formula1>
          <xm:sqref>J4:J15 R4:R15</xm:sqref>
        </x14:dataValidation>
        <x14:dataValidation type="list" allowBlank="1" showErrorMessage="1" xr:uid="{D0B43163-90A2-4C29-9D8E-4E697A488B9F}">
          <x14:formula1>
            <xm:f>DATA!$C$739:$C$742</xm:f>
          </x14:formula1>
          <xm:sqref>C4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10</vt:i4>
      </vt:variant>
    </vt:vector>
  </HeadingPairs>
  <TitlesOfParts>
    <vt:vector size="58" baseType="lpstr">
      <vt:lpstr>DATA</vt:lpstr>
      <vt:lpstr>Header</vt:lpstr>
      <vt:lpstr>0000</vt:lpstr>
      <vt:lpstr>0001</vt:lpstr>
      <vt:lpstr>0002</vt:lpstr>
      <vt:lpstr>0003</vt:lpstr>
      <vt:lpstr>0004</vt:lpstr>
      <vt:lpstr>0005</vt:lpstr>
      <vt:lpstr>0006</vt:lpstr>
      <vt:lpstr>0007</vt:lpstr>
      <vt:lpstr>0008</vt:lpstr>
      <vt:lpstr>0009</vt:lpstr>
      <vt:lpstr>0010</vt:lpstr>
      <vt:lpstr>0011</vt:lpstr>
      <vt:lpstr>0012</vt:lpstr>
      <vt:lpstr>0013</vt:lpstr>
      <vt:lpstr>0014</vt:lpstr>
      <vt:lpstr>0015</vt:lpstr>
      <vt:lpstr>0016</vt:lpstr>
      <vt:lpstr>0017</vt:lpstr>
      <vt:lpstr>0018</vt:lpstr>
      <vt:lpstr>0019</vt:lpstr>
      <vt:lpstr>0020</vt:lpstr>
      <vt:lpstr>0021</vt:lpstr>
      <vt:lpstr>0100</vt:lpstr>
      <vt:lpstr>0101</vt:lpstr>
      <vt:lpstr>0200</vt:lpstr>
      <vt:lpstr>0300</vt:lpstr>
      <vt:lpstr>0400</vt:lpstr>
      <vt:lpstr>0500</vt:lpstr>
      <vt:lpstr>0600</vt:lpstr>
      <vt:lpstr>0601</vt:lpstr>
      <vt:lpstr>0602</vt:lpstr>
      <vt:lpstr>0800</vt:lpstr>
      <vt:lpstr>0700</vt:lpstr>
      <vt:lpstr>0900</vt:lpstr>
      <vt:lpstr>0901</vt:lpstr>
      <vt:lpstr>1000</vt:lpstr>
      <vt:lpstr>1100</vt:lpstr>
      <vt:lpstr>1200</vt:lpstr>
      <vt:lpstr>1300</vt:lpstr>
      <vt:lpstr>1400</vt:lpstr>
      <vt:lpstr>1401</vt:lpstr>
      <vt:lpstr>1500</vt:lpstr>
      <vt:lpstr>1600</vt:lpstr>
      <vt:lpstr>1700</vt:lpstr>
      <vt:lpstr>1800</vt:lpstr>
      <vt:lpstr>1900</vt:lpstr>
      <vt:lpstr>jenisIdentitas</vt:lpstr>
      <vt:lpstr>laba_rugi</vt:lpstr>
      <vt:lpstr>lap_posisi_keuangan</vt:lpstr>
      <vt:lpstr>MandiriPjti</vt:lpstr>
      <vt:lpstr>rekening_administratif</vt:lpstr>
      <vt:lpstr>rincian_aset_lainnya</vt:lpstr>
      <vt:lpstr>sandiBank</vt:lpstr>
      <vt:lpstr>sandiJenisKredit</vt:lpstr>
      <vt:lpstr>tujuanPenyertaan</vt:lpstr>
      <vt:lpstr>yaTidak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Arnol Faizal (PCS)</dc:creator>
  <cp:lastModifiedBy>Idrus Afandi</cp:lastModifiedBy>
  <dcterms:created xsi:type="dcterms:W3CDTF">2018-09-18T02:54:15Z</dcterms:created>
  <dcterms:modified xsi:type="dcterms:W3CDTF">2025-07-22T05:14:05Z</dcterms:modified>
</cp:coreProperties>
</file>